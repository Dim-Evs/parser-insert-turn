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Cursor_progects\Excel\"/>
    </mc:Choice>
  </mc:AlternateContent>
  <xr:revisionPtr revIDLastSave="0" documentId="13_ncr:1_{DC50786D-F09A-49A6-A65A-27ED2DE55DDC}" xr6:coauthVersionLast="45" xr6:coauthVersionMax="45" xr10:uidLastSave="{00000000-0000-0000-0000-000000000000}"/>
  <bookViews>
    <workbookView xWindow="1980" yWindow="1620" windowWidth="26205" windowHeight="13320" activeTab="1" xr2:uid="{00000000-000D-0000-FFFF-FFFF00000000}"/>
  </bookViews>
  <sheets>
    <sheet name="Parser" sheetId="1" r:id="rId1"/>
    <sheet name="Map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Q1001" i="1" l="1"/>
  <c r="I1001" i="1"/>
  <c r="H1001" i="1"/>
  <c r="P1001" i="1" s="1"/>
  <c r="G1001" i="1"/>
  <c r="E1001" i="1"/>
  <c r="D1001" i="1"/>
  <c r="C1001" i="1"/>
  <c r="B1001" i="1"/>
  <c r="Q1000" i="1"/>
  <c r="O1000" i="1"/>
  <c r="M1000" i="1"/>
  <c r="K1000" i="1"/>
  <c r="I1000" i="1"/>
  <c r="H1000" i="1"/>
  <c r="P1000" i="1" s="1"/>
  <c r="G1000" i="1"/>
  <c r="E1000" i="1"/>
  <c r="D1000" i="1"/>
  <c r="C1000" i="1"/>
  <c r="B1000" i="1"/>
  <c r="Q999" i="1"/>
  <c r="O999" i="1"/>
  <c r="M999" i="1"/>
  <c r="K999" i="1"/>
  <c r="I999" i="1"/>
  <c r="H999" i="1"/>
  <c r="P999" i="1" s="1"/>
  <c r="G999" i="1"/>
  <c r="E999" i="1"/>
  <c r="D999" i="1"/>
  <c r="C999" i="1"/>
  <c r="B999" i="1"/>
  <c r="Q998" i="1"/>
  <c r="O998" i="1"/>
  <c r="M998" i="1"/>
  <c r="K998" i="1"/>
  <c r="I998" i="1"/>
  <c r="H998" i="1"/>
  <c r="P998" i="1" s="1"/>
  <c r="G998" i="1"/>
  <c r="E998" i="1"/>
  <c r="D998" i="1"/>
  <c r="C998" i="1"/>
  <c r="B998" i="1"/>
  <c r="Q997" i="1"/>
  <c r="O997" i="1"/>
  <c r="M997" i="1"/>
  <c r="K997" i="1"/>
  <c r="I997" i="1"/>
  <c r="H997" i="1"/>
  <c r="P997" i="1" s="1"/>
  <c r="G997" i="1"/>
  <c r="E997" i="1"/>
  <c r="D997" i="1"/>
  <c r="C997" i="1"/>
  <c r="B997" i="1"/>
  <c r="Q996" i="1"/>
  <c r="O996" i="1"/>
  <c r="M996" i="1"/>
  <c r="K996" i="1"/>
  <c r="I996" i="1"/>
  <c r="H996" i="1"/>
  <c r="P996" i="1" s="1"/>
  <c r="G996" i="1"/>
  <c r="E996" i="1"/>
  <c r="D996" i="1"/>
  <c r="C996" i="1"/>
  <c r="B996" i="1"/>
  <c r="Q995" i="1"/>
  <c r="O995" i="1"/>
  <c r="M995" i="1"/>
  <c r="K995" i="1"/>
  <c r="I995" i="1"/>
  <c r="H995" i="1"/>
  <c r="P995" i="1" s="1"/>
  <c r="G995" i="1"/>
  <c r="E995" i="1"/>
  <c r="D995" i="1"/>
  <c r="C995" i="1"/>
  <c r="B995" i="1"/>
  <c r="Q994" i="1"/>
  <c r="O994" i="1"/>
  <c r="M994" i="1"/>
  <c r="K994" i="1"/>
  <c r="I994" i="1"/>
  <c r="H994" i="1"/>
  <c r="P994" i="1" s="1"/>
  <c r="G994" i="1"/>
  <c r="E994" i="1"/>
  <c r="D994" i="1"/>
  <c r="C994" i="1"/>
  <c r="B994" i="1"/>
  <c r="Q993" i="1"/>
  <c r="O993" i="1"/>
  <c r="M993" i="1"/>
  <c r="K993" i="1"/>
  <c r="I993" i="1"/>
  <c r="H993" i="1"/>
  <c r="P993" i="1" s="1"/>
  <c r="G993" i="1"/>
  <c r="E993" i="1"/>
  <c r="D993" i="1"/>
  <c r="C993" i="1"/>
  <c r="B993" i="1"/>
  <c r="Q992" i="1"/>
  <c r="O992" i="1"/>
  <c r="M992" i="1"/>
  <c r="K992" i="1"/>
  <c r="I992" i="1"/>
  <c r="H992" i="1"/>
  <c r="P992" i="1" s="1"/>
  <c r="G992" i="1"/>
  <c r="E992" i="1"/>
  <c r="D992" i="1"/>
  <c r="C992" i="1"/>
  <c r="B992" i="1"/>
  <c r="Q991" i="1"/>
  <c r="O991" i="1"/>
  <c r="M991" i="1"/>
  <c r="K991" i="1"/>
  <c r="I991" i="1"/>
  <c r="H991" i="1"/>
  <c r="P991" i="1" s="1"/>
  <c r="G991" i="1"/>
  <c r="E991" i="1"/>
  <c r="D991" i="1"/>
  <c r="C991" i="1"/>
  <c r="B991" i="1"/>
  <c r="Q990" i="1"/>
  <c r="O990" i="1"/>
  <c r="M990" i="1"/>
  <c r="K990" i="1"/>
  <c r="I990" i="1"/>
  <c r="H990" i="1"/>
  <c r="P990" i="1" s="1"/>
  <c r="G990" i="1"/>
  <c r="E990" i="1"/>
  <c r="D990" i="1"/>
  <c r="C990" i="1"/>
  <c r="B990" i="1"/>
  <c r="Q989" i="1"/>
  <c r="O989" i="1"/>
  <c r="M989" i="1"/>
  <c r="K989" i="1"/>
  <c r="I989" i="1"/>
  <c r="H989" i="1"/>
  <c r="P989" i="1" s="1"/>
  <c r="G989" i="1"/>
  <c r="E989" i="1"/>
  <c r="D989" i="1"/>
  <c r="C989" i="1"/>
  <c r="B989" i="1"/>
  <c r="Q988" i="1"/>
  <c r="O988" i="1"/>
  <c r="M988" i="1"/>
  <c r="K988" i="1"/>
  <c r="I988" i="1"/>
  <c r="H988" i="1"/>
  <c r="P988" i="1" s="1"/>
  <c r="G988" i="1"/>
  <c r="E988" i="1"/>
  <c r="D988" i="1"/>
  <c r="C988" i="1"/>
  <c r="B988" i="1"/>
  <c r="Q987" i="1"/>
  <c r="O987" i="1"/>
  <c r="M987" i="1"/>
  <c r="K987" i="1"/>
  <c r="I987" i="1"/>
  <c r="H987" i="1"/>
  <c r="P987" i="1" s="1"/>
  <c r="G987" i="1"/>
  <c r="E987" i="1"/>
  <c r="D987" i="1"/>
  <c r="C987" i="1"/>
  <c r="B987" i="1"/>
  <c r="Q986" i="1"/>
  <c r="O986" i="1"/>
  <c r="M986" i="1"/>
  <c r="K986" i="1"/>
  <c r="I986" i="1"/>
  <c r="H986" i="1"/>
  <c r="P986" i="1" s="1"/>
  <c r="G986" i="1"/>
  <c r="E986" i="1"/>
  <c r="D986" i="1"/>
  <c r="C986" i="1"/>
  <c r="B986" i="1"/>
  <c r="Q985" i="1"/>
  <c r="O985" i="1"/>
  <c r="M985" i="1"/>
  <c r="K985" i="1"/>
  <c r="I985" i="1"/>
  <c r="H985" i="1"/>
  <c r="P985" i="1" s="1"/>
  <c r="G985" i="1"/>
  <c r="E985" i="1"/>
  <c r="D985" i="1"/>
  <c r="C985" i="1"/>
  <c r="B985" i="1"/>
  <c r="Q984" i="1"/>
  <c r="O984" i="1"/>
  <c r="M984" i="1"/>
  <c r="K984" i="1"/>
  <c r="I984" i="1"/>
  <c r="H984" i="1"/>
  <c r="P984" i="1" s="1"/>
  <c r="G984" i="1"/>
  <c r="E984" i="1"/>
  <c r="D984" i="1"/>
  <c r="C984" i="1"/>
  <c r="B984" i="1"/>
  <c r="Q983" i="1"/>
  <c r="O983" i="1"/>
  <c r="M983" i="1"/>
  <c r="K983" i="1"/>
  <c r="I983" i="1"/>
  <c r="H983" i="1"/>
  <c r="P983" i="1" s="1"/>
  <c r="G983" i="1"/>
  <c r="E983" i="1"/>
  <c r="D983" i="1"/>
  <c r="C983" i="1"/>
  <c r="B983" i="1"/>
  <c r="Q982" i="1"/>
  <c r="O982" i="1"/>
  <c r="M982" i="1"/>
  <c r="K982" i="1"/>
  <c r="I982" i="1"/>
  <c r="H982" i="1"/>
  <c r="P982" i="1" s="1"/>
  <c r="G982" i="1"/>
  <c r="E982" i="1"/>
  <c r="D982" i="1"/>
  <c r="C982" i="1"/>
  <c r="B982" i="1"/>
  <c r="Q981" i="1"/>
  <c r="O981" i="1"/>
  <c r="M981" i="1"/>
  <c r="K981" i="1"/>
  <c r="I981" i="1"/>
  <c r="H981" i="1"/>
  <c r="P981" i="1" s="1"/>
  <c r="G981" i="1"/>
  <c r="E981" i="1"/>
  <c r="D981" i="1"/>
  <c r="C981" i="1"/>
  <c r="B981" i="1"/>
  <c r="Q980" i="1"/>
  <c r="O980" i="1"/>
  <c r="M980" i="1"/>
  <c r="K980" i="1"/>
  <c r="I980" i="1"/>
  <c r="H980" i="1"/>
  <c r="P980" i="1" s="1"/>
  <c r="G980" i="1"/>
  <c r="E980" i="1"/>
  <c r="D980" i="1"/>
  <c r="C980" i="1"/>
  <c r="B980" i="1"/>
  <c r="Q979" i="1"/>
  <c r="O979" i="1"/>
  <c r="M979" i="1"/>
  <c r="K979" i="1"/>
  <c r="I979" i="1"/>
  <c r="H979" i="1"/>
  <c r="P979" i="1" s="1"/>
  <c r="G979" i="1"/>
  <c r="E979" i="1"/>
  <c r="D979" i="1"/>
  <c r="C979" i="1"/>
  <c r="B979" i="1"/>
  <c r="Q978" i="1"/>
  <c r="O978" i="1"/>
  <c r="M978" i="1"/>
  <c r="K978" i="1"/>
  <c r="I978" i="1"/>
  <c r="H978" i="1"/>
  <c r="P978" i="1" s="1"/>
  <c r="G978" i="1"/>
  <c r="E978" i="1"/>
  <c r="D978" i="1"/>
  <c r="C978" i="1"/>
  <c r="B978" i="1"/>
  <c r="Q977" i="1"/>
  <c r="O977" i="1"/>
  <c r="M977" i="1"/>
  <c r="K977" i="1"/>
  <c r="I977" i="1"/>
  <c r="H977" i="1"/>
  <c r="P977" i="1" s="1"/>
  <c r="G977" i="1"/>
  <c r="E977" i="1"/>
  <c r="D977" i="1"/>
  <c r="C977" i="1"/>
  <c r="B977" i="1"/>
  <c r="Q976" i="1"/>
  <c r="O976" i="1"/>
  <c r="M976" i="1"/>
  <c r="K976" i="1"/>
  <c r="I976" i="1"/>
  <c r="H976" i="1"/>
  <c r="P976" i="1" s="1"/>
  <c r="G976" i="1"/>
  <c r="E976" i="1"/>
  <c r="D976" i="1"/>
  <c r="C976" i="1"/>
  <c r="B976" i="1"/>
  <c r="Q975" i="1"/>
  <c r="O975" i="1"/>
  <c r="M975" i="1"/>
  <c r="K975" i="1"/>
  <c r="I975" i="1"/>
  <c r="H975" i="1"/>
  <c r="P975" i="1" s="1"/>
  <c r="G975" i="1"/>
  <c r="E975" i="1"/>
  <c r="D975" i="1"/>
  <c r="C975" i="1"/>
  <c r="B975" i="1"/>
  <c r="Q974" i="1"/>
  <c r="O974" i="1"/>
  <c r="M974" i="1"/>
  <c r="K974" i="1"/>
  <c r="I974" i="1"/>
  <c r="H974" i="1"/>
  <c r="P974" i="1" s="1"/>
  <c r="G974" i="1"/>
  <c r="E974" i="1"/>
  <c r="D974" i="1"/>
  <c r="C974" i="1"/>
  <c r="B974" i="1"/>
  <c r="Q973" i="1"/>
  <c r="O973" i="1"/>
  <c r="I973" i="1"/>
  <c r="H973" i="1"/>
  <c r="P973" i="1" s="1"/>
  <c r="G973" i="1"/>
  <c r="E973" i="1"/>
  <c r="D973" i="1"/>
  <c r="C973" i="1"/>
  <c r="B973" i="1"/>
  <c r="Q972" i="1"/>
  <c r="P972" i="1"/>
  <c r="K972" i="1"/>
  <c r="I972" i="1"/>
  <c r="H972" i="1"/>
  <c r="O972" i="1" s="1"/>
  <c r="G972" i="1"/>
  <c r="E972" i="1"/>
  <c r="D972" i="1"/>
  <c r="C972" i="1"/>
  <c r="B972" i="1"/>
  <c r="Q971" i="1"/>
  <c r="K971" i="1"/>
  <c r="I971" i="1"/>
  <c r="H971" i="1"/>
  <c r="G971" i="1"/>
  <c r="E971" i="1"/>
  <c r="D971" i="1"/>
  <c r="C971" i="1"/>
  <c r="B971" i="1"/>
  <c r="Q970" i="1"/>
  <c r="O970" i="1"/>
  <c r="M970" i="1"/>
  <c r="K970" i="1"/>
  <c r="I970" i="1"/>
  <c r="H970" i="1"/>
  <c r="P970" i="1" s="1"/>
  <c r="G970" i="1"/>
  <c r="E970" i="1"/>
  <c r="D970" i="1"/>
  <c r="C970" i="1"/>
  <c r="B970" i="1"/>
  <c r="Q969" i="1"/>
  <c r="I969" i="1"/>
  <c r="H969" i="1"/>
  <c r="G969" i="1"/>
  <c r="E969" i="1"/>
  <c r="D969" i="1"/>
  <c r="C969" i="1"/>
  <c r="B969" i="1"/>
  <c r="Q968" i="1"/>
  <c r="P968" i="1"/>
  <c r="O968" i="1"/>
  <c r="K968" i="1"/>
  <c r="I968" i="1"/>
  <c r="H968" i="1"/>
  <c r="G968" i="1"/>
  <c r="E968" i="1"/>
  <c r="D968" i="1"/>
  <c r="C968" i="1"/>
  <c r="B968" i="1"/>
  <c r="Q967" i="1"/>
  <c r="O967" i="1"/>
  <c r="M967" i="1"/>
  <c r="K967" i="1"/>
  <c r="I967" i="1"/>
  <c r="H967" i="1"/>
  <c r="P967" i="1" s="1"/>
  <c r="G967" i="1"/>
  <c r="E967" i="1"/>
  <c r="D967" i="1"/>
  <c r="C967" i="1"/>
  <c r="B967" i="1"/>
  <c r="Q966" i="1"/>
  <c r="M966" i="1"/>
  <c r="I966" i="1"/>
  <c r="H966" i="1"/>
  <c r="G966" i="1"/>
  <c r="E966" i="1"/>
  <c r="D966" i="1"/>
  <c r="C966" i="1"/>
  <c r="B966" i="1"/>
  <c r="Q965" i="1"/>
  <c r="O965" i="1"/>
  <c r="I965" i="1"/>
  <c r="H965" i="1"/>
  <c r="P965" i="1" s="1"/>
  <c r="G965" i="1"/>
  <c r="E965" i="1"/>
  <c r="D965" i="1"/>
  <c r="C965" i="1"/>
  <c r="B965" i="1"/>
  <c r="Q964" i="1"/>
  <c r="P964" i="1"/>
  <c r="I964" i="1"/>
  <c r="H964" i="1"/>
  <c r="O964" i="1" s="1"/>
  <c r="G964" i="1"/>
  <c r="E964" i="1"/>
  <c r="D964" i="1"/>
  <c r="C964" i="1"/>
  <c r="B964" i="1"/>
  <c r="Q963" i="1"/>
  <c r="P963" i="1"/>
  <c r="K963" i="1"/>
  <c r="I963" i="1"/>
  <c r="H963" i="1"/>
  <c r="G963" i="1"/>
  <c r="E963" i="1"/>
  <c r="D963" i="1"/>
  <c r="C963" i="1"/>
  <c r="B963" i="1"/>
  <c r="Q962" i="1"/>
  <c r="P962" i="1"/>
  <c r="O962" i="1"/>
  <c r="M962" i="1"/>
  <c r="K962" i="1"/>
  <c r="I962" i="1"/>
  <c r="H962" i="1"/>
  <c r="G962" i="1"/>
  <c r="E962" i="1"/>
  <c r="D962" i="1"/>
  <c r="C962" i="1"/>
  <c r="B962" i="1"/>
  <c r="Q961" i="1"/>
  <c r="I961" i="1"/>
  <c r="H961" i="1"/>
  <c r="G961" i="1"/>
  <c r="E961" i="1"/>
  <c r="D961" i="1"/>
  <c r="C961" i="1"/>
  <c r="B961" i="1"/>
  <c r="Q960" i="1"/>
  <c r="P960" i="1"/>
  <c r="O960" i="1"/>
  <c r="K960" i="1"/>
  <c r="I960" i="1"/>
  <c r="H960" i="1"/>
  <c r="G960" i="1"/>
  <c r="E960" i="1"/>
  <c r="D960" i="1"/>
  <c r="C960" i="1"/>
  <c r="B960" i="1"/>
  <c r="Q959" i="1"/>
  <c r="O959" i="1"/>
  <c r="M959" i="1"/>
  <c r="K959" i="1"/>
  <c r="I959" i="1"/>
  <c r="H959" i="1"/>
  <c r="P959" i="1" s="1"/>
  <c r="G959" i="1"/>
  <c r="E959" i="1"/>
  <c r="D959" i="1"/>
  <c r="C959" i="1"/>
  <c r="B959" i="1"/>
  <c r="Q958" i="1"/>
  <c r="M958" i="1"/>
  <c r="I958" i="1"/>
  <c r="H958" i="1"/>
  <c r="G958" i="1"/>
  <c r="E958" i="1"/>
  <c r="D958" i="1"/>
  <c r="C958" i="1"/>
  <c r="B958" i="1"/>
  <c r="Q957" i="1"/>
  <c r="O957" i="1"/>
  <c r="I957" i="1"/>
  <c r="H957" i="1"/>
  <c r="P957" i="1" s="1"/>
  <c r="G957" i="1"/>
  <c r="E957" i="1"/>
  <c r="D957" i="1"/>
  <c r="C957" i="1"/>
  <c r="B957" i="1"/>
  <c r="Q956" i="1"/>
  <c r="I956" i="1"/>
  <c r="H956" i="1"/>
  <c r="P956" i="1" s="1"/>
  <c r="G956" i="1"/>
  <c r="E956" i="1"/>
  <c r="D956" i="1"/>
  <c r="C956" i="1"/>
  <c r="B956" i="1"/>
  <c r="Q955" i="1"/>
  <c r="P955" i="1"/>
  <c r="K955" i="1"/>
  <c r="I955" i="1"/>
  <c r="H955" i="1"/>
  <c r="G955" i="1"/>
  <c r="E955" i="1"/>
  <c r="D955" i="1"/>
  <c r="C955" i="1"/>
  <c r="B955" i="1"/>
  <c r="Q954" i="1"/>
  <c r="P954" i="1"/>
  <c r="O954" i="1"/>
  <c r="M954" i="1"/>
  <c r="K954" i="1"/>
  <c r="I954" i="1"/>
  <c r="H954" i="1"/>
  <c r="G954" i="1"/>
  <c r="E954" i="1"/>
  <c r="D954" i="1"/>
  <c r="C954" i="1"/>
  <c r="B954" i="1"/>
  <c r="Q953" i="1"/>
  <c r="I953" i="1"/>
  <c r="H953" i="1"/>
  <c r="G953" i="1"/>
  <c r="E953" i="1"/>
  <c r="D953" i="1"/>
  <c r="C953" i="1"/>
  <c r="B953" i="1"/>
  <c r="Q952" i="1"/>
  <c r="P952" i="1"/>
  <c r="O952" i="1"/>
  <c r="K952" i="1"/>
  <c r="I952" i="1"/>
  <c r="H952" i="1"/>
  <c r="G952" i="1"/>
  <c r="E952" i="1"/>
  <c r="D952" i="1"/>
  <c r="C952" i="1"/>
  <c r="B952" i="1"/>
  <c r="Q951" i="1"/>
  <c r="O951" i="1"/>
  <c r="M951" i="1"/>
  <c r="K951" i="1"/>
  <c r="I951" i="1"/>
  <c r="H951" i="1"/>
  <c r="P951" i="1" s="1"/>
  <c r="G951" i="1"/>
  <c r="E951" i="1"/>
  <c r="D951" i="1"/>
  <c r="C951" i="1"/>
  <c r="B951" i="1"/>
  <c r="Q950" i="1"/>
  <c r="M950" i="1"/>
  <c r="I950" i="1"/>
  <c r="H950" i="1"/>
  <c r="G950" i="1"/>
  <c r="E950" i="1"/>
  <c r="D950" i="1"/>
  <c r="C950" i="1"/>
  <c r="B950" i="1"/>
  <c r="Q949" i="1"/>
  <c r="O949" i="1"/>
  <c r="M949" i="1"/>
  <c r="I949" i="1"/>
  <c r="H949" i="1"/>
  <c r="P949" i="1" s="1"/>
  <c r="G949" i="1"/>
  <c r="E949" i="1"/>
  <c r="D949" i="1"/>
  <c r="C949" i="1"/>
  <c r="B949" i="1"/>
  <c r="Q948" i="1"/>
  <c r="I948" i="1"/>
  <c r="H948" i="1"/>
  <c r="P948" i="1" s="1"/>
  <c r="G948" i="1"/>
  <c r="E948" i="1"/>
  <c r="D948" i="1"/>
  <c r="C948" i="1"/>
  <c r="B948" i="1"/>
  <c r="Q947" i="1"/>
  <c r="P947" i="1"/>
  <c r="K947" i="1"/>
  <c r="I947" i="1"/>
  <c r="H947" i="1"/>
  <c r="G947" i="1"/>
  <c r="E947" i="1"/>
  <c r="D947" i="1"/>
  <c r="C947" i="1"/>
  <c r="B947" i="1"/>
  <c r="Q946" i="1"/>
  <c r="P946" i="1"/>
  <c r="O946" i="1"/>
  <c r="M946" i="1"/>
  <c r="K946" i="1"/>
  <c r="I946" i="1"/>
  <c r="H946" i="1"/>
  <c r="G946" i="1"/>
  <c r="E946" i="1"/>
  <c r="D946" i="1"/>
  <c r="C946" i="1"/>
  <c r="B946" i="1"/>
  <c r="Q945" i="1"/>
  <c r="I945" i="1"/>
  <c r="H945" i="1"/>
  <c r="G945" i="1"/>
  <c r="E945" i="1"/>
  <c r="D945" i="1"/>
  <c r="C945" i="1"/>
  <c r="B945" i="1"/>
  <c r="Q944" i="1"/>
  <c r="P944" i="1"/>
  <c r="O944" i="1"/>
  <c r="K944" i="1"/>
  <c r="I944" i="1"/>
  <c r="H944" i="1"/>
  <c r="G944" i="1"/>
  <c r="E944" i="1"/>
  <c r="D944" i="1"/>
  <c r="C944" i="1"/>
  <c r="B944" i="1"/>
  <c r="Q943" i="1"/>
  <c r="P943" i="1"/>
  <c r="O943" i="1"/>
  <c r="M943" i="1"/>
  <c r="K943" i="1"/>
  <c r="I943" i="1"/>
  <c r="H943" i="1"/>
  <c r="G943" i="1"/>
  <c r="E943" i="1"/>
  <c r="D943" i="1"/>
  <c r="C943" i="1"/>
  <c r="B943" i="1"/>
  <c r="Q942" i="1"/>
  <c r="M942" i="1"/>
  <c r="I942" i="1"/>
  <c r="H942" i="1"/>
  <c r="G942" i="1"/>
  <c r="E942" i="1"/>
  <c r="D942" i="1"/>
  <c r="C942" i="1"/>
  <c r="B942" i="1"/>
  <c r="Q941" i="1"/>
  <c r="O941" i="1"/>
  <c r="M941" i="1"/>
  <c r="I941" i="1"/>
  <c r="H941" i="1"/>
  <c r="P941" i="1" s="1"/>
  <c r="G941" i="1"/>
  <c r="E941" i="1"/>
  <c r="D941" i="1"/>
  <c r="C941" i="1"/>
  <c r="B941" i="1"/>
  <c r="Q940" i="1"/>
  <c r="I940" i="1"/>
  <c r="H940" i="1"/>
  <c r="P940" i="1" s="1"/>
  <c r="G940" i="1"/>
  <c r="E940" i="1"/>
  <c r="D940" i="1"/>
  <c r="C940" i="1"/>
  <c r="B940" i="1"/>
  <c r="Q939" i="1"/>
  <c r="P939" i="1"/>
  <c r="K939" i="1"/>
  <c r="I939" i="1"/>
  <c r="H939" i="1"/>
  <c r="G939" i="1"/>
  <c r="E939" i="1"/>
  <c r="D939" i="1"/>
  <c r="C939" i="1"/>
  <c r="B939" i="1"/>
  <c r="Q938" i="1"/>
  <c r="P938" i="1"/>
  <c r="O938" i="1"/>
  <c r="M938" i="1"/>
  <c r="K938" i="1"/>
  <c r="I938" i="1"/>
  <c r="H938" i="1"/>
  <c r="G938" i="1"/>
  <c r="E938" i="1"/>
  <c r="D938" i="1"/>
  <c r="C938" i="1"/>
  <c r="B938" i="1"/>
  <c r="Q937" i="1"/>
  <c r="I937" i="1"/>
  <c r="H937" i="1"/>
  <c r="G937" i="1"/>
  <c r="E937" i="1"/>
  <c r="D937" i="1"/>
  <c r="C937" i="1"/>
  <c r="B937" i="1"/>
  <c r="Q936" i="1"/>
  <c r="P936" i="1"/>
  <c r="O936" i="1"/>
  <c r="I936" i="1"/>
  <c r="H936" i="1"/>
  <c r="G936" i="1"/>
  <c r="E936" i="1"/>
  <c r="D936" i="1"/>
  <c r="C936" i="1"/>
  <c r="B936" i="1"/>
  <c r="Q935" i="1"/>
  <c r="P935" i="1"/>
  <c r="O935" i="1"/>
  <c r="M935" i="1"/>
  <c r="K935" i="1"/>
  <c r="I935" i="1"/>
  <c r="H935" i="1"/>
  <c r="G935" i="1"/>
  <c r="E935" i="1"/>
  <c r="D935" i="1"/>
  <c r="C935" i="1"/>
  <c r="B935" i="1"/>
  <c r="Q934" i="1"/>
  <c r="M934" i="1"/>
  <c r="I934" i="1"/>
  <c r="H934" i="1"/>
  <c r="G934" i="1"/>
  <c r="E934" i="1"/>
  <c r="D934" i="1"/>
  <c r="C934" i="1"/>
  <c r="B934" i="1"/>
  <c r="Q933" i="1"/>
  <c r="O933" i="1"/>
  <c r="M933" i="1"/>
  <c r="I933" i="1"/>
  <c r="H933" i="1"/>
  <c r="P933" i="1" s="1"/>
  <c r="G933" i="1"/>
  <c r="E933" i="1"/>
  <c r="D933" i="1"/>
  <c r="C933" i="1"/>
  <c r="B933" i="1"/>
  <c r="Q932" i="1"/>
  <c r="I932" i="1"/>
  <c r="H932" i="1"/>
  <c r="P932" i="1" s="1"/>
  <c r="G932" i="1"/>
  <c r="E932" i="1"/>
  <c r="D932" i="1"/>
  <c r="C932" i="1"/>
  <c r="B932" i="1"/>
  <c r="Q931" i="1"/>
  <c r="P931" i="1"/>
  <c r="K931" i="1"/>
  <c r="I931" i="1"/>
  <c r="H931" i="1"/>
  <c r="G931" i="1"/>
  <c r="E931" i="1"/>
  <c r="D931" i="1"/>
  <c r="C931" i="1"/>
  <c r="B931" i="1"/>
  <c r="Q930" i="1"/>
  <c r="P930" i="1"/>
  <c r="O930" i="1"/>
  <c r="M930" i="1"/>
  <c r="K930" i="1"/>
  <c r="I930" i="1"/>
  <c r="H930" i="1"/>
  <c r="G930" i="1"/>
  <c r="E930" i="1"/>
  <c r="D930" i="1"/>
  <c r="C930" i="1"/>
  <c r="B930" i="1"/>
  <c r="Q929" i="1"/>
  <c r="I929" i="1"/>
  <c r="H929" i="1"/>
  <c r="G929" i="1"/>
  <c r="E929" i="1"/>
  <c r="D929" i="1"/>
  <c r="C929" i="1"/>
  <c r="B929" i="1"/>
  <c r="Q928" i="1"/>
  <c r="P928" i="1"/>
  <c r="O928" i="1"/>
  <c r="I928" i="1"/>
  <c r="H928" i="1"/>
  <c r="G928" i="1"/>
  <c r="E928" i="1"/>
  <c r="D928" i="1"/>
  <c r="C928" i="1"/>
  <c r="B928" i="1"/>
  <c r="Q927" i="1"/>
  <c r="P927" i="1"/>
  <c r="O927" i="1"/>
  <c r="M927" i="1"/>
  <c r="K927" i="1"/>
  <c r="I927" i="1"/>
  <c r="H927" i="1"/>
  <c r="G927" i="1"/>
  <c r="E927" i="1"/>
  <c r="D927" i="1"/>
  <c r="C927" i="1"/>
  <c r="B927" i="1"/>
  <c r="Q926" i="1"/>
  <c r="M926" i="1"/>
  <c r="I926" i="1"/>
  <c r="H926" i="1"/>
  <c r="G926" i="1"/>
  <c r="E926" i="1"/>
  <c r="D926" i="1"/>
  <c r="C926" i="1"/>
  <c r="B926" i="1"/>
  <c r="Q925" i="1"/>
  <c r="O925" i="1"/>
  <c r="M925" i="1"/>
  <c r="I925" i="1"/>
  <c r="H925" i="1"/>
  <c r="P925" i="1" s="1"/>
  <c r="G925" i="1"/>
  <c r="E925" i="1"/>
  <c r="D925" i="1"/>
  <c r="C925" i="1"/>
  <c r="B925" i="1"/>
  <c r="Q924" i="1"/>
  <c r="I924" i="1"/>
  <c r="H924" i="1"/>
  <c r="P924" i="1" s="1"/>
  <c r="G924" i="1"/>
  <c r="E924" i="1"/>
  <c r="D924" i="1"/>
  <c r="C924" i="1"/>
  <c r="B924" i="1"/>
  <c r="Q923" i="1"/>
  <c r="P923" i="1"/>
  <c r="I923" i="1"/>
  <c r="H923" i="1"/>
  <c r="G923" i="1"/>
  <c r="E923" i="1"/>
  <c r="D923" i="1"/>
  <c r="C923" i="1"/>
  <c r="B923" i="1"/>
  <c r="Q922" i="1"/>
  <c r="P922" i="1"/>
  <c r="M922" i="1"/>
  <c r="K922" i="1"/>
  <c r="I922" i="1"/>
  <c r="H922" i="1"/>
  <c r="O922" i="1" s="1"/>
  <c r="G922" i="1"/>
  <c r="E922" i="1"/>
  <c r="D922" i="1"/>
  <c r="C922" i="1"/>
  <c r="B922" i="1"/>
  <c r="Q921" i="1"/>
  <c r="P921" i="1"/>
  <c r="O921" i="1"/>
  <c r="M921" i="1"/>
  <c r="K921" i="1"/>
  <c r="J921" i="1"/>
  <c r="I921" i="1"/>
  <c r="H921" i="1"/>
  <c r="G921" i="1"/>
  <c r="E921" i="1"/>
  <c r="D921" i="1"/>
  <c r="C921" i="1"/>
  <c r="B921" i="1"/>
  <c r="Q920" i="1"/>
  <c r="I920" i="1"/>
  <c r="H920" i="1"/>
  <c r="G920" i="1"/>
  <c r="E920" i="1"/>
  <c r="D920" i="1"/>
  <c r="C920" i="1"/>
  <c r="B920" i="1"/>
  <c r="Q919" i="1"/>
  <c r="P919" i="1"/>
  <c r="O919" i="1"/>
  <c r="K919" i="1"/>
  <c r="I919" i="1"/>
  <c r="H919" i="1"/>
  <c r="N919" i="1" s="1"/>
  <c r="G919" i="1"/>
  <c r="E919" i="1"/>
  <c r="D919" i="1"/>
  <c r="C919" i="1"/>
  <c r="B919" i="1"/>
  <c r="Q918" i="1"/>
  <c r="O918" i="1"/>
  <c r="M918" i="1"/>
  <c r="I918" i="1"/>
  <c r="H918" i="1"/>
  <c r="N918" i="1" s="1"/>
  <c r="G918" i="1"/>
  <c r="E918" i="1"/>
  <c r="D918" i="1"/>
  <c r="C918" i="1"/>
  <c r="B918" i="1"/>
  <c r="Q917" i="1"/>
  <c r="P917" i="1"/>
  <c r="O917" i="1"/>
  <c r="M917" i="1"/>
  <c r="L917" i="1"/>
  <c r="I917" i="1"/>
  <c r="H917" i="1"/>
  <c r="N917" i="1" s="1"/>
  <c r="G917" i="1"/>
  <c r="E917" i="1"/>
  <c r="D917" i="1"/>
  <c r="C917" i="1"/>
  <c r="B917" i="1"/>
  <c r="Q916" i="1"/>
  <c r="O916" i="1"/>
  <c r="N916" i="1"/>
  <c r="M916" i="1"/>
  <c r="L916" i="1"/>
  <c r="I916" i="1"/>
  <c r="H916" i="1"/>
  <c r="K916" i="1" s="1"/>
  <c r="G916" i="1"/>
  <c r="E916" i="1"/>
  <c r="D916" i="1"/>
  <c r="C916" i="1"/>
  <c r="B916" i="1"/>
  <c r="Q915" i="1"/>
  <c r="O915" i="1"/>
  <c r="N915" i="1"/>
  <c r="M915" i="1"/>
  <c r="L915" i="1"/>
  <c r="I915" i="1"/>
  <c r="H915" i="1"/>
  <c r="K915" i="1" s="1"/>
  <c r="G915" i="1"/>
  <c r="E915" i="1"/>
  <c r="D915" i="1"/>
  <c r="C915" i="1"/>
  <c r="B915" i="1"/>
  <c r="Q914" i="1"/>
  <c r="O914" i="1"/>
  <c r="M914" i="1"/>
  <c r="L914" i="1"/>
  <c r="I914" i="1"/>
  <c r="H914" i="1"/>
  <c r="K914" i="1" s="1"/>
  <c r="G914" i="1"/>
  <c r="E914" i="1"/>
  <c r="D914" i="1"/>
  <c r="C914" i="1"/>
  <c r="B914" i="1"/>
  <c r="Q913" i="1"/>
  <c r="O913" i="1"/>
  <c r="M913" i="1"/>
  <c r="L913" i="1"/>
  <c r="I913" i="1"/>
  <c r="H913" i="1"/>
  <c r="K913" i="1" s="1"/>
  <c r="G913" i="1"/>
  <c r="E913" i="1"/>
  <c r="D913" i="1"/>
  <c r="C913" i="1"/>
  <c r="B913" i="1"/>
  <c r="Q912" i="1"/>
  <c r="O912" i="1"/>
  <c r="N912" i="1"/>
  <c r="M912" i="1"/>
  <c r="L912" i="1"/>
  <c r="I912" i="1"/>
  <c r="H912" i="1"/>
  <c r="K912" i="1" s="1"/>
  <c r="G912" i="1"/>
  <c r="E912" i="1"/>
  <c r="D912" i="1"/>
  <c r="C912" i="1"/>
  <c r="B912" i="1"/>
  <c r="Q911" i="1"/>
  <c r="O911" i="1"/>
  <c r="N911" i="1"/>
  <c r="M911" i="1"/>
  <c r="L911" i="1"/>
  <c r="I911" i="1"/>
  <c r="H911" i="1"/>
  <c r="K911" i="1" s="1"/>
  <c r="G911" i="1"/>
  <c r="E911" i="1"/>
  <c r="D911" i="1"/>
  <c r="C911" i="1"/>
  <c r="B911" i="1"/>
  <c r="Q910" i="1"/>
  <c r="O910" i="1"/>
  <c r="N910" i="1"/>
  <c r="M910" i="1"/>
  <c r="L910" i="1"/>
  <c r="I910" i="1"/>
  <c r="H910" i="1"/>
  <c r="K910" i="1" s="1"/>
  <c r="G910" i="1"/>
  <c r="E910" i="1"/>
  <c r="D910" i="1"/>
  <c r="C910" i="1"/>
  <c r="B910" i="1"/>
  <c r="Q909" i="1"/>
  <c r="O909" i="1"/>
  <c r="N909" i="1"/>
  <c r="M909" i="1"/>
  <c r="L909" i="1"/>
  <c r="I909" i="1"/>
  <c r="H909" i="1"/>
  <c r="K909" i="1" s="1"/>
  <c r="G909" i="1"/>
  <c r="E909" i="1"/>
  <c r="D909" i="1"/>
  <c r="C909" i="1"/>
  <c r="B909" i="1"/>
  <c r="Q908" i="1"/>
  <c r="O908" i="1"/>
  <c r="N908" i="1"/>
  <c r="M908" i="1"/>
  <c r="L908" i="1"/>
  <c r="I908" i="1"/>
  <c r="H908" i="1"/>
  <c r="K908" i="1" s="1"/>
  <c r="G908" i="1"/>
  <c r="E908" i="1"/>
  <c r="D908" i="1"/>
  <c r="C908" i="1"/>
  <c r="B908" i="1"/>
  <c r="Q907" i="1"/>
  <c r="O907" i="1"/>
  <c r="N907" i="1"/>
  <c r="M907" i="1"/>
  <c r="L907" i="1"/>
  <c r="I907" i="1"/>
  <c r="H907" i="1"/>
  <c r="K907" i="1" s="1"/>
  <c r="G907" i="1"/>
  <c r="E907" i="1"/>
  <c r="D907" i="1"/>
  <c r="C907" i="1"/>
  <c r="B907" i="1"/>
  <c r="Q906" i="1"/>
  <c r="O906" i="1"/>
  <c r="N906" i="1"/>
  <c r="M906" i="1"/>
  <c r="L906" i="1"/>
  <c r="I906" i="1"/>
  <c r="H906" i="1"/>
  <c r="K906" i="1" s="1"/>
  <c r="G906" i="1"/>
  <c r="E906" i="1"/>
  <c r="D906" i="1"/>
  <c r="C906" i="1"/>
  <c r="B906" i="1"/>
  <c r="Q905" i="1"/>
  <c r="O905" i="1"/>
  <c r="N905" i="1"/>
  <c r="M905" i="1"/>
  <c r="L905" i="1"/>
  <c r="I905" i="1"/>
  <c r="H905" i="1"/>
  <c r="K905" i="1" s="1"/>
  <c r="G905" i="1"/>
  <c r="E905" i="1"/>
  <c r="D905" i="1"/>
  <c r="C905" i="1"/>
  <c r="B905" i="1"/>
  <c r="Q904" i="1"/>
  <c r="O904" i="1"/>
  <c r="N904" i="1"/>
  <c r="M904" i="1"/>
  <c r="L904" i="1"/>
  <c r="I904" i="1"/>
  <c r="H904" i="1"/>
  <c r="K904" i="1" s="1"/>
  <c r="G904" i="1"/>
  <c r="E904" i="1"/>
  <c r="D904" i="1"/>
  <c r="C904" i="1"/>
  <c r="B904" i="1"/>
  <c r="Q903" i="1"/>
  <c r="O903" i="1"/>
  <c r="N903" i="1"/>
  <c r="M903" i="1"/>
  <c r="L903" i="1"/>
  <c r="I903" i="1"/>
  <c r="H903" i="1"/>
  <c r="K903" i="1" s="1"/>
  <c r="G903" i="1"/>
  <c r="E903" i="1"/>
  <c r="D903" i="1"/>
  <c r="C903" i="1"/>
  <c r="B903" i="1"/>
  <c r="Q902" i="1"/>
  <c r="O902" i="1"/>
  <c r="N902" i="1"/>
  <c r="M902" i="1"/>
  <c r="L902" i="1"/>
  <c r="I902" i="1"/>
  <c r="H902" i="1"/>
  <c r="K902" i="1" s="1"/>
  <c r="G902" i="1"/>
  <c r="E902" i="1"/>
  <c r="D902" i="1"/>
  <c r="C902" i="1"/>
  <c r="B902" i="1"/>
  <c r="Q901" i="1"/>
  <c r="O901" i="1"/>
  <c r="N901" i="1"/>
  <c r="M901" i="1"/>
  <c r="L901" i="1"/>
  <c r="I901" i="1"/>
  <c r="H901" i="1"/>
  <c r="K901" i="1" s="1"/>
  <c r="G901" i="1"/>
  <c r="E901" i="1"/>
  <c r="D901" i="1"/>
  <c r="C901" i="1"/>
  <c r="B901" i="1"/>
  <c r="Q900" i="1"/>
  <c r="O900" i="1"/>
  <c r="N900" i="1"/>
  <c r="M900" i="1"/>
  <c r="L900" i="1"/>
  <c r="I900" i="1"/>
  <c r="H900" i="1"/>
  <c r="K900" i="1" s="1"/>
  <c r="G900" i="1"/>
  <c r="E900" i="1"/>
  <c r="D900" i="1"/>
  <c r="C900" i="1"/>
  <c r="B900" i="1"/>
  <c r="Q899" i="1"/>
  <c r="O899" i="1"/>
  <c r="N899" i="1"/>
  <c r="M899" i="1"/>
  <c r="L899" i="1"/>
  <c r="I899" i="1"/>
  <c r="H899" i="1"/>
  <c r="K899" i="1" s="1"/>
  <c r="G899" i="1"/>
  <c r="E899" i="1"/>
  <c r="D899" i="1"/>
  <c r="C899" i="1"/>
  <c r="B899" i="1"/>
  <c r="Q898" i="1"/>
  <c r="O898" i="1"/>
  <c r="N898" i="1"/>
  <c r="L898" i="1"/>
  <c r="I898" i="1"/>
  <c r="H898" i="1"/>
  <c r="M898" i="1" s="1"/>
  <c r="G898" i="1"/>
  <c r="E898" i="1"/>
  <c r="D898" i="1"/>
  <c r="C898" i="1"/>
  <c r="B898" i="1"/>
  <c r="Q897" i="1"/>
  <c r="I897" i="1"/>
  <c r="H897" i="1"/>
  <c r="G897" i="1"/>
  <c r="E897" i="1"/>
  <c r="D897" i="1"/>
  <c r="C897" i="1"/>
  <c r="B897" i="1"/>
  <c r="Q896" i="1"/>
  <c r="I896" i="1"/>
  <c r="H896" i="1"/>
  <c r="G896" i="1"/>
  <c r="E896" i="1"/>
  <c r="D896" i="1"/>
  <c r="C896" i="1"/>
  <c r="B896" i="1"/>
  <c r="Q895" i="1"/>
  <c r="P895" i="1"/>
  <c r="O895" i="1"/>
  <c r="N895" i="1"/>
  <c r="M895" i="1"/>
  <c r="L895" i="1"/>
  <c r="I895" i="1"/>
  <c r="H895" i="1"/>
  <c r="G895" i="1"/>
  <c r="E895" i="1"/>
  <c r="D895" i="1"/>
  <c r="C895" i="1"/>
  <c r="B895" i="1"/>
  <c r="Q894" i="1"/>
  <c r="O894" i="1"/>
  <c r="N894" i="1"/>
  <c r="L894" i="1"/>
  <c r="I894" i="1"/>
  <c r="H894" i="1"/>
  <c r="P894" i="1" s="1"/>
  <c r="G894" i="1"/>
  <c r="E894" i="1"/>
  <c r="D894" i="1"/>
  <c r="C894" i="1"/>
  <c r="B894" i="1"/>
  <c r="Q893" i="1"/>
  <c r="L893" i="1"/>
  <c r="I893" i="1"/>
  <c r="H893" i="1"/>
  <c r="G893" i="1"/>
  <c r="E893" i="1"/>
  <c r="D893" i="1"/>
  <c r="C893" i="1"/>
  <c r="B893" i="1"/>
  <c r="Q892" i="1"/>
  <c r="I892" i="1"/>
  <c r="H892" i="1"/>
  <c r="G892" i="1"/>
  <c r="E892" i="1"/>
  <c r="D892" i="1"/>
  <c r="C892" i="1"/>
  <c r="B892" i="1"/>
  <c r="Q891" i="1"/>
  <c r="P891" i="1"/>
  <c r="O891" i="1"/>
  <c r="N891" i="1"/>
  <c r="M891" i="1"/>
  <c r="L891" i="1"/>
  <c r="I891" i="1"/>
  <c r="H891" i="1"/>
  <c r="G891" i="1"/>
  <c r="E891" i="1"/>
  <c r="D891" i="1"/>
  <c r="C891" i="1"/>
  <c r="B891" i="1"/>
  <c r="Q890" i="1"/>
  <c r="O890" i="1"/>
  <c r="N890" i="1"/>
  <c r="L890" i="1"/>
  <c r="I890" i="1"/>
  <c r="H890" i="1"/>
  <c r="P890" i="1" s="1"/>
  <c r="G890" i="1"/>
  <c r="E890" i="1"/>
  <c r="D890" i="1"/>
  <c r="C890" i="1"/>
  <c r="B890" i="1"/>
  <c r="Q889" i="1"/>
  <c r="L889" i="1"/>
  <c r="I889" i="1"/>
  <c r="H889" i="1"/>
  <c r="G889" i="1"/>
  <c r="E889" i="1"/>
  <c r="D889" i="1"/>
  <c r="C889" i="1"/>
  <c r="B889" i="1"/>
  <c r="Q888" i="1"/>
  <c r="P888" i="1"/>
  <c r="I888" i="1"/>
  <c r="H888" i="1"/>
  <c r="G888" i="1"/>
  <c r="E888" i="1"/>
  <c r="D888" i="1"/>
  <c r="C888" i="1"/>
  <c r="B888" i="1"/>
  <c r="Q887" i="1"/>
  <c r="P887" i="1"/>
  <c r="O887" i="1"/>
  <c r="N887" i="1"/>
  <c r="M887" i="1"/>
  <c r="L887" i="1"/>
  <c r="I887" i="1"/>
  <c r="H887" i="1"/>
  <c r="G887" i="1"/>
  <c r="E887" i="1"/>
  <c r="D887" i="1"/>
  <c r="C887" i="1"/>
  <c r="B887" i="1"/>
  <c r="Q886" i="1"/>
  <c r="O886" i="1"/>
  <c r="N886" i="1"/>
  <c r="L886" i="1"/>
  <c r="I886" i="1"/>
  <c r="H886" i="1"/>
  <c r="P886" i="1" s="1"/>
  <c r="G886" i="1"/>
  <c r="E886" i="1"/>
  <c r="D886" i="1"/>
  <c r="C886" i="1"/>
  <c r="B886" i="1"/>
  <c r="Q885" i="1"/>
  <c r="I885" i="1"/>
  <c r="H885" i="1"/>
  <c r="G885" i="1"/>
  <c r="E885" i="1"/>
  <c r="D885" i="1"/>
  <c r="C885" i="1"/>
  <c r="B885" i="1"/>
  <c r="Q884" i="1"/>
  <c r="P884" i="1"/>
  <c r="I884" i="1"/>
  <c r="H884" i="1"/>
  <c r="G884" i="1"/>
  <c r="E884" i="1"/>
  <c r="D884" i="1"/>
  <c r="C884" i="1"/>
  <c r="B884" i="1"/>
  <c r="Q883" i="1"/>
  <c r="P883" i="1"/>
  <c r="O883" i="1"/>
  <c r="N883" i="1"/>
  <c r="M883" i="1"/>
  <c r="L883" i="1"/>
  <c r="I883" i="1"/>
  <c r="H883" i="1"/>
  <c r="G883" i="1"/>
  <c r="E883" i="1"/>
  <c r="D883" i="1"/>
  <c r="C883" i="1"/>
  <c r="B883" i="1"/>
  <c r="Q882" i="1"/>
  <c r="O882" i="1"/>
  <c r="N882" i="1"/>
  <c r="L882" i="1"/>
  <c r="I882" i="1"/>
  <c r="H882" i="1"/>
  <c r="P882" i="1" s="1"/>
  <c r="G882" i="1"/>
  <c r="E882" i="1"/>
  <c r="D882" i="1"/>
  <c r="C882" i="1"/>
  <c r="B882" i="1"/>
  <c r="Q881" i="1"/>
  <c r="L881" i="1"/>
  <c r="I881" i="1"/>
  <c r="H881" i="1"/>
  <c r="G881" i="1"/>
  <c r="E881" i="1"/>
  <c r="D881" i="1"/>
  <c r="C881" i="1"/>
  <c r="B881" i="1"/>
  <c r="Q880" i="1"/>
  <c r="I880" i="1"/>
  <c r="H880" i="1"/>
  <c r="G880" i="1"/>
  <c r="E880" i="1"/>
  <c r="D880" i="1"/>
  <c r="C880" i="1"/>
  <c r="B880" i="1"/>
  <c r="Q879" i="1"/>
  <c r="P879" i="1"/>
  <c r="O879" i="1"/>
  <c r="N879" i="1"/>
  <c r="M879" i="1"/>
  <c r="L879" i="1"/>
  <c r="I879" i="1"/>
  <c r="H879" i="1"/>
  <c r="G879" i="1"/>
  <c r="E879" i="1"/>
  <c r="D879" i="1"/>
  <c r="C879" i="1"/>
  <c r="B879" i="1"/>
  <c r="Q878" i="1"/>
  <c r="O878" i="1"/>
  <c r="N878" i="1"/>
  <c r="L878" i="1"/>
  <c r="I878" i="1"/>
  <c r="H878" i="1"/>
  <c r="P878" i="1" s="1"/>
  <c r="G878" i="1"/>
  <c r="E878" i="1"/>
  <c r="D878" i="1"/>
  <c r="C878" i="1"/>
  <c r="B878" i="1"/>
  <c r="Q877" i="1"/>
  <c r="L877" i="1"/>
  <c r="I877" i="1"/>
  <c r="H877" i="1"/>
  <c r="G877" i="1"/>
  <c r="E877" i="1"/>
  <c r="D877" i="1"/>
  <c r="C877" i="1"/>
  <c r="B877" i="1"/>
  <c r="Q876" i="1"/>
  <c r="P876" i="1"/>
  <c r="I876" i="1"/>
  <c r="H876" i="1"/>
  <c r="G876" i="1"/>
  <c r="E876" i="1"/>
  <c r="D876" i="1"/>
  <c r="C876" i="1"/>
  <c r="B876" i="1"/>
  <c r="Q875" i="1"/>
  <c r="P875" i="1"/>
  <c r="O875" i="1"/>
  <c r="N875" i="1"/>
  <c r="M875" i="1"/>
  <c r="L875" i="1"/>
  <c r="I875" i="1"/>
  <c r="H875" i="1"/>
  <c r="G875" i="1"/>
  <c r="E875" i="1"/>
  <c r="D875" i="1"/>
  <c r="C875" i="1"/>
  <c r="B875" i="1"/>
  <c r="Q874" i="1"/>
  <c r="O874" i="1"/>
  <c r="N874" i="1"/>
  <c r="L874" i="1"/>
  <c r="I874" i="1"/>
  <c r="H874" i="1"/>
  <c r="P874" i="1" s="1"/>
  <c r="G874" i="1"/>
  <c r="E874" i="1"/>
  <c r="D874" i="1"/>
  <c r="C874" i="1"/>
  <c r="B874" i="1"/>
  <c r="Q873" i="1"/>
  <c r="L873" i="1"/>
  <c r="I873" i="1"/>
  <c r="H873" i="1"/>
  <c r="G873" i="1"/>
  <c r="E873" i="1"/>
  <c r="D873" i="1"/>
  <c r="C873" i="1"/>
  <c r="B873" i="1"/>
  <c r="Q872" i="1"/>
  <c r="P872" i="1"/>
  <c r="I872" i="1"/>
  <c r="H872" i="1"/>
  <c r="G872" i="1"/>
  <c r="E872" i="1"/>
  <c r="D872" i="1"/>
  <c r="C872" i="1"/>
  <c r="B872" i="1"/>
  <c r="Q871" i="1"/>
  <c r="P871" i="1"/>
  <c r="O871" i="1"/>
  <c r="N871" i="1"/>
  <c r="M871" i="1"/>
  <c r="L871" i="1"/>
  <c r="I871" i="1"/>
  <c r="H871" i="1"/>
  <c r="G871" i="1"/>
  <c r="E871" i="1"/>
  <c r="D871" i="1"/>
  <c r="C871" i="1"/>
  <c r="B871" i="1"/>
  <c r="Q870" i="1"/>
  <c r="O870" i="1"/>
  <c r="N870" i="1"/>
  <c r="L870" i="1"/>
  <c r="I870" i="1"/>
  <c r="H870" i="1"/>
  <c r="P870" i="1" s="1"/>
  <c r="G870" i="1"/>
  <c r="E870" i="1"/>
  <c r="D870" i="1"/>
  <c r="C870" i="1"/>
  <c r="B870" i="1"/>
  <c r="Q869" i="1"/>
  <c r="M869" i="1"/>
  <c r="L869" i="1"/>
  <c r="I869" i="1"/>
  <c r="H869" i="1"/>
  <c r="J869" i="1" s="1"/>
  <c r="G869" i="1"/>
  <c r="E869" i="1"/>
  <c r="D869" i="1"/>
  <c r="C869" i="1"/>
  <c r="B869" i="1"/>
  <c r="Q868" i="1"/>
  <c r="I868" i="1"/>
  <c r="H868" i="1"/>
  <c r="G868" i="1"/>
  <c r="E868" i="1"/>
  <c r="D868" i="1"/>
  <c r="C868" i="1"/>
  <c r="B868" i="1"/>
  <c r="Q867" i="1"/>
  <c r="P867" i="1"/>
  <c r="O867" i="1"/>
  <c r="N867" i="1"/>
  <c r="K867" i="1"/>
  <c r="I867" i="1"/>
  <c r="H867" i="1"/>
  <c r="J867" i="1" s="1"/>
  <c r="G867" i="1"/>
  <c r="E867" i="1"/>
  <c r="D867" i="1"/>
  <c r="C867" i="1"/>
  <c r="B867" i="1"/>
  <c r="Q866" i="1"/>
  <c r="O866" i="1"/>
  <c r="I866" i="1"/>
  <c r="H866" i="1"/>
  <c r="G866" i="1"/>
  <c r="E866" i="1"/>
  <c r="D866" i="1"/>
  <c r="C866" i="1"/>
  <c r="B866" i="1"/>
  <c r="Q865" i="1"/>
  <c r="P865" i="1"/>
  <c r="N865" i="1"/>
  <c r="I865" i="1"/>
  <c r="H865" i="1"/>
  <c r="J865" i="1" s="1"/>
  <c r="G865" i="1"/>
  <c r="E865" i="1"/>
  <c r="D865" i="1"/>
  <c r="C865" i="1"/>
  <c r="B865" i="1"/>
  <c r="Q864" i="1"/>
  <c r="P864" i="1"/>
  <c r="O864" i="1"/>
  <c r="N864" i="1"/>
  <c r="M864" i="1"/>
  <c r="L864" i="1"/>
  <c r="K864" i="1"/>
  <c r="I864" i="1"/>
  <c r="H864" i="1"/>
  <c r="J864" i="1" s="1"/>
  <c r="G864" i="1"/>
  <c r="E864" i="1"/>
  <c r="D864" i="1"/>
  <c r="C864" i="1"/>
  <c r="B864" i="1"/>
  <c r="Q863" i="1"/>
  <c r="O863" i="1"/>
  <c r="N863" i="1"/>
  <c r="M863" i="1"/>
  <c r="L863" i="1"/>
  <c r="K863" i="1"/>
  <c r="I863" i="1"/>
  <c r="H863" i="1"/>
  <c r="J863" i="1" s="1"/>
  <c r="G863" i="1"/>
  <c r="E863" i="1"/>
  <c r="D863" i="1"/>
  <c r="C863" i="1"/>
  <c r="B863" i="1"/>
  <c r="Q862" i="1"/>
  <c r="N862" i="1"/>
  <c r="M862" i="1"/>
  <c r="K862" i="1"/>
  <c r="I862" i="1"/>
  <c r="H862" i="1"/>
  <c r="J862" i="1" s="1"/>
  <c r="G862" i="1"/>
  <c r="E862" i="1"/>
  <c r="D862" i="1"/>
  <c r="C862" i="1"/>
  <c r="B862" i="1"/>
  <c r="Q861" i="1"/>
  <c r="M861" i="1"/>
  <c r="L861" i="1"/>
  <c r="I861" i="1"/>
  <c r="H861" i="1"/>
  <c r="J861" i="1" s="1"/>
  <c r="G861" i="1"/>
  <c r="E861" i="1"/>
  <c r="D861" i="1"/>
  <c r="C861" i="1"/>
  <c r="B861" i="1"/>
  <c r="Q860" i="1"/>
  <c r="I860" i="1"/>
  <c r="H860" i="1"/>
  <c r="G860" i="1"/>
  <c r="E860" i="1"/>
  <c r="D860" i="1"/>
  <c r="C860" i="1"/>
  <c r="B860" i="1"/>
  <c r="Q859" i="1"/>
  <c r="P859" i="1"/>
  <c r="O859" i="1"/>
  <c r="N859" i="1"/>
  <c r="K859" i="1"/>
  <c r="I859" i="1"/>
  <c r="H859" i="1"/>
  <c r="J859" i="1" s="1"/>
  <c r="G859" i="1"/>
  <c r="E859" i="1"/>
  <c r="D859" i="1"/>
  <c r="C859" i="1"/>
  <c r="B859" i="1"/>
  <c r="Q858" i="1"/>
  <c r="O858" i="1"/>
  <c r="N858" i="1"/>
  <c r="M858" i="1"/>
  <c r="J858" i="1"/>
  <c r="I858" i="1"/>
  <c r="H858" i="1"/>
  <c r="L858" i="1" s="1"/>
  <c r="G858" i="1"/>
  <c r="E858" i="1"/>
  <c r="D858" i="1"/>
  <c r="C858" i="1"/>
  <c r="B858" i="1"/>
  <c r="Q857" i="1"/>
  <c r="O857" i="1"/>
  <c r="N857" i="1"/>
  <c r="M857" i="1"/>
  <c r="J857" i="1"/>
  <c r="I857" i="1"/>
  <c r="H857" i="1"/>
  <c r="L857" i="1" s="1"/>
  <c r="G857" i="1"/>
  <c r="E857" i="1"/>
  <c r="D857" i="1"/>
  <c r="C857" i="1"/>
  <c r="B857" i="1"/>
  <c r="Q856" i="1"/>
  <c r="O856" i="1"/>
  <c r="N856" i="1"/>
  <c r="M856" i="1"/>
  <c r="J856" i="1"/>
  <c r="I856" i="1"/>
  <c r="H856" i="1"/>
  <c r="L856" i="1" s="1"/>
  <c r="G856" i="1"/>
  <c r="E856" i="1"/>
  <c r="D856" i="1"/>
  <c r="C856" i="1"/>
  <c r="B856" i="1"/>
  <c r="Q855" i="1"/>
  <c r="O855" i="1"/>
  <c r="N855" i="1"/>
  <c r="M855" i="1"/>
  <c r="J855" i="1"/>
  <c r="I855" i="1"/>
  <c r="H855" i="1"/>
  <c r="L855" i="1" s="1"/>
  <c r="G855" i="1"/>
  <c r="E855" i="1"/>
  <c r="D855" i="1"/>
  <c r="C855" i="1"/>
  <c r="B855" i="1"/>
  <c r="Q854" i="1"/>
  <c r="O854" i="1"/>
  <c r="N854" i="1"/>
  <c r="M854" i="1"/>
  <c r="J854" i="1"/>
  <c r="I854" i="1"/>
  <c r="H854" i="1"/>
  <c r="L854" i="1" s="1"/>
  <c r="G854" i="1"/>
  <c r="E854" i="1"/>
  <c r="D854" i="1"/>
  <c r="C854" i="1"/>
  <c r="B854" i="1"/>
  <c r="Q853" i="1"/>
  <c r="O853" i="1"/>
  <c r="N853" i="1"/>
  <c r="M853" i="1"/>
  <c r="J853" i="1"/>
  <c r="I853" i="1"/>
  <c r="H853" i="1"/>
  <c r="L853" i="1" s="1"/>
  <c r="G853" i="1"/>
  <c r="E853" i="1"/>
  <c r="D853" i="1"/>
  <c r="C853" i="1"/>
  <c r="B853" i="1"/>
  <c r="Q852" i="1"/>
  <c r="O852" i="1"/>
  <c r="N852" i="1"/>
  <c r="M852" i="1"/>
  <c r="J852" i="1"/>
  <c r="I852" i="1"/>
  <c r="H852" i="1"/>
  <c r="L852" i="1" s="1"/>
  <c r="G852" i="1"/>
  <c r="E852" i="1"/>
  <c r="D852" i="1"/>
  <c r="C852" i="1"/>
  <c r="B852" i="1"/>
  <c r="Q851" i="1"/>
  <c r="O851" i="1"/>
  <c r="N851" i="1"/>
  <c r="M851" i="1"/>
  <c r="J851" i="1"/>
  <c r="I851" i="1"/>
  <c r="H851" i="1"/>
  <c r="L851" i="1" s="1"/>
  <c r="G851" i="1"/>
  <c r="E851" i="1"/>
  <c r="D851" i="1"/>
  <c r="C851" i="1"/>
  <c r="B851" i="1"/>
  <c r="Q850" i="1"/>
  <c r="O850" i="1"/>
  <c r="N850" i="1"/>
  <c r="M850" i="1"/>
  <c r="J850" i="1"/>
  <c r="I850" i="1"/>
  <c r="H850" i="1"/>
  <c r="L850" i="1" s="1"/>
  <c r="G850" i="1"/>
  <c r="E850" i="1"/>
  <c r="D850" i="1"/>
  <c r="C850" i="1"/>
  <c r="B850" i="1"/>
  <c r="Q849" i="1"/>
  <c r="O849" i="1"/>
  <c r="N849" i="1"/>
  <c r="M849" i="1"/>
  <c r="J849" i="1"/>
  <c r="I849" i="1"/>
  <c r="H849" i="1"/>
  <c r="L849" i="1" s="1"/>
  <c r="G849" i="1"/>
  <c r="E849" i="1"/>
  <c r="D849" i="1"/>
  <c r="C849" i="1"/>
  <c r="B849" i="1"/>
  <c r="Q848" i="1"/>
  <c r="O848" i="1"/>
  <c r="N848" i="1"/>
  <c r="M848" i="1"/>
  <c r="J848" i="1"/>
  <c r="I848" i="1"/>
  <c r="H848" i="1"/>
  <c r="L848" i="1" s="1"/>
  <c r="G848" i="1"/>
  <c r="E848" i="1"/>
  <c r="D848" i="1"/>
  <c r="C848" i="1"/>
  <c r="B848" i="1"/>
  <c r="Q847" i="1"/>
  <c r="O847" i="1"/>
  <c r="N847" i="1"/>
  <c r="M847" i="1"/>
  <c r="J847" i="1"/>
  <c r="I847" i="1"/>
  <c r="H847" i="1"/>
  <c r="L847" i="1" s="1"/>
  <c r="G847" i="1"/>
  <c r="E847" i="1"/>
  <c r="D847" i="1"/>
  <c r="C847" i="1"/>
  <c r="B847" i="1"/>
  <c r="Q846" i="1"/>
  <c r="O846" i="1"/>
  <c r="N846" i="1"/>
  <c r="M846" i="1"/>
  <c r="J846" i="1"/>
  <c r="I846" i="1"/>
  <c r="H846" i="1"/>
  <c r="L846" i="1" s="1"/>
  <c r="G846" i="1"/>
  <c r="E846" i="1"/>
  <c r="D846" i="1"/>
  <c r="C846" i="1"/>
  <c r="B846" i="1"/>
  <c r="Q845" i="1"/>
  <c r="O845" i="1"/>
  <c r="N845" i="1"/>
  <c r="M845" i="1"/>
  <c r="J845" i="1"/>
  <c r="I845" i="1"/>
  <c r="H845" i="1"/>
  <c r="L845" i="1" s="1"/>
  <c r="G845" i="1"/>
  <c r="E845" i="1"/>
  <c r="D845" i="1"/>
  <c r="C845" i="1"/>
  <c r="B845" i="1"/>
  <c r="Q844" i="1"/>
  <c r="O844" i="1"/>
  <c r="N844" i="1"/>
  <c r="M844" i="1"/>
  <c r="J844" i="1"/>
  <c r="I844" i="1"/>
  <c r="H844" i="1"/>
  <c r="L844" i="1" s="1"/>
  <c r="G844" i="1"/>
  <c r="E844" i="1"/>
  <c r="D844" i="1"/>
  <c r="C844" i="1"/>
  <c r="B844" i="1"/>
  <c r="Q843" i="1"/>
  <c r="O843" i="1"/>
  <c r="N843" i="1"/>
  <c r="M843" i="1"/>
  <c r="J843" i="1"/>
  <c r="I843" i="1"/>
  <c r="H843" i="1"/>
  <c r="L843" i="1" s="1"/>
  <c r="G843" i="1"/>
  <c r="E843" i="1"/>
  <c r="D843" i="1"/>
  <c r="C843" i="1"/>
  <c r="B843" i="1"/>
  <c r="Q842" i="1"/>
  <c r="O842" i="1"/>
  <c r="N842" i="1"/>
  <c r="M842" i="1"/>
  <c r="J842" i="1"/>
  <c r="I842" i="1"/>
  <c r="H842" i="1"/>
  <c r="L842" i="1" s="1"/>
  <c r="G842" i="1"/>
  <c r="E842" i="1"/>
  <c r="D842" i="1"/>
  <c r="C842" i="1"/>
  <c r="B842" i="1"/>
  <c r="Q841" i="1"/>
  <c r="O841" i="1"/>
  <c r="N841" i="1"/>
  <c r="M841" i="1"/>
  <c r="J841" i="1"/>
  <c r="I841" i="1"/>
  <c r="H841" i="1"/>
  <c r="L841" i="1" s="1"/>
  <c r="G841" i="1"/>
  <c r="E841" i="1"/>
  <c r="D841" i="1"/>
  <c r="C841" i="1"/>
  <c r="B841" i="1"/>
  <c r="Q840" i="1"/>
  <c r="O840" i="1"/>
  <c r="N840" i="1"/>
  <c r="M840" i="1"/>
  <c r="J840" i="1"/>
  <c r="I840" i="1"/>
  <c r="H840" i="1"/>
  <c r="L840" i="1" s="1"/>
  <c r="G840" i="1"/>
  <c r="E840" i="1"/>
  <c r="D840" i="1"/>
  <c r="C840" i="1"/>
  <c r="B840" i="1"/>
  <c r="Q839" i="1"/>
  <c r="O839" i="1"/>
  <c r="N839" i="1"/>
  <c r="M839" i="1"/>
  <c r="J839" i="1"/>
  <c r="I839" i="1"/>
  <c r="H839" i="1"/>
  <c r="L839" i="1" s="1"/>
  <c r="G839" i="1"/>
  <c r="E839" i="1"/>
  <c r="D839" i="1"/>
  <c r="C839" i="1"/>
  <c r="B839" i="1"/>
  <c r="Q838" i="1"/>
  <c r="O838" i="1"/>
  <c r="N838" i="1"/>
  <c r="M838" i="1"/>
  <c r="J838" i="1"/>
  <c r="I838" i="1"/>
  <c r="H838" i="1"/>
  <c r="L838" i="1" s="1"/>
  <c r="G838" i="1"/>
  <c r="E838" i="1"/>
  <c r="D838" i="1"/>
  <c r="C838" i="1"/>
  <c r="B838" i="1"/>
  <c r="Q837" i="1"/>
  <c r="O837" i="1"/>
  <c r="N837" i="1"/>
  <c r="M837" i="1"/>
  <c r="J837" i="1"/>
  <c r="I837" i="1"/>
  <c r="H837" i="1"/>
  <c r="L837" i="1" s="1"/>
  <c r="G837" i="1"/>
  <c r="E837" i="1"/>
  <c r="D837" i="1"/>
  <c r="C837" i="1"/>
  <c r="B837" i="1"/>
  <c r="Q836" i="1"/>
  <c r="O836" i="1"/>
  <c r="N836" i="1"/>
  <c r="M836" i="1"/>
  <c r="J836" i="1"/>
  <c r="I836" i="1"/>
  <c r="H836" i="1"/>
  <c r="L836" i="1" s="1"/>
  <c r="G836" i="1"/>
  <c r="E836" i="1"/>
  <c r="D836" i="1"/>
  <c r="C836" i="1"/>
  <c r="B836" i="1"/>
  <c r="Q835" i="1"/>
  <c r="O835" i="1"/>
  <c r="N835" i="1"/>
  <c r="M835" i="1"/>
  <c r="J835" i="1"/>
  <c r="I835" i="1"/>
  <c r="H835" i="1"/>
  <c r="L835" i="1" s="1"/>
  <c r="G835" i="1"/>
  <c r="E835" i="1"/>
  <c r="D835" i="1"/>
  <c r="C835" i="1"/>
  <c r="B835" i="1"/>
  <c r="Q834" i="1"/>
  <c r="O834" i="1"/>
  <c r="N834" i="1"/>
  <c r="M834" i="1"/>
  <c r="J834" i="1"/>
  <c r="I834" i="1"/>
  <c r="H834" i="1"/>
  <c r="L834" i="1" s="1"/>
  <c r="G834" i="1"/>
  <c r="E834" i="1"/>
  <c r="D834" i="1"/>
  <c r="C834" i="1"/>
  <c r="B834" i="1"/>
  <c r="Q833" i="1"/>
  <c r="O833" i="1"/>
  <c r="N833" i="1"/>
  <c r="M833" i="1"/>
  <c r="J833" i="1"/>
  <c r="I833" i="1"/>
  <c r="H833" i="1"/>
  <c r="L833" i="1" s="1"/>
  <c r="G833" i="1"/>
  <c r="E833" i="1"/>
  <c r="D833" i="1"/>
  <c r="C833" i="1"/>
  <c r="B833" i="1"/>
  <c r="Q832" i="1"/>
  <c r="O832" i="1"/>
  <c r="N832" i="1"/>
  <c r="M832" i="1"/>
  <c r="J832" i="1"/>
  <c r="I832" i="1"/>
  <c r="H832" i="1"/>
  <c r="L832" i="1" s="1"/>
  <c r="G832" i="1"/>
  <c r="E832" i="1"/>
  <c r="D832" i="1"/>
  <c r="C832" i="1"/>
  <c r="B832" i="1"/>
  <c r="Q831" i="1"/>
  <c r="O831" i="1"/>
  <c r="N831" i="1"/>
  <c r="M831" i="1"/>
  <c r="J831" i="1"/>
  <c r="I831" i="1"/>
  <c r="H831" i="1"/>
  <c r="L831" i="1" s="1"/>
  <c r="G831" i="1"/>
  <c r="E831" i="1"/>
  <c r="D831" i="1"/>
  <c r="C831" i="1"/>
  <c r="B831" i="1"/>
  <c r="Q830" i="1"/>
  <c r="O830" i="1"/>
  <c r="N830" i="1"/>
  <c r="M830" i="1"/>
  <c r="J830" i="1"/>
  <c r="I830" i="1"/>
  <c r="H830" i="1"/>
  <c r="L830" i="1" s="1"/>
  <c r="G830" i="1"/>
  <c r="E830" i="1"/>
  <c r="D830" i="1"/>
  <c r="C830" i="1"/>
  <c r="B830" i="1"/>
  <c r="Q829" i="1"/>
  <c r="O829" i="1"/>
  <c r="N829" i="1"/>
  <c r="M829" i="1"/>
  <c r="J829" i="1"/>
  <c r="I829" i="1"/>
  <c r="H829" i="1"/>
  <c r="L829" i="1" s="1"/>
  <c r="G829" i="1"/>
  <c r="E829" i="1"/>
  <c r="D829" i="1"/>
  <c r="C829" i="1"/>
  <c r="B829" i="1"/>
  <c r="Q828" i="1"/>
  <c r="O828" i="1"/>
  <c r="N828" i="1"/>
  <c r="M828" i="1"/>
  <c r="J828" i="1"/>
  <c r="I828" i="1"/>
  <c r="H828" i="1"/>
  <c r="L828" i="1" s="1"/>
  <c r="G828" i="1"/>
  <c r="E828" i="1"/>
  <c r="D828" i="1"/>
  <c r="C828" i="1"/>
  <c r="B828" i="1"/>
  <c r="Q827" i="1"/>
  <c r="O827" i="1"/>
  <c r="N827" i="1"/>
  <c r="M827" i="1"/>
  <c r="J827" i="1"/>
  <c r="I827" i="1"/>
  <c r="H827" i="1"/>
  <c r="L827" i="1" s="1"/>
  <c r="G827" i="1"/>
  <c r="E827" i="1"/>
  <c r="D827" i="1"/>
  <c r="C827" i="1"/>
  <c r="B827" i="1"/>
  <c r="Q826" i="1"/>
  <c r="O826" i="1"/>
  <c r="N826" i="1"/>
  <c r="M826" i="1"/>
  <c r="J826" i="1"/>
  <c r="I826" i="1"/>
  <c r="H826" i="1"/>
  <c r="L826" i="1" s="1"/>
  <c r="G826" i="1"/>
  <c r="E826" i="1"/>
  <c r="D826" i="1"/>
  <c r="C826" i="1"/>
  <c r="B826" i="1"/>
  <c r="Q825" i="1"/>
  <c r="O825" i="1"/>
  <c r="N825" i="1"/>
  <c r="M825" i="1"/>
  <c r="J825" i="1"/>
  <c r="I825" i="1"/>
  <c r="H825" i="1"/>
  <c r="L825" i="1" s="1"/>
  <c r="G825" i="1"/>
  <c r="E825" i="1"/>
  <c r="D825" i="1"/>
  <c r="C825" i="1"/>
  <c r="B825" i="1"/>
  <c r="Q824" i="1"/>
  <c r="O824" i="1"/>
  <c r="N824" i="1"/>
  <c r="M824" i="1"/>
  <c r="J824" i="1"/>
  <c r="I824" i="1"/>
  <c r="H824" i="1"/>
  <c r="L824" i="1" s="1"/>
  <c r="G824" i="1"/>
  <c r="E824" i="1"/>
  <c r="D824" i="1"/>
  <c r="C824" i="1"/>
  <c r="B824" i="1"/>
  <c r="Q823" i="1"/>
  <c r="O823" i="1"/>
  <c r="N823" i="1"/>
  <c r="M823" i="1"/>
  <c r="J823" i="1"/>
  <c r="I823" i="1"/>
  <c r="H823" i="1"/>
  <c r="L823" i="1" s="1"/>
  <c r="G823" i="1"/>
  <c r="E823" i="1"/>
  <c r="D823" i="1"/>
  <c r="C823" i="1"/>
  <c r="B823" i="1"/>
  <c r="Q822" i="1"/>
  <c r="O822" i="1"/>
  <c r="N822" i="1"/>
  <c r="M822" i="1"/>
  <c r="J822" i="1"/>
  <c r="I822" i="1"/>
  <c r="H822" i="1"/>
  <c r="L822" i="1" s="1"/>
  <c r="G822" i="1"/>
  <c r="E822" i="1"/>
  <c r="D822" i="1"/>
  <c r="C822" i="1"/>
  <c r="B822" i="1"/>
  <c r="Q821" i="1"/>
  <c r="O821" i="1"/>
  <c r="N821" i="1"/>
  <c r="M821" i="1"/>
  <c r="J821" i="1"/>
  <c r="I821" i="1"/>
  <c r="H821" i="1"/>
  <c r="L821" i="1" s="1"/>
  <c r="G821" i="1"/>
  <c r="E821" i="1"/>
  <c r="D821" i="1"/>
  <c r="C821" i="1"/>
  <c r="B821" i="1"/>
  <c r="Q820" i="1"/>
  <c r="O820" i="1"/>
  <c r="N820" i="1"/>
  <c r="M820" i="1"/>
  <c r="J820" i="1"/>
  <c r="I820" i="1"/>
  <c r="H820" i="1"/>
  <c r="L820" i="1" s="1"/>
  <c r="G820" i="1"/>
  <c r="E820" i="1"/>
  <c r="D820" i="1"/>
  <c r="C820" i="1"/>
  <c r="B820" i="1"/>
  <c r="Q819" i="1"/>
  <c r="O819" i="1"/>
  <c r="N819" i="1"/>
  <c r="M819" i="1"/>
  <c r="J819" i="1"/>
  <c r="I819" i="1"/>
  <c r="H819" i="1"/>
  <c r="L819" i="1" s="1"/>
  <c r="G819" i="1"/>
  <c r="E819" i="1"/>
  <c r="D819" i="1"/>
  <c r="C819" i="1"/>
  <c r="B819" i="1"/>
  <c r="Q818" i="1"/>
  <c r="O818" i="1"/>
  <c r="N818" i="1"/>
  <c r="M818" i="1"/>
  <c r="J818" i="1"/>
  <c r="I818" i="1"/>
  <c r="H818" i="1"/>
  <c r="L818" i="1" s="1"/>
  <c r="G818" i="1"/>
  <c r="E818" i="1"/>
  <c r="D818" i="1"/>
  <c r="C818" i="1"/>
  <c r="B818" i="1"/>
  <c r="Q817" i="1"/>
  <c r="O817" i="1"/>
  <c r="N817" i="1"/>
  <c r="M817" i="1"/>
  <c r="J817" i="1"/>
  <c r="I817" i="1"/>
  <c r="H817" i="1"/>
  <c r="L817" i="1" s="1"/>
  <c r="G817" i="1"/>
  <c r="E817" i="1"/>
  <c r="D817" i="1"/>
  <c r="C817" i="1"/>
  <c r="B817" i="1"/>
  <c r="Q816" i="1"/>
  <c r="O816" i="1"/>
  <c r="N816" i="1"/>
  <c r="M816" i="1"/>
  <c r="J816" i="1"/>
  <c r="I816" i="1"/>
  <c r="H816" i="1"/>
  <c r="L816" i="1" s="1"/>
  <c r="G816" i="1"/>
  <c r="E816" i="1"/>
  <c r="D816" i="1"/>
  <c r="C816" i="1"/>
  <c r="B816" i="1"/>
  <c r="Q815" i="1"/>
  <c r="O815" i="1"/>
  <c r="N815" i="1"/>
  <c r="M815" i="1"/>
  <c r="J815" i="1"/>
  <c r="I815" i="1"/>
  <c r="H815" i="1"/>
  <c r="L815" i="1" s="1"/>
  <c r="G815" i="1"/>
  <c r="E815" i="1"/>
  <c r="D815" i="1"/>
  <c r="C815" i="1"/>
  <c r="B815" i="1"/>
  <c r="Q814" i="1"/>
  <c r="O814" i="1"/>
  <c r="N814" i="1"/>
  <c r="M814" i="1"/>
  <c r="J814" i="1"/>
  <c r="I814" i="1"/>
  <c r="H814" i="1"/>
  <c r="L814" i="1" s="1"/>
  <c r="G814" i="1"/>
  <c r="E814" i="1"/>
  <c r="D814" i="1"/>
  <c r="C814" i="1"/>
  <c r="B814" i="1"/>
  <c r="Q813" i="1"/>
  <c r="O813" i="1"/>
  <c r="N813" i="1"/>
  <c r="M813" i="1"/>
  <c r="J813" i="1"/>
  <c r="I813" i="1"/>
  <c r="H813" i="1"/>
  <c r="L813" i="1" s="1"/>
  <c r="G813" i="1"/>
  <c r="E813" i="1"/>
  <c r="D813" i="1"/>
  <c r="C813" i="1"/>
  <c r="B813" i="1"/>
  <c r="Q812" i="1"/>
  <c r="O812" i="1"/>
  <c r="N812" i="1"/>
  <c r="M812" i="1"/>
  <c r="J812" i="1"/>
  <c r="I812" i="1"/>
  <c r="H812" i="1"/>
  <c r="L812" i="1" s="1"/>
  <c r="G812" i="1"/>
  <c r="E812" i="1"/>
  <c r="D812" i="1"/>
  <c r="C812" i="1"/>
  <c r="B812" i="1"/>
  <c r="Q811" i="1"/>
  <c r="O811" i="1"/>
  <c r="N811" i="1"/>
  <c r="M811" i="1"/>
  <c r="J811" i="1"/>
  <c r="I811" i="1"/>
  <c r="H811" i="1"/>
  <c r="L811" i="1" s="1"/>
  <c r="G811" i="1"/>
  <c r="E811" i="1"/>
  <c r="D811" i="1"/>
  <c r="C811" i="1"/>
  <c r="B811" i="1"/>
  <c r="Q810" i="1"/>
  <c r="O810" i="1"/>
  <c r="N810" i="1"/>
  <c r="M810" i="1"/>
  <c r="J810" i="1"/>
  <c r="I810" i="1"/>
  <c r="H810" i="1"/>
  <c r="L810" i="1" s="1"/>
  <c r="G810" i="1"/>
  <c r="E810" i="1"/>
  <c r="D810" i="1"/>
  <c r="C810" i="1"/>
  <c r="B810" i="1"/>
  <c r="Q809" i="1"/>
  <c r="O809" i="1"/>
  <c r="N809" i="1"/>
  <c r="M809" i="1"/>
  <c r="J809" i="1"/>
  <c r="I809" i="1"/>
  <c r="H809" i="1"/>
  <c r="L809" i="1" s="1"/>
  <c r="G809" i="1"/>
  <c r="E809" i="1"/>
  <c r="D809" i="1"/>
  <c r="C809" i="1"/>
  <c r="B809" i="1"/>
  <c r="Q808" i="1"/>
  <c r="O808" i="1"/>
  <c r="N808" i="1"/>
  <c r="M808" i="1"/>
  <c r="J808" i="1"/>
  <c r="I808" i="1"/>
  <c r="H808" i="1"/>
  <c r="L808" i="1" s="1"/>
  <c r="G808" i="1"/>
  <c r="E808" i="1"/>
  <c r="D808" i="1"/>
  <c r="C808" i="1"/>
  <c r="B808" i="1"/>
  <c r="Q807" i="1"/>
  <c r="O807" i="1"/>
  <c r="N807" i="1"/>
  <c r="M807" i="1"/>
  <c r="J807" i="1"/>
  <c r="I807" i="1"/>
  <c r="H807" i="1"/>
  <c r="L807" i="1" s="1"/>
  <c r="G807" i="1"/>
  <c r="E807" i="1"/>
  <c r="D807" i="1"/>
  <c r="C807" i="1"/>
  <c r="B807" i="1"/>
  <c r="Q806" i="1"/>
  <c r="O806" i="1"/>
  <c r="N806" i="1"/>
  <c r="M806" i="1"/>
  <c r="J806" i="1"/>
  <c r="I806" i="1"/>
  <c r="H806" i="1"/>
  <c r="L806" i="1" s="1"/>
  <c r="G806" i="1"/>
  <c r="E806" i="1"/>
  <c r="D806" i="1"/>
  <c r="C806" i="1"/>
  <c r="B806" i="1"/>
  <c r="Q805" i="1"/>
  <c r="O805" i="1"/>
  <c r="N805" i="1"/>
  <c r="M805" i="1"/>
  <c r="J805" i="1"/>
  <c r="I805" i="1"/>
  <c r="H805" i="1"/>
  <c r="L805" i="1" s="1"/>
  <c r="G805" i="1"/>
  <c r="E805" i="1"/>
  <c r="D805" i="1"/>
  <c r="C805" i="1"/>
  <c r="B805" i="1"/>
  <c r="Q804" i="1"/>
  <c r="O804" i="1"/>
  <c r="N804" i="1"/>
  <c r="M804" i="1"/>
  <c r="J804" i="1"/>
  <c r="I804" i="1"/>
  <c r="H804" i="1"/>
  <c r="L804" i="1" s="1"/>
  <c r="G804" i="1"/>
  <c r="E804" i="1"/>
  <c r="D804" i="1"/>
  <c r="C804" i="1"/>
  <c r="B804" i="1"/>
  <c r="Q803" i="1"/>
  <c r="O803" i="1"/>
  <c r="N803" i="1"/>
  <c r="M803" i="1"/>
  <c r="J803" i="1"/>
  <c r="I803" i="1"/>
  <c r="H803" i="1"/>
  <c r="L803" i="1" s="1"/>
  <c r="G803" i="1"/>
  <c r="E803" i="1"/>
  <c r="D803" i="1"/>
  <c r="C803" i="1"/>
  <c r="B803" i="1"/>
  <c r="Q802" i="1"/>
  <c r="O802" i="1"/>
  <c r="N802" i="1"/>
  <c r="M802" i="1"/>
  <c r="J802" i="1"/>
  <c r="I802" i="1"/>
  <c r="H802" i="1"/>
  <c r="L802" i="1" s="1"/>
  <c r="G802" i="1"/>
  <c r="E802" i="1"/>
  <c r="D802" i="1"/>
  <c r="C802" i="1"/>
  <c r="B802" i="1"/>
  <c r="Q801" i="1"/>
  <c r="O801" i="1"/>
  <c r="N801" i="1"/>
  <c r="M801" i="1"/>
  <c r="J801" i="1"/>
  <c r="I801" i="1"/>
  <c r="H801" i="1"/>
  <c r="L801" i="1" s="1"/>
  <c r="G801" i="1"/>
  <c r="E801" i="1"/>
  <c r="D801" i="1"/>
  <c r="C801" i="1"/>
  <c r="B801" i="1"/>
  <c r="Q800" i="1"/>
  <c r="O800" i="1"/>
  <c r="N800" i="1"/>
  <c r="M800" i="1"/>
  <c r="J800" i="1"/>
  <c r="I800" i="1"/>
  <c r="H800" i="1"/>
  <c r="L800" i="1" s="1"/>
  <c r="G800" i="1"/>
  <c r="E800" i="1"/>
  <c r="D800" i="1"/>
  <c r="C800" i="1"/>
  <c r="B800" i="1"/>
  <c r="Q799" i="1"/>
  <c r="O799" i="1"/>
  <c r="N799" i="1"/>
  <c r="M799" i="1"/>
  <c r="J799" i="1"/>
  <c r="I799" i="1"/>
  <c r="H799" i="1"/>
  <c r="L799" i="1" s="1"/>
  <c r="G799" i="1"/>
  <c r="E799" i="1"/>
  <c r="D799" i="1"/>
  <c r="C799" i="1"/>
  <c r="B799" i="1"/>
  <c r="Q798" i="1"/>
  <c r="O798" i="1"/>
  <c r="N798" i="1"/>
  <c r="M798" i="1"/>
  <c r="J798" i="1"/>
  <c r="I798" i="1"/>
  <c r="H798" i="1"/>
  <c r="L798" i="1" s="1"/>
  <c r="G798" i="1"/>
  <c r="E798" i="1"/>
  <c r="D798" i="1"/>
  <c r="C798" i="1"/>
  <c r="B798" i="1"/>
  <c r="Q797" i="1"/>
  <c r="O797" i="1"/>
  <c r="N797" i="1"/>
  <c r="M797" i="1"/>
  <c r="J797" i="1"/>
  <c r="I797" i="1"/>
  <c r="H797" i="1"/>
  <c r="L797" i="1" s="1"/>
  <c r="G797" i="1"/>
  <c r="E797" i="1"/>
  <c r="D797" i="1"/>
  <c r="C797" i="1"/>
  <c r="B797" i="1"/>
  <c r="Q796" i="1"/>
  <c r="N796" i="1"/>
  <c r="M796" i="1"/>
  <c r="I796" i="1"/>
  <c r="H796" i="1"/>
  <c r="P796" i="1" s="1"/>
  <c r="G796" i="1"/>
  <c r="E796" i="1"/>
  <c r="D796" i="1"/>
  <c r="C796" i="1"/>
  <c r="B796" i="1"/>
  <c r="Q795" i="1"/>
  <c r="P795" i="1"/>
  <c r="J795" i="1"/>
  <c r="I795" i="1"/>
  <c r="H795" i="1"/>
  <c r="G795" i="1"/>
  <c r="E795" i="1"/>
  <c r="D795" i="1"/>
  <c r="C795" i="1"/>
  <c r="B795" i="1"/>
  <c r="Q794" i="1"/>
  <c r="O794" i="1"/>
  <c r="I794" i="1"/>
  <c r="H794" i="1"/>
  <c r="P794" i="1" s="1"/>
  <c r="G794" i="1"/>
  <c r="E794" i="1"/>
  <c r="D794" i="1"/>
  <c r="C794" i="1"/>
  <c r="B794" i="1"/>
  <c r="Q793" i="1"/>
  <c r="P793" i="1"/>
  <c r="O793" i="1"/>
  <c r="N793" i="1"/>
  <c r="M793" i="1"/>
  <c r="J793" i="1"/>
  <c r="I793" i="1"/>
  <c r="H793" i="1"/>
  <c r="G793" i="1"/>
  <c r="E793" i="1"/>
  <c r="D793" i="1"/>
  <c r="C793" i="1"/>
  <c r="B793" i="1"/>
  <c r="Q792" i="1"/>
  <c r="N792" i="1"/>
  <c r="M792" i="1"/>
  <c r="I792" i="1"/>
  <c r="H792" i="1"/>
  <c r="P792" i="1" s="1"/>
  <c r="G792" i="1"/>
  <c r="E792" i="1"/>
  <c r="D792" i="1"/>
  <c r="C792" i="1"/>
  <c r="B792" i="1"/>
  <c r="Q791" i="1"/>
  <c r="P791" i="1"/>
  <c r="J791" i="1"/>
  <c r="I791" i="1"/>
  <c r="H791" i="1"/>
  <c r="G791" i="1"/>
  <c r="E791" i="1"/>
  <c r="D791" i="1"/>
  <c r="C791" i="1"/>
  <c r="B791" i="1"/>
  <c r="Q790" i="1"/>
  <c r="O790" i="1"/>
  <c r="I790" i="1"/>
  <c r="H790" i="1"/>
  <c r="P790" i="1" s="1"/>
  <c r="G790" i="1"/>
  <c r="E790" i="1"/>
  <c r="D790" i="1"/>
  <c r="C790" i="1"/>
  <c r="B790" i="1"/>
  <c r="Q789" i="1"/>
  <c r="P789" i="1"/>
  <c r="O789" i="1"/>
  <c r="N789" i="1"/>
  <c r="M789" i="1"/>
  <c r="J789" i="1"/>
  <c r="I789" i="1"/>
  <c r="H789" i="1"/>
  <c r="G789" i="1"/>
  <c r="E789" i="1"/>
  <c r="D789" i="1"/>
  <c r="C789" i="1"/>
  <c r="B789" i="1"/>
  <c r="Q788" i="1"/>
  <c r="N788" i="1"/>
  <c r="M788" i="1"/>
  <c r="I788" i="1"/>
  <c r="H788" i="1"/>
  <c r="P788" i="1" s="1"/>
  <c r="G788" i="1"/>
  <c r="E788" i="1"/>
  <c r="D788" i="1"/>
  <c r="C788" i="1"/>
  <c r="B788" i="1"/>
  <c r="Q787" i="1"/>
  <c r="P787" i="1"/>
  <c r="J787" i="1"/>
  <c r="I787" i="1"/>
  <c r="H787" i="1"/>
  <c r="G787" i="1"/>
  <c r="E787" i="1"/>
  <c r="D787" i="1"/>
  <c r="C787" i="1"/>
  <c r="B787" i="1"/>
  <c r="Q786" i="1"/>
  <c r="O786" i="1"/>
  <c r="I786" i="1"/>
  <c r="H786" i="1"/>
  <c r="P786" i="1" s="1"/>
  <c r="G786" i="1"/>
  <c r="E786" i="1"/>
  <c r="D786" i="1"/>
  <c r="C786" i="1"/>
  <c r="B786" i="1"/>
  <c r="Q785" i="1"/>
  <c r="P785" i="1"/>
  <c r="O785" i="1"/>
  <c r="N785" i="1"/>
  <c r="M785" i="1"/>
  <c r="J785" i="1"/>
  <c r="I785" i="1"/>
  <c r="H785" i="1"/>
  <c r="G785" i="1"/>
  <c r="E785" i="1"/>
  <c r="D785" i="1"/>
  <c r="C785" i="1"/>
  <c r="B785" i="1"/>
  <c r="Q784" i="1"/>
  <c r="N784" i="1"/>
  <c r="M784" i="1"/>
  <c r="I784" i="1"/>
  <c r="H784" i="1"/>
  <c r="P784" i="1" s="1"/>
  <c r="G784" i="1"/>
  <c r="E784" i="1"/>
  <c r="D784" i="1"/>
  <c r="C784" i="1"/>
  <c r="B784" i="1"/>
  <c r="Q783" i="1"/>
  <c r="P783" i="1"/>
  <c r="J783" i="1"/>
  <c r="I783" i="1"/>
  <c r="H783" i="1"/>
  <c r="G783" i="1"/>
  <c r="E783" i="1"/>
  <c r="D783" i="1"/>
  <c r="C783" i="1"/>
  <c r="B783" i="1"/>
  <c r="Q782" i="1"/>
  <c r="O782" i="1"/>
  <c r="I782" i="1"/>
  <c r="H782" i="1"/>
  <c r="P782" i="1" s="1"/>
  <c r="G782" i="1"/>
  <c r="E782" i="1"/>
  <c r="D782" i="1"/>
  <c r="C782" i="1"/>
  <c r="B782" i="1"/>
  <c r="Q781" i="1"/>
  <c r="P781" i="1"/>
  <c r="O781" i="1"/>
  <c r="N781" i="1"/>
  <c r="M781" i="1"/>
  <c r="J781" i="1"/>
  <c r="I781" i="1"/>
  <c r="H781" i="1"/>
  <c r="G781" i="1"/>
  <c r="E781" i="1"/>
  <c r="D781" i="1"/>
  <c r="C781" i="1"/>
  <c r="B781" i="1"/>
  <c r="Q780" i="1"/>
  <c r="N780" i="1"/>
  <c r="M780" i="1"/>
  <c r="I780" i="1"/>
  <c r="H780" i="1"/>
  <c r="P780" i="1" s="1"/>
  <c r="G780" i="1"/>
  <c r="E780" i="1"/>
  <c r="D780" i="1"/>
  <c r="C780" i="1"/>
  <c r="B780" i="1"/>
  <c r="Q779" i="1"/>
  <c r="P779" i="1"/>
  <c r="O779" i="1"/>
  <c r="J779" i="1"/>
  <c r="I779" i="1"/>
  <c r="H779" i="1"/>
  <c r="G779" i="1"/>
  <c r="E779" i="1"/>
  <c r="D779" i="1"/>
  <c r="C779" i="1"/>
  <c r="B779" i="1"/>
  <c r="Q778" i="1"/>
  <c r="O778" i="1"/>
  <c r="I778" i="1"/>
  <c r="H778" i="1"/>
  <c r="P778" i="1" s="1"/>
  <c r="G778" i="1"/>
  <c r="E778" i="1"/>
  <c r="D778" i="1"/>
  <c r="C778" i="1"/>
  <c r="B778" i="1"/>
  <c r="Q777" i="1"/>
  <c r="P777" i="1"/>
  <c r="O777" i="1"/>
  <c r="N777" i="1"/>
  <c r="M777" i="1"/>
  <c r="J777" i="1"/>
  <c r="I777" i="1"/>
  <c r="H777" i="1"/>
  <c r="G777" i="1"/>
  <c r="E777" i="1"/>
  <c r="D777" i="1"/>
  <c r="C777" i="1"/>
  <c r="B777" i="1"/>
  <c r="Q776" i="1"/>
  <c r="N776" i="1"/>
  <c r="M776" i="1"/>
  <c r="I776" i="1"/>
  <c r="H776" i="1"/>
  <c r="P776" i="1" s="1"/>
  <c r="G776" i="1"/>
  <c r="E776" i="1"/>
  <c r="D776" i="1"/>
  <c r="C776" i="1"/>
  <c r="B776" i="1"/>
  <c r="Q775" i="1"/>
  <c r="P775" i="1"/>
  <c r="O775" i="1"/>
  <c r="J775" i="1"/>
  <c r="I775" i="1"/>
  <c r="H775" i="1"/>
  <c r="G775" i="1"/>
  <c r="E775" i="1"/>
  <c r="D775" i="1"/>
  <c r="C775" i="1"/>
  <c r="B775" i="1"/>
  <c r="Q774" i="1"/>
  <c r="O774" i="1"/>
  <c r="I774" i="1"/>
  <c r="H774" i="1"/>
  <c r="P774" i="1" s="1"/>
  <c r="G774" i="1"/>
  <c r="E774" i="1"/>
  <c r="D774" i="1"/>
  <c r="C774" i="1"/>
  <c r="B774" i="1"/>
  <c r="Q773" i="1"/>
  <c r="P773" i="1"/>
  <c r="O773" i="1"/>
  <c r="N773" i="1"/>
  <c r="M773" i="1"/>
  <c r="J773" i="1"/>
  <c r="I773" i="1"/>
  <c r="H773" i="1"/>
  <c r="G773" i="1"/>
  <c r="E773" i="1"/>
  <c r="D773" i="1"/>
  <c r="C773" i="1"/>
  <c r="B773" i="1"/>
  <c r="Q772" i="1"/>
  <c r="N772" i="1"/>
  <c r="M772" i="1"/>
  <c r="I772" i="1"/>
  <c r="H772" i="1"/>
  <c r="P772" i="1" s="1"/>
  <c r="G772" i="1"/>
  <c r="E772" i="1"/>
  <c r="D772" i="1"/>
  <c r="C772" i="1"/>
  <c r="B772" i="1"/>
  <c r="Q771" i="1"/>
  <c r="P771" i="1"/>
  <c r="O771" i="1"/>
  <c r="J771" i="1"/>
  <c r="I771" i="1"/>
  <c r="H771" i="1"/>
  <c r="G771" i="1"/>
  <c r="E771" i="1"/>
  <c r="D771" i="1"/>
  <c r="C771" i="1"/>
  <c r="B771" i="1"/>
  <c r="Q770" i="1"/>
  <c r="O770" i="1"/>
  <c r="I770" i="1"/>
  <c r="H770" i="1"/>
  <c r="P770" i="1" s="1"/>
  <c r="G770" i="1"/>
  <c r="E770" i="1"/>
  <c r="D770" i="1"/>
  <c r="C770" i="1"/>
  <c r="B770" i="1"/>
  <c r="Q769" i="1"/>
  <c r="P769" i="1"/>
  <c r="O769" i="1"/>
  <c r="N769" i="1"/>
  <c r="M769" i="1"/>
  <c r="J769" i="1"/>
  <c r="I769" i="1"/>
  <c r="H769" i="1"/>
  <c r="G769" i="1"/>
  <c r="E769" i="1"/>
  <c r="D769" i="1"/>
  <c r="C769" i="1"/>
  <c r="B769" i="1"/>
  <c r="Q768" i="1"/>
  <c r="N768" i="1"/>
  <c r="M768" i="1"/>
  <c r="I768" i="1"/>
  <c r="H768" i="1"/>
  <c r="P768" i="1" s="1"/>
  <c r="G768" i="1"/>
  <c r="E768" i="1"/>
  <c r="D768" i="1"/>
  <c r="C768" i="1"/>
  <c r="B768" i="1"/>
  <c r="Q767" i="1"/>
  <c r="P767" i="1"/>
  <c r="O767" i="1"/>
  <c r="J767" i="1"/>
  <c r="I767" i="1"/>
  <c r="H767" i="1"/>
  <c r="G767" i="1"/>
  <c r="E767" i="1"/>
  <c r="D767" i="1"/>
  <c r="C767" i="1"/>
  <c r="B767" i="1"/>
  <c r="Q766" i="1"/>
  <c r="O766" i="1"/>
  <c r="I766" i="1"/>
  <c r="H766" i="1"/>
  <c r="P766" i="1" s="1"/>
  <c r="G766" i="1"/>
  <c r="E766" i="1"/>
  <c r="D766" i="1"/>
  <c r="C766" i="1"/>
  <c r="B766" i="1"/>
  <c r="Q765" i="1"/>
  <c r="P765" i="1"/>
  <c r="O765" i="1"/>
  <c r="N765" i="1"/>
  <c r="M765" i="1"/>
  <c r="J765" i="1"/>
  <c r="I765" i="1"/>
  <c r="H765" i="1"/>
  <c r="G765" i="1"/>
  <c r="E765" i="1"/>
  <c r="D765" i="1"/>
  <c r="C765" i="1"/>
  <c r="B765" i="1"/>
  <c r="Q764" i="1"/>
  <c r="N764" i="1"/>
  <c r="M764" i="1"/>
  <c r="I764" i="1"/>
  <c r="H764" i="1"/>
  <c r="P764" i="1" s="1"/>
  <c r="G764" i="1"/>
  <c r="E764" i="1"/>
  <c r="D764" i="1"/>
  <c r="C764" i="1"/>
  <c r="B764" i="1"/>
  <c r="Q763" i="1"/>
  <c r="P763" i="1"/>
  <c r="O763" i="1"/>
  <c r="J763" i="1"/>
  <c r="I763" i="1"/>
  <c r="H763" i="1"/>
  <c r="G763" i="1"/>
  <c r="E763" i="1"/>
  <c r="D763" i="1"/>
  <c r="C763" i="1"/>
  <c r="B763" i="1"/>
  <c r="Q762" i="1"/>
  <c r="O762" i="1"/>
  <c r="I762" i="1"/>
  <c r="H762" i="1"/>
  <c r="P762" i="1" s="1"/>
  <c r="G762" i="1"/>
  <c r="E762" i="1"/>
  <c r="D762" i="1"/>
  <c r="C762" i="1"/>
  <c r="B762" i="1"/>
  <c r="Q761" i="1"/>
  <c r="P761" i="1"/>
  <c r="O761" i="1"/>
  <c r="N761" i="1"/>
  <c r="M761" i="1"/>
  <c r="J761" i="1"/>
  <c r="I761" i="1"/>
  <c r="H761" i="1"/>
  <c r="G761" i="1"/>
  <c r="E761" i="1"/>
  <c r="D761" i="1"/>
  <c r="C761" i="1"/>
  <c r="B761" i="1"/>
  <c r="Q760" i="1"/>
  <c r="N760" i="1"/>
  <c r="M760" i="1"/>
  <c r="I760" i="1"/>
  <c r="H760" i="1"/>
  <c r="P760" i="1" s="1"/>
  <c r="G760" i="1"/>
  <c r="E760" i="1"/>
  <c r="D760" i="1"/>
  <c r="C760" i="1"/>
  <c r="B760" i="1"/>
  <c r="Q759" i="1"/>
  <c r="P759" i="1"/>
  <c r="O759" i="1"/>
  <c r="J759" i="1"/>
  <c r="I759" i="1"/>
  <c r="H759" i="1"/>
  <c r="G759" i="1"/>
  <c r="E759" i="1"/>
  <c r="D759" i="1"/>
  <c r="C759" i="1"/>
  <c r="B759" i="1"/>
  <c r="Q758" i="1"/>
  <c r="O758" i="1"/>
  <c r="I758" i="1"/>
  <c r="H758" i="1"/>
  <c r="P758" i="1" s="1"/>
  <c r="G758" i="1"/>
  <c r="E758" i="1"/>
  <c r="D758" i="1"/>
  <c r="C758" i="1"/>
  <c r="B758" i="1"/>
  <c r="Q757" i="1"/>
  <c r="P757" i="1"/>
  <c r="O757" i="1"/>
  <c r="N757" i="1"/>
  <c r="M757" i="1"/>
  <c r="J757" i="1"/>
  <c r="I757" i="1"/>
  <c r="H757" i="1"/>
  <c r="G757" i="1"/>
  <c r="E757" i="1"/>
  <c r="D757" i="1"/>
  <c r="C757" i="1"/>
  <c r="B757" i="1"/>
  <c r="Q756" i="1"/>
  <c r="N756" i="1"/>
  <c r="M756" i="1"/>
  <c r="I756" i="1"/>
  <c r="H756" i="1"/>
  <c r="P756" i="1" s="1"/>
  <c r="G756" i="1"/>
  <c r="E756" i="1"/>
  <c r="D756" i="1"/>
  <c r="C756" i="1"/>
  <c r="B756" i="1"/>
  <c r="Q755" i="1"/>
  <c r="P755" i="1"/>
  <c r="O755" i="1"/>
  <c r="J755" i="1"/>
  <c r="I755" i="1"/>
  <c r="H755" i="1"/>
  <c r="G755" i="1"/>
  <c r="E755" i="1"/>
  <c r="D755" i="1"/>
  <c r="C755" i="1"/>
  <c r="B755" i="1"/>
  <c r="Q754" i="1"/>
  <c r="O754" i="1"/>
  <c r="I754" i="1"/>
  <c r="H754" i="1"/>
  <c r="P754" i="1" s="1"/>
  <c r="G754" i="1"/>
  <c r="E754" i="1"/>
  <c r="D754" i="1"/>
  <c r="C754" i="1"/>
  <c r="B754" i="1"/>
  <c r="Q753" i="1"/>
  <c r="P753" i="1"/>
  <c r="O753" i="1"/>
  <c r="N753" i="1"/>
  <c r="M753" i="1"/>
  <c r="J753" i="1"/>
  <c r="I753" i="1"/>
  <c r="H753" i="1"/>
  <c r="G753" i="1"/>
  <c r="E753" i="1"/>
  <c r="D753" i="1"/>
  <c r="C753" i="1"/>
  <c r="B753" i="1"/>
  <c r="Q752" i="1"/>
  <c r="N752" i="1"/>
  <c r="M752" i="1"/>
  <c r="I752" i="1"/>
  <c r="H752" i="1"/>
  <c r="P752" i="1" s="1"/>
  <c r="G752" i="1"/>
  <c r="E752" i="1"/>
  <c r="D752" i="1"/>
  <c r="C752" i="1"/>
  <c r="B752" i="1"/>
  <c r="Q751" i="1"/>
  <c r="P751" i="1"/>
  <c r="O751" i="1"/>
  <c r="J751" i="1"/>
  <c r="I751" i="1"/>
  <c r="H751" i="1"/>
  <c r="G751" i="1"/>
  <c r="E751" i="1"/>
  <c r="D751" i="1"/>
  <c r="C751" i="1"/>
  <c r="B751" i="1"/>
  <c r="Q750" i="1"/>
  <c r="O750" i="1"/>
  <c r="I750" i="1"/>
  <c r="H750" i="1"/>
  <c r="P750" i="1" s="1"/>
  <c r="G750" i="1"/>
  <c r="E750" i="1"/>
  <c r="D750" i="1"/>
  <c r="C750" i="1"/>
  <c r="B750" i="1"/>
  <c r="Q749" i="1"/>
  <c r="P749" i="1"/>
  <c r="O749" i="1"/>
  <c r="N749" i="1"/>
  <c r="M749" i="1"/>
  <c r="J749" i="1"/>
  <c r="I749" i="1"/>
  <c r="H749" i="1"/>
  <c r="G749" i="1"/>
  <c r="E749" i="1"/>
  <c r="D749" i="1"/>
  <c r="C749" i="1"/>
  <c r="B749" i="1"/>
  <c r="Q748" i="1"/>
  <c r="N748" i="1"/>
  <c r="M748" i="1"/>
  <c r="I748" i="1"/>
  <c r="H748" i="1"/>
  <c r="P748" i="1" s="1"/>
  <c r="G748" i="1"/>
  <c r="E748" i="1"/>
  <c r="D748" i="1"/>
  <c r="C748" i="1"/>
  <c r="B748" i="1"/>
  <c r="Q747" i="1"/>
  <c r="P747" i="1"/>
  <c r="O747" i="1"/>
  <c r="J747" i="1"/>
  <c r="I747" i="1"/>
  <c r="H747" i="1"/>
  <c r="G747" i="1"/>
  <c r="E747" i="1"/>
  <c r="D747" i="1"/>
  <c r="C747" i="1"/>
  <c r="B747" i="1"/>
  <c r="Q746" i="1"/>
  <c r="O746" i="1"/>
  <c r="I746" i="1"/>
  <c r="H746" i="1"/>
  <c r="P746" i="1" s="1"/>
  <c r="G746" i="1"/>
  <c r="E746" i="1"/>
  <c r="D746" i="1"/>
  <c r="C746" i="1"/>
  <c r="B746" i="1"/>
  <c r="Q745" i="1"/>
  <c r="P745" i="1"/>
  <c r="O745" i="1"/>
  <c r="N745" i="1"/>
  <c r="M745" i="1"/>
  <c r="J745" i="1"/>
  <c r="I745" i="1"/>
  <c r="H745" i="1"/>
  <c r="G745" i="1"/>
  <c r="E745" i="1"/>
  <c r="D745" i="1"/>
  <c r="C745" i="1"/>
  <c r="B745" i="1"/>
  <c r="Q744" i="1"/>
  <c r="N744" i="1"/>
  <c r="M744" i="1"/>
  <c r="I744" i="1"/>
  <c r="H744" i="1"/>
  <c r="P744" i="1" s="1"/>
  <c r="G744" i="1"/>
  <c r="E744" i="1"/>
  <c r="D744" i="1"/>
  <c r="C744" i="1"/>
  <c r="B744" i="1"/>
  <c r="Q743" i="1"/>
  <c r="P743" i="1"/>
  <c r="O743" i="1"/>
  <c r="J743" i="1"/>
  <c r="I743" i="1"/>
  <c r="H743" i="1"/>
  <c r="G743" i="1"/>
  <c r="E743" i="1"/>
  <c r="D743" i="1"/>
  <c r="C743" i="1"/>
  <c r="B743" i="1"/>
  <c r="Q742" i="1"/>
  <c r="O742" i="1"/>
  <c r="I742" i="1"/>
  <c r="H742" i="1"/>
  <c r="P742" i="1" s="1"/>
  <c r="G742" i="1"/>
  <c r="E742" i="1"/>
  <c r="D742" i="1"/>
  <c r="C742" i="1"/>
  <c r="B742" i="1"/>
  <c r="Q741" i="1"/>
  <c r="P741" i="1"/>
  <c r="O741" i="1"/>
  <c r="N741" i="1"/>
  <c r="M741" i="1"/>
  <c r="J741" i="1"/>
  <c r="I741" i="1"/>
  <c r="H741" i="1"/>
  <c r="G741" i="1"/>
  <c r="E741" i="1"/>
  <c r="D741" i="1"/>
  <c r="C741" i="1"/>
  <c r="B741" i="1"/>
  <c r="Q740" i="1"/>
  <c r="N740" i="1"/>
  <c r="M740" i="1"/>
  <c r="I740" i="1"/>
  <c r="H740" i="1"/>
  <c r="P740" i="1" s="1"/>
  <c r="G740" i="1"/>
  <c r="E740" i="1"/>
  <c r="D740" i="1"/>
  <c r="C740" i="1"/>
  <c r="B740" i="1"/>
  <c r="Q739" i="1"/>
  <c r="P739" i="1"/>
  <c r="O739" i="1"/>
  <c r="J739" i="1"/>
  <c r="I739" i="1"/>
  <c r="H739" i="1"/>
  <c r="G739" i="1"/>
  <c r="E739" i="1"/>
  <c r="D739" i="1"/>
  <c r="C739" i="1"/>
  <c r="B739" i="1"/>
  <c r="Q738" i="1"/>
  <c r="O738" i="1"/>
  <c r="I738" i="1"/>
  <c r="H738" i="1"/>
  <c r="P738" i="1" s="1"/>
  <c r="G738" i="1"/>
  <c r="E738" i="1"/>
  <c r="D738" i="1"/>
  <c r="C738" i="1"/>
  <c r="B738" i="1"/>
  <c r="Q737" i="1"/>
  <c r="P737" i="1"/>
  <c r="O737" i="1"/>
  <c r="N737" i="1"/>
  <c r="M737" i="1"/>
  <c r="J737" i="1"/>
  <c r="I737" i="1"/>
  <c r="H737" i="1"/>
  <c r="G737" i="1"/>
  <c r="E737" i="1"/>
  <c r="D737" i="1"/>
  <c r="C737" i="1"/>
  <c r="B737" i="1"/>
  <c r="Q736" i="1"/>
  <c r="N736" i="1"/>
  <c r="M736" i="1"/>
  <c r="I736" i="1"/>
  <c r="H736" i="1"/>
  <c r="P736" i="1" s="1"/>
  <c r="G736" i="1"/>
  <c r="E736" i="1"/>
  <c r="D736" i="1"/>
  <c r="C736" i="1"/>
  <c r="B736" i="1"/>
  <c r="Q735" i="1"/>
  <c r="P735" i="1"/>
  <c r="O735" i="1"/>
  <c r="J735" i="1"/>
  <c r="I735" i="1"/>
  <c r="H735" i="1"/>
  <c r="G735" i="1"/>
  <c r="E735" i="1"/>
  <c r="D735" i="1"/>
  <c r="C735" i="1"/>
  <c r="B735" i="1"/>
  <c r="Q734" i="1"/>
  <c r="O734" i="1"/>
  <c r="I734" i="1"/>
  <c r="H734" i="1"/>
  <c r="P734" i="1" s="1"/>
  <c r="G734" i="1"/>
  <c r="E734" i="1"/>
  <c r="D734" i="1"/>
  <c r="C734" i="1"/>
  <c r="B734" i="1"/>
  <c r="Q733" i="1"/>
  <c r="P733" i="1"/>
  <c r="O733" i="1"/>
  <c r="N733" i="1"/>
  <c r="M733" i="1"/>
  <c r="J733" i="1"/>
  <c r="I733" i="1"/>
  <c r="H733" i="1"/>
  <c r="G733" i="1"/>
  <c r="E733" i="1"/>
  <c r="D733" i="1"/>
  <c r="C733" i="1"/>
  <c r="B733" i="1"/>
  <c r="Q732" i="1"/>
  <c r="N732" i="1"/>
  <c r="M732" i="1"/>
  <c r="I732" i="1"/>
  <c r="H732" i="1"/>
  <c r="P732" i="1" s="1"/>
  <c r="G732" i="1"/>
  <c r="E732" i="1"/>
  <c r="D732" i="1"/>
  <c r="C732" i="1"/>
  <c r="B732" i="1"/>
  <c r="Q731" i="1"/>
  <c r="P731" i="1"/>
  <c r="O731" i="1"/>
  <c r="J731" i="1"/>
  <c r="I731" i="1"/>
  <c r="H731" i="1"/>
  <c r="G731" i="1"/>
  <c r="E731" i="1"/>
  <c r="D731" i="1"/>
  <c r="C731" i="1"/>
  <c r="B731" i="1"/>
  <c r="Q730" i="1"/>
  <c r="O730" i="1"/>
  <c r="I730" i="1"/>
  <c r="H730" i="1"/>
  <c r="P730" i="1" s="1"/>
  <c r="G730" i="1"/>
  <c r="E730" i="1"/>
  <c r="D730" i="1"/>
  <c r="C730" i="1"/>
  <c r="B730" i="1"/>
  <c r="Q729" i="1"/>
  <c r="P729" i="1"/>
  <c r="O729" i="1"/>
  <c r="N729" i="1"/>
  <c r="M729" i="1"/>
  <c r="J729" i="1"/>
  <c r="I729" i="1"/>
  <c r="H729" i="1"/>
  <c r="G729" i="1"/>
  <c r="E729" i="1"/>
  <c r="D729" i="1"/>
  <c r="C729" i="1"/>
  <c r="B729" i="1"/>
  <c r="Q728" i="1"/>
  <c r="N728" i="1"/>
  <c r="M728" i="1"/>
  <c r="I728" i="1"/>
  <c r="H728" i="1"/>
  <c r="P728" i="1" s="1"/>
  <c r="G728" i="1"/>
  <c r="E728" i="1"/>
  <c r="D728" i="1"/>
  <c r="C728" i="1"/>
  <c r="B728" i="1"/>
  <c r="Q727" i="1"/>
  <c r="P727" i="1"/>
  <c r="O727" i="1"/>
  <c r="J727" i="1"/>
  <c r="I727" i="1"/>
  <c r="H727" i="1"/>
  <c r="G727" i="1"/>
  <c r="E727" i="1"/>
  <c r="D727" i="1"/>
  <c r="C727" i="1"/>
  <c r="B727" i="1"/>
  <c r="Q726" i="1"/>
  <c r="O726" i="1"/>
  <c r="I726" i="1"/>
  <c r="H726" i="1"/>
  <c r="P726" i="1" s="1"/>
  <c r="G726" i="1"/>
  <c r="E726" i="1"/>
  <c r="D726" i="1"/>
  <c r="C726" i="1"/>
  <c r="B726" i="1"/>
  <c r="Q725" i="1"/>
  <c r="P725" i="1"/>
  <c r="O725" i="1"/>
  <c r="N725" i="1"/>
  <c r="M725" i="1"/>
  <c r="J725" i="1"/>
  <c r="I725" i="1"/>
  <c r="H725" i="1"/>
  <c r="G725" i="1"/>
  <c r="E725" i="1"/>
  <c r="D725" i="1"/>
  <c r="C725" i="1"/>
  <c r="B725" i="1"/>
  <c r="Q724" i="1"/>
  <c r="N724" i="1"/>
  <c r="M724" i="1"/>
  <c r="I724" i="1"/>
  <c r="H724" i="1"/>
  <c r="P724" i="1" s="1"/>
  <c r="G724" i="1"/>
  <c r="E724" i="1"/>
  <c r="D724" i="1"/>
  <c r="C724" i="1"/>
  <c r="B724" i="1"/>
  <c r="Q723" i="1"/>
  <c r="P723" i="1"/>
  <c r="O723" i="1"/>
  <c r="J723" i="1"/>
  <c r="I723" i="1"/>
  <c r="H723" i="1"/>
  <c r="G723" i="1"/>
  <c r="E723" i="1"/>
  <c r="D723" i="1"/>
  <c r="C723" i="1"/>
  <c r="B723" i="1"/>
  <c r="Q722" i="1"/>
  <c r="O722" i="1"/>
  <c r="I722" i="1"/>
  <c r="H722" i="1"/>
  <c r="P722" i="1" s="1"/>
  <c r="G722" i="1"/>
  <c r="E722" i="1"/>
  <c r="D722" i="1"/>
  <c r="C722" i="1"/>
  <c r="B722" i="1"/>
  <c r="Q721" i="1"/>
  <c r="P721" i="1"/>
  <c r="O721" i="1"/>
  <c r="N721" i="1"/>
  <c r="M721" i="1"/>
  <c r="J721" i="1"/>
  <c r="I721" i="1"/>
  <c r="H721" i="1"/>
  <c r="G721" i="1"/>
  <c r="E721" i="1"/>
  <c r="D721" i="1"/>
  <c r="C721" i="1"/>
  <c r="B721" i="1"/>
  <c r="Q720" i="1"/>
  <c r="O720" i="1"/>
  <c r="N720" i="1"/>
  <c r="M720" i="1"/>
  <c r="L720" i="1"/>
  <c r="K720" i="1"/>
  <c r="J720" i="1"/>
  <c r="I720" i="1"/>
  <c r="H720" i="1"/>
  <c r="P720" i="1" s="1"/>
  <c r="G720" i="1"/>
  <c r="E720" i="1"/>
  <c r="D720" i="1"/>
  <c r="C720" i="1"/>
  <c r="B720" i="1"/>
  <c r="Q719" i="1"/>
  <c r="O719" i="1"/>
  <c r="N719" i="1"/>
  <c r="M719" i="1"/>
  <c r="L719" i="1"/>
  <c r="K719" i="1"/>
  <c r="J719" i="1"/>
  <c r="I719" i="1"/>
  <c r="H719" i="1"/>
  <c r="P719" i="1" s="1"/>
  <c r="G719" i="1"/>
  <c r="E719" i="1"/>
  <c r="D719" i="1"/>
  <c r="C719" i="1"/>
  <c r="B719" i="1"/>
  <c r="Q718" i="1"/>
  <c r="O718" i="1"/>
  <c r="N718" i="1"/>
  <c r="M718" i="1"/>
  <c r="L718" i="1"/>
  <c r="K718" i="1"/>
  <c r="J718" i="1"/>
  <c r="I718" i="1"/>
  <c r="H718" i="1"/>
  <c r="P718" i="1" s="1"/>
  <c r="G718" i="1"/>
  <c r="E718" i="1"/>
  <c r="D718" i="1"/>
  <c r="C718" i="1"/>
  <c r="B718" i="1"/>
  <c r="Q717" i="1"/>
  <c r="O717" i="1"/>
  <c r="N717" i="1"/>
  <c r="M717" i="1"/>
  <c r="L717" i="1"/>
  <c r="K717" i="1"/>
  <c r="J717" i="1"/>
  <c r="I717" i="1"/>
  <c r="H717" i="1"/>
  <c r="P717" i="1" s="1"/>
  <c r="G717" i="1"/>
  <c r="E717" i="1"/>
  <c r="D717" i="1"/>
  <c r="C717" i="1"/>
  <c r="B717" i="1"/>
  <c r="Q716" i="1"/>
  <c r="O716" i="1"/>
  <c r="N716" i="1"/>
  <c r="M716" i="1"/>
  <c r="L716" i="1"/>
  <c r="K716" i="1"/>
  <c r="J716" i="1"/>
  <c r="I716" i="1"/>
  <c r="H716" i="1"/>
  <c r="P716" i="1" s="1"/>
  <c r="G716" i="1"/>
  <c r="E716" i="1"/>
  <c r="D716" i="1"/>
  <c r="C716" i="1"/>
  <c r="B716" i="1"/>
  <c r="Q715" i="1"/>
  <c r="O715" i="1"/>
  <c r="N715" i="1"/>
  <c r="M715" i="1"/>
  <c r="L715" i="1"/>
  <c r="K715" i="1"/>
  <c r="J715" i="1"/>
  <c r="I715" i="1"/>
  <c r="H715" i="1"/>
  <c r="P715" i="1" s="1"/>
  <c r="G715" i="1"/>
  <c r="E715" i="1"/>
  <c r="D715" i="1"/>
  <c r="C715" i="1"/>
  <c r="B715" i="1"/>
  <c r="Q714" i="1"/>
  <c r="O714" i="1"/>
  <c r="N714" i="1"/>
  <c r="M714" i="1"/>
  <c r="L714" i="1"/>
  <c r="K714" i="1"/>
  <c r="J714" i="1"/>
  <c r="I714" i="1"/>
  <c r="H714" i="1"/>
  <c r="P714" i="1" s="1"/>
  <c r="G714" i="1"/>
  <c r="E714" i="1"/>
  <c r="D714" i="1"/>
  <c r="C714" i="1"/>
  <c r="B714" i="1"/>
  <c r="Q713" i="1"/>
  <c r="O713" i="1"/>
  <c r="N713" i="1"/>
  <c r="M713" i="1"/>
  <c r="L713" i="1"/>
  <c r="K713" i="1"/>
  <c r="J713" i="1"/>
  <c r="I713" i="1"/>
  <c r="H713" i="1"/>
  <c r="P713" i="1" s="1"/>
  <c r="G713" i="1"/>
  <c r="E713" i="1"/>
  <c r="D713" i="1"/>
  <c r="C713" i="1"/>
  <c r="B713" i="1"/>
  <c r="Q712" i="1"/>
  <c r="O712" i="1"/>
  <c r="N712" i="1"/>
  <c r="M712" i="1"/>
  <c r="L712" i="1"/>
  <c r="K712" i="1"/>
  <c r="J712" i="1"/>
  <c r="I712" i="1"/>
  <c r="H712" i="1"/>
  <c r="P712" i="1" s="1"/>
  <c r="G712" i="1"/>
  <c r="E712" i="1"/>
  <c r="D712" i="1"/>
  <c r="C712" i="1"/>
  <c r="B712" i="1"/>
  <c r="Q711" i="1"/>
  <c r="O711" i="1"/>
  <c r="N711" i="1"/>
  <c r="M711" i="1"/>
  <c r="L711" i="1"/>
  <c r="K711" i="1"/>
  <c r="J711" i="1"/>
  <c r="I711" i="1"/>
  <c r="H711" i="1"/>
  <c r="P711" i="1" s="1"/>
  <c r="G711" i="1"/>
  <c r="E711" i="1"/>
  <c r="D711" i="1"/>
  <c r="C711" i="1"/>
  <c r="B711" i="1"/>
  <c r="Q710" i="1"/>
  <c r="O710" i="1"/>
  <c r="N710" i="1"/>
  <c r="M710" i="1"/>
  <c r="L710" i="1"/>
  <c r="K710" i="1"/>
  <c r="J710" i="1"/>
  <c r="I710" i="1"/>
  <c r="H710" i="1"/>
  <c r="P710" i="1" s="1"/>
  <c r="G710" i="1"/>
  <c r="E710" i="1"/>
  <c r="D710" i="1"/>
  <c r="C710" i="1"/>
  <c r="B710" i="1"/>
  <c r="Q709" i="1"/>
  <c r="O709" i="1"/>
  <c r="N709" i="1"/>
  <c r="M709" i="1"/>
  <c r="L709" i="1"/>
  <c r="K709" i="1"/>
  <c r="J709" i="1"/>
  <c r="I709" i="1"/>
  <c r="H709" i="1"/>
  <c r="P709" i="1" s="1"/>
  <c r="G709" i="1"/>
  <c r="E709" i="1"/>
  <c r="D709" i="1"/>
  <c r="C709" i="1"/>
  <c r="B709" i="1"/>
  <c r="Q708" i="1"/>
  <c r="O708" i="1"/>
  <c r="N708" i="1"/>
  <c r="M708" i="1"/>
  <c r="L708" i="1"/>
  <c r="K708" i="1"/>
  <c r="J708" i="1"/>
  <c r="I708" i="1"/>
  <c r="H708" i="1"/>
  <c r="P708" i="1" s="1"/>
  <c r="G708" i="1"/>
  <c r="E708" i="1"/>
  <c r="D708" i="1"/>
  <c r="C708" i="1"/>
  <c r="B708" i="1"/>
  <c r="Q707" i="1"/>
  <c r="O707" i="1"/>
  <c r="N707" i="1"/>
  <c r="M707" i="1"/>
  <c r="L707" i="1"/>
  <c r="K707" i="1"/>
  <c r="J707" i="1"/>
  <c r="I707" i="1"/>
  <c r="H707" i="1"/>
  <c r="P707" i="1" s="1"/>
  <c r="G707" i="1"/>
  <c r="E707" i="1"/>
  <c r="D707" i="1"/>
  <c r="C707" i="1"/>
  <c r="B707" i="1"/>
  <c r="Q706" i="1"/>
  <c r="O706" i="1"/>
  <c r="N706" i="1"/>
  <c r="M706" i="1"/>
  <c r="L706" i="1"/>
  <c r="K706" i="1"/>
  <c r="J706" i="1"/>
  <c r="I706" i="1"/>
  <c r="H706" i="1"/>
  <c r="P706" i="1" s="1"/>
  <c r="G706" i="1"/>
  <c r="E706" i="1"/>
  <c r="D706" i="1"/>
  <c r="C706" i="1"/>
  <c r="B706" i="1"/>
  <c r="Q705" i="1"/>
  <c r="O705" i="1"/>
  <c r="N705" i="1"/>
  <c r="M705" i="1"/>
  <c r="L705" i="1"/>
  <c r="K705" i="1"/>
  <c r="J705" i="1"/>
  <c r="I705" i="1"/>
  <c r="H705" i="1"/>
  <c r="P705" i="1" s="1"/>
  <c r="G705" i="1"/>
  <c r="E705" i="1"/>
  <c r="D705" i="1"/>
  <c r="C705" i="1"/>
  <c r="B705" i="1"/>
  <c r="Q704" i="1"/>
  <c r="O704" i="1"/>
  <c r="N704" i="1"/>
  <c r="M704" i="1"/>
  <c r="L704" i="1"/>
  <c r="K704" i="1"/>
  <c r="J704" i="1"/>
  <c r="I704" i="1"/>
  <c r="H704" i="1"/>
  <c r="P704" i="1" s="1"/>
  <c r="G704" i="1"/>
  <c r="E704" i="1"/>
  <c r="D704" i="1"/>
  <c r="C704" i="1"/>
  <c r="B704" i="1"/>
  <c r="Q703" i="1"/>
  <c r="O703" i="1"/>
  <c r="N703" i="1"/>
  <c r="M703" i="1"/>
  <c r="L703" i="1"/>
  <c r="K703" i="1"/>
  <c r="J703" i="1"/>
  <c r="I703" i="1"/>
  <c r="H703" i="1"/>
  <c r="P703" i="1" s="1"/>
  <c r="G703" i="1"/>
  <c r="E703" i="1"/>
  <c r="D703" i="1"/>
  <c r="C703" i="1"/>
  <c r="B703" i="1"/>
  <c r="Q702" i="1"/>
  <c r="O702" i="1"/>
  <c r="N702" i="1"/>
  <c r="M702" i="1"/>
  <c r="L702" i="1"/>
  <c r="K702" i="1"/>
  <c r="J702" i="1"/>
  <c r="I702" i="1"/>
  <c r="H702" i="1"/>
  <c r="P702" i="1" s="1"/>
  <c r="G702" i="1"/>
  <c r="E702" i="1"/>
  <c r="D702" i="1"/>
  <c r="C702" i="1"/>
  <c r="B702" i="1"/>
  <c r="Q701" i="1"/>
  <c r="O701" i="1"/>
  <c r="N701" i="1"/>
  <c r="M701" i="1"/>
  <c r="L701" i="1"/>
  <c r="K701" i="1"/>
  <c r="J701" i="1"/>
  <c r="I701" i="1"/>
  <c r="H701" i="1"/>
  <c r="P701" i="1" s="1"/>
  <c r="G701" i="1"/>
  <c r="E701" i="1"/>
  <c r="D701" i="1"/>
  <c r="C701" i="1"/>
  <c r="B701" i="1"/>
  <c r="Q700" i="1"/>
  <c r="O700" i="1"/>
  <c r="N700" i="1"/>
  <c r="M700" i="1"/>
  <c r="L700" i="1"/>
  <c r="K700" i="1"/>
  <c r="J700" i="1"/>
  <c r="I700" i="1"/>
  <c r="H700" i="1"/>
  <c r="P700" i="1" s="1"/>
  <c r="G700" i="1"/>
  <c r="E700" i="1"/>
  <c r="D700" i="1"/>
  <c r="C700" i="1"/>
  <c r="B700" i="1"/>
  <c r="Q699" i="1"/>
  <c r="O699" i="1"/>
  <c r="N699" i="1"/>
  <c r="M699" i="1"/>
  <c r="L699" i="1"/>
  <c r="K699" i="1"/>
  <c r="J699" i="1"/>
  <c r="I699" i="1"/>
  <c r="H699" i="1"/>
  <c r="P699" i="1" s="1"/>
  <c r="G699" i="1"/>
  <c r="E699" i="1"/>
  <c r="D699" i="1"/>
  <c r="C699" i="1"/>
  <c r="B699" i="1"/>
  <c r="Q698" i="1"/>
  <c r="O698" i="1"/>
  <c r="N698" i="1"/>
  <c r="M698" i="1"/>
  <c r="L698" i="1"/>
  <c r="K698" i="1"/>
  <c r="J698" i="1"/>
  <c r="I698" i="1"/>
  <c r="H698" i="1"/>
  <c r="P698" i="1" s="1"/>
  <c r="G698" i="1"/>
  <c r="E698" i="1"/>
  <c r="D698" i="1"/>
  <c r="C698" i="1"/>
  <c r="B698" i="1"/>
  <c r="Q697" i="1"/>
  <c r="O697" i="1"/>
  <c r="N697" i="1"/>
  <c r="M697" i="1"/>
  <c r="L697" i="1"/>
  <c r="K697" i="1"/>
  <c r="J697" i="1"/>
  <c r="I697" i="1"/>
  <c r="H697" i="1"/>
  <c r="P697" i="1" s="1"/>
  <c r="G697" i="1"/>
  <c r="E697" i="1"/>
  <c r="D697" i="1"/>
  <c r="C697" i="1"/>
  <c r="B697" i="1"/>
  <c r="Q696" i="1"/>
  <c r="O696" i="1"/>
  <c r="N696" i="1"/>
  <c r="M696" i="1"/>
  <c r="L696" i="1"/>
  <c r="K696" i="1"/>
  <c r="J696" i="1"/>
  <c r="I696" i="1"/>
  <c r="H696" i="1"/>
  <c r="P696" i="1" s="1"/>
  <c r="G696" i="1"/>
  <c r="E696" i="1"/>
  <c r="D696" i="1"/>
  <c r="C696" i="1"/>
  <c r="B696" i="1"/>
  <c r="Q695" i="1"/>
  <c r="O695" i="1"/>
  <c r="N695" i="1"/>
  <c r="M695" i="1"/>
  <c r="L695" i="1"/>
  <c r="K695" i="1"/>
  <c r="J695" i="1"/>
  <c r="I695" i="1"/>
  <c r="H695" i="1"/>
  <c r="P695" i="1" s="1"/>
  <c r="G695" i="1"/>
  <c r="E695" i="1"/>
  <c r="D695" i="1"/>
  <c r="C695" i="1"/>
  <c r="B695" i="1"/>
  <c r="Q694" i="1"/>
  <c r="O694" i="1"/>
  <c r="N694" i="1"/>
  <c r="M694" i="1"/>
  <c r="L694" i="1"/>
  <c r="K694" i="1"/>
  <c r="J694" i="1"/>
  <c r="I694" i="1"/>
  <c r="H694" i="1"/>
  <c r="P694" i="1" s="1"/>
  <c r="G694" i="1"/>
  <c r="E694" i="1"/>
  <c r="D694" i="1"/>
  <c r="C694" i="1"/>
  <c r="B694" i="1"/>
  <c r="Q693" i="1"/>
  <c r="O693" i="1"/>
  <c r="N693" i="1"/>
  <c r="M693" i="1"/>
  <c r="L693" i="1"/>
  <c r="K693" i="1"/>
  <c r="J693" i="1"/>
  <c r="I693" i="1"/>
  <c r="H693" i="1"/>
  <c r="P693" i="1" s="1"/>
  <c r="G693" i="1"/>
  <c r="E693" i="1"/>
  <c r="D693" i="1"/>
  <c r="C693" i="1"/>
  <c r="B693" i="1"/>
  <c r="Q692" i="1"/>
  <c r="O692" i="1"/>
  <c r="N692" i="1"/>
  <c r="M692" i="1"/>
  <c r="L692" i="1"/>
  <c r="K692" i="1"/>
  <c r="J692" i="1"/>
  <c r="I692" i="1"/>
  <c r="H692" i="1"/>
  <c r="P692" i="1" s="1"/>
  <c r="G692" i="1"/>
  <c r="E692" i="1"/>
  <c r="D692" i="1"/>
  <c r="C692" i="1"/>
  <c r="B692" i="1"/>
  <c r="Q691" i="1"/>
  <c r="O691" i="1"/>
  <c r="N691" i="1"/>
  <c r="M691" i="1"/>
  <c r="L691" i="1"/>
  <c r="K691" i="1"/>
  <c r="J691" i="1"/>
  <c r="I691" i="1"/>
  <c r="H691" i="1"/>
  <c r="P691" i="1" s="1"/>
  <c r="G691" i="1"/>
  <c r="E691" i="1"/>
  <c r="D691" i="1"/>
  <c r="C691" i="1"/>
  <c r="B691" i="1"/>
  <c r="Q690" i="1"/>
  <c r="O690" i="1"/>
  <c r="N690" i="1"/>
  <c r="M690" i="1"/>
  <c r="L690" i="1"/>
  <c r="K690" i="1"/>
  <c r="J690" i="1"/>
  <c r="I690" i="1"/>
  <c r="H690" i="1"/>
  <c r="P690" i="1" s="1"/>
  <c r="G690" i="1"/>
  <c r="E690" i="1"/>
  <c r="D690" i="1"/>
  <c r="C690" i="1"/>
  <c r="B690" i="1"/>
  <c r="Q689" i="1"/>
  <c r="O689" i="1"/>
  <c r="N689" i="1"/>
  <c r="M689" i="1"/>
  <c r="L689" i="1"/>
  <c r="K689" i="1"/>
  <c r="J689" i="1"/>
  <c r="I689" i="1"/>
  <c r="H689" i="1"/>
  <c r="P689" i="1" s="1"/>
  <c r="G689" i="1"/>
  <c r="E689" i="1"/>
  <c r="D689" i="1"/>
  <c r="C689" i="1"/>
  <c r="B689" i="1"/>
  <c r="Q688" i="1"/>
  <c r="O688" i="1"/>
  <c r="N688" i="1"/>
  <c r="M688" i="1"/>
  <c r="L688" i="1"/>
  <c r="K688" i="1"/>
  <c r="J688" i="1"/>
  <c r="I688" i="1"/>
  <c r="H688" i="1"/>
  <c r="P688" i="1" s="1"/>
  <c r="G688" i="1"/>
  <c r="E688" i="1"/>
  <c r="D688" i="1"/>
  <c r="C688" i="1"/>
  <c r="B688" i="1"/>
  <c r="Q687" i="1"/>
  <c r="O687" i="1"/>
  <c r="N687" i="1"/>
  <c r="M687" i="1"/>
  <c r="L687" i="1"/>
  <c r="K687" i="1"/>
  <c r="J687" i="1"/>
  <c r="I687" i="1"/>
  <c r="H687" i="1"/>
  <c r="P687" i="1" s="1"/>
  <c r="G687" i="1"/>
  <c r="E687" i="1"/>
  <c r="D687" i="1"/>
  <c r="C687" i="1"/>
  <c r="B687" i="1"/>
  <c r="Q686" i="1"/>
  <c r="O686" i="1"/>
  <c r="N686" i="1"/>
  <c r="M686" i="1"/>
  <c r="L686" i="1"/>
  <c r="K686" i="1"/>
  <c r="J686" i="1"/>
  <c r="I686" i="1"/>
  <c r="H686" i="1"/>
  <c r="P686" i="1" s="1"/>
  <c r="G686" i="1"/>
  <c r="E686" i="1"/>
  <c r="D686" i="1"/>
  <c r="C686" i="1"/>
  <c r="B686" i="1"/>
  <c r="Q685" i="1"/>
  <c r="O685" i="1"/>
  <c r="N685" i="1"/>
  <c r="M685" i="1"/>
  <c r="L685" i="1"/>
  <c r="K685" i="1"/>
  <c r="J685" i="1"/>
  <c r="I685" i="1"/>
  <c r="H685" i="1"/>
  <c r="P685" i="1" s="1"/>
  <c r="G685" i="1"/>
  <c r="E685" i="1"/>
  <c r="D685" i="1"/>
  <c r="C685" i="1"/>
  <c r="B685" i="1"/>
  <c r="Q684" i="1"/>
  <c r="O684" i="1"/>
  <c r="N684" i="1"/>
  <c r="M684" i="1"/>
  <c r="L684" i="1"/>
  <c r="K684" i="1"/>
  <c r="J684" i="1"/>
  <c r="I684" i="1"/>
  <c r="H684" i="1"/>
  <c r="P684" i="1" s="1"/>
  <c r="G684" i="1"/>
  <c r="E684" i="1"/>
  <c r="D684" i="1"/>
  <c r="C684" i="1"/>
  <c r="B684" i="1"/>
  <c r="Q683" i="1"/>
  <c r="O683" i="1"/>
  <c r="N683" i="1"/>
  <c r="M683" i="1"/>
  <c r="L683" i="1"/>
  <c r="K683" i="1"/>
  <c r="J683" i="1"/>
  <c r="I683" i="1"/>
  <c r="H683" i="1"/>
  <c r="P683" i="1" s="1"/>
  <c r="G683" i="1"/>
  <c r="E683" i="1"/>
  <c r="D683" i="1"/>
  <c r="C683" i="1"/>
  <c r="B683" i="1"/>
  <c r="Q682" i="1"/>
  <c r="O682" i="1"/>
  <c r="N682" i="1"/>
  <c r="M682" i="1"/>
  <c r="L682" i="1"/>
  <c r="K682" i="1"/>
  <c r="J682" i="1"/>
  <c r="I682" i="1"/>
  <c r="H682" i="1"/>
  <c r="P682" i="1" s="1"/>
  <c r="G682" i="1"/>
  <c r="E682" i="1"/>
  <c r="D682" i="1"/>
  <c r="C682" i="1"/>
  <c r="B682" i="1"/>
  <c r="Q681" i="1"/>
  <c r="O681" i="1"/>
  <c r="N681" i="1"/>
  <c r="M681" i="1"/>
  <c r="L681" i="1"/>
  <c r="K681" i="1"/>
  <c r="J681" i="1"/>
  <c r="I681" i="1"/>
  <c r="H681" i="1"/>
  <c r="P681" i="1" s="1"/>
  <c r="G681" i="1"/>
  <c r="E681" i="1"/>
  <c r="D681" i="1"/>
  <c r="C681" i="1"/>
  <c r="B681" i="1"/>
  <c r="Q680" i="1"/>
  <c r="O680" i="1"/>
  <c r="N680" i="1"/>
  <c r="M680" i="1"/>
  <c r="L680" i="1"/>
  <c r="K680" i="1"/>
  <c r="J680" i="1"/>
  <c r="I680" i="1"/>
  <c r="H680" i="1"/>
  <c r="P680" i="1" s="1"/>
  <c r="G680" i="1"/>
  <c r="E680" i="1"/>
  <c r="D680" i="1"/>
  <c r="C680" i="1"/>
  <c r="B680" i="1"/>
  <c r="Q679" i="1"/>
  <c r="O679" i="1"/>
  <c r="N679" i="1"/>
  <c r="M679" i="1"/>
  <c r="L679" i="1"/>
  <c r="K679" i="1"/>
  <c r="J679" i="1"/>
  <c r="I679" i="1"/>
  <c r="H679" i="1"/>
  <c r="P679" i="1" s="1"/>
  <c r="G679" i="1"/>
  <c r="E679" i="1"/>
  <c r="D679" i="1"/>
  <c r="C679" i="1"/>
  <c r="B679" i="1"/>
  <c r="Q678" i="1"/>
  <c r="O678" i="1"/>
  <c r="N678" i="1"/>
  <c r="M678" i="1"/>
  <c r="L678" i="1"/>
  <c r="K678" i="1"/>
  <c r="J678" i="1"/>
  <c r="I678" i="1"/>
  <c r="H678" i="1"/>
  <c r="P678" i="1" s="1"/>
  <c r="G678" i="1"/>
  <c r="E678" i="1"/>
  <c r="D678" i="1"/>
  <c r="C678" i="1"/>
  <c r="B678" i="1"/>
  <c r="Q677" i="1"/>
  <c r="O677" i="1"/>
  <c r="N677" i="1"/>
  <c r="M677" i="1"/>
  <c r="L677" i="1"/>
  <c r="K677" i="1"/>
  <c r="J677" i="1"/>
  <c r="I677" i="1"/>
  <c r="H677" i="1"/>
  <c r="P677" i="1" s="1"/>
  <c r="G677" i="1"/>
  <c r="E677" i="1"/>
  <c r="D677" i="1"/>
  <c r="C677" i="1"/>
  <c r="B677" i="1"/>
  <c r="Q676" i="1"/>
  <c r="O676" i="1"/>
  <c r="N676" i="1"/>
  <c r="M676" i="1"/>
  <c r="L676" i="1"/>
  <c r="K676" i="1"/>
  <c r="J676" i="1"/>
  <c r="I676" i="1"/>
  <c r="H676" i="1"/>
  <c r="P676" i="1" s="1"/>
  <c r="G676" i="1"/>
  <c r="E676" i="1"/>
  <c r="D676" i="1"/>
  <c r="C676" i="1"/>
  <c r="B676" i="1"/>
  <c r="Q675" i="1"/>
  <c r="O675" i="1"/>
  <c r="N675" i="1"/>
  <c r="M675" i="1"/>
  <c r="L675" i="1"/>
  <c r="K675" i="1"/>
  <c r="J675" i="1"/>
  <c r="I675" i="1"/>
  <c r="H675" i="1"/>
  <c r="P675" i="1" s="1"/>
  <c r="G675" i="1"/>
  <c r="E675" i="1"/>
  <c r="D675" i="1"/>
  <c r="C675" i="1"/>
  <c r="B675" i="1"/>
  <c r="Q674" i="1"/>
  <c r="O674" i="1"/>
  <c r="N674" i="1"/>
  <c r="M674" i="1"/>
  <c r="L674" i="1"/>
  <c r="K674" i="1"/>
  <c r="J674" i="1"/>
  <c r="I674" i="1"/>
  <c r="H674" i="1"/>
  <c r="P674" i="1" s="1"/>
  <c r="G674" i="1"/>
  <c r="E674" i="1"/>
  <c r="D674" i="1"/>
  <c r="C674" i="1"/>
  <c r="B674" i="1"/>
  <c r="Q673" i="1"/>
  <c r="O673" i="1"/>
  <c r="N673" i="1"/>
  <c r="M673" i="1"/>
  <c r="L673" i="1"/>
  <c r="K673" i="1"/>
  <c r="J673" i="1"/>
  <c r="I673" i="1"/>
  <c r="H673" i="1"/>
  <c r="P673" i="1" s="1"/>
  <c r="G673" i="1"/>
  <c r="E673" i="1"/>
  <c r="D673" i="1"/>
  <c r="C673" i="1"/>
  <c r="B673" i="1"/>
  <c r="Q672" i="1"/>
  <c r="O672" i="1"/>
  <c r="N672" i="1"/>
  <c r="M672" i="1"/>
  <c r="L672" i="1"/>
  <c r="K672" i="1"/>
  <c r="J672" i="1"/>
  <c r="I672" i="1"/>
  <c r="H672" i="1"/>
  <c r="P672" i="1" s="1"/>
  <c r="G672" i="1"/>
  <c r="E672" i="1"/>
  <c r="D672" i="1"/>
  <c r="C672" i="1"/>
  <c r="B672" i="1"/>
  <c r="Q671" i="1"/>
  <c r="O671" i="1"/>
  <c r="N671" i="1"/>
  <c r="M671" i="1"/>
  <c r="L671" i="1"/>
  <c r="K671" i="1"/>
  <c r="J671" i="1"/>
  <c r="I671" i="1"/>
  <c r="H671" i="1"/>
  <c r="P671" i="1" s="1"/>
  <c r="G671" i="1"/>
  <c r="E671" i="1"/>
  <c r="D671" i="1"/>
  <c r="C671" i="1"/>
  <c r="B671" i="1"/>
  <c r="Q670" i="1"/>
  <c r="O670" i="1"/>
  <c r="N670" i="1"/>
  <c r="M670" i="1"/>
  <c r="L670" i="1"/>
  <c r="K670" i="1"/>
  <c r="J670" i="1"/>
  <c r="I670" i="1"/>
  <c r="H670" i="1"/>
  <c r="P670" i="1" s="1"/>
  <c r="G670" i="1"/>
  <c r="E670" i="1"/>
  <c r="D670" i="1"/>
  <c r="C670" i="1"/>
  <c r="B670" i="1"/>
  <c r="Q669" i="1"/>
  <c r="O669" i="1"/>
  <c r="N669" i="1"/>
  <c r="M669" i="1"/>
  <c r="L669" i="1"/>
  <c r="K669" i="1"/>
  <c r="J669" i="1"/>
  <c r="I669" i="1"/>
  <c r="H669" i="1"/>
  <c r="P669" i="1" s="1"/>
  <c r="G669" i="1"/>
  <c r="E669" i="1"/>
  <c r="D669" i="1"/>
  <c r="C669" i="1"/>
  <c r="B669" i="1"/>
  <c r="Q668" i="1"/>
  <c r="O668" i="1"/>
  <c r="N668" i="1"/>
  <c r="M668" i="1"/>
  <c r="L668" i="1"/>
  <c r="K668" i="1"/>
  <c r="J668" i="1"/>
  <c r="I668" i="1"/>
  <c r="H668" i="1"/>
  <c r="P668" i="1" s="1"/>
  <c r="G668" i="1"/>
  <c r="E668" i="1"/>
  <c r="D668" i="1"/>
  <c r="C668" i="1"/>
  <c r="B668" i="1"/>
  <c r="Q667" i="1"/>
  <c r="O667" i="1"/>
  <c r="N667" i="1"/>
  <c r="M667" i="1"/>
  <c r="L667" i="1"/>
  <c r="K667" i="1"/>
  <c r="J667" i="1"/>
  <c r="I667" i="1"/>
  <c r="H667" i="1"/>
  <c r="P667" i="1" s="1"/>
  <c r="G667" i="1"/>
  <c r="E667" i="1"/>
  <c r="D667" i="1"/>
  <c r="C667" i="1"/>
  <c r="B667" i="1"/>
  <c r="Q666" i="1"/>
  <c r="O666" i="1"/>
  <c r="N666" i="1"/>
  <c r="M666" i="1"/>
  <c r="L666" i="1"/>
  <c r="K666" i="1"/>
  <c r="J666" i="1"/>
  <c r="I666" i="1"/>
  <c r="H666" i="1"/>
  <c r="P666" i="1" s="1"/>
  <c r="G666" i="1"/>
  <c r="E666" i="1"/>
  <c r="D666" i="1"/>
  <c r="C666" i="1"/>
  <c r="B666" i="1"/>
  <c r="Q665" i="1"/>
  <c r="O665" i="1"/>
  <c r="N665" i="1"/>
  <c r="M665" i="1"/>
  <c r="L665" i="1"/>
  <c r="K665" i="1"/>
  <c r="J665" i="1"/>
  <c r="I665" i="1"/>
  <c r="H665" i="1"/>
  <c r="P665" i="1" s="1"/>
  <c r="G665" i="1"/>
  <c r="E665" i="1"/>
  <c r="D665" i="1"/>
  <c r="C665" i="1"/>
  <c r="B665" i="1"/>
  <c r="Q664" i="1"/>
  <c r="O664" i="1"/>
  <c r="N664" i="1"/>
  <c r="M664" i="1"/>
  <c r="L664" i="1"/>
  <c r="K664" i="1"/>
  <c r="J664" i="1"/>
  <c r="I664" i="1"/>
  <c r="H664" i="1"/>
  <c r="P664" i="1" s="1"/>
  <c r="G664" i="1"/>
  <c r="E664" i="1"/>
  <c r="D664" i="1"/>
  <c r="C664" i="1"/>
  <c r="B664" i="1"/>
  <c r="Q663" i="1"/>
  <c r="O663" i="1"/>
  <c r="N663" i="1"/>
  <c r="M663" i="1"/>
  <c r="L663" i="1"/>
  <c r="K663" i="1"/>
  <c r="J663" i="1"/>
  <c r="I663" i="1"/>
  <c r="H663" i="1"/>
  <c r="P663" i="1" s="1"/>
  <c r="G663" i="1"/>
  <c r="E663" i="1"/>
  <c r="D663" i="1"/>
  <c r="C663" i="1"/>
  <c r="B663" i="1"/>
  <c r="Q662" i="1"/>
  <c r="O662" i="1"/>
  <c r="N662" i="1"/>
  <c r="M662" i="1"/>
  <c r="L662" i="1"/>
  <c r="K662" i="1"/>
  <c r="J662" i="1"/>
  <c r="I662" i="1"/>
  <c r="H662" i="1"/>
  <c r="P662" i="1" s="1"/>
  <c r="G662" i="1"/>
  <c r="E662" i="1"/>
  <c r="D662" i="1"/>
  <c r="C662" i="1"/>
  <c r="B662" i="1"/>
  <c r="Q661" i="1"/>
  <c r="O661" i="1"/>
  <c r="N661" i="1"/>
  <c r="M661" i="1"/>
  <c r="L661" i="1"/>
  <c r="K661" i="1"/>
  <c r="J661" i="1"/>
  <c r="I661" i="1"/>
  <c r="H661" i="1"/>
  <c r="P661" i="1" s="1"/>
  <c r="G661" i="1"/>
  <c r="E661" i="1"/>
  <c r="D661" i="1"/>
  <c r="C661" i="1"/>
  <c r="B661" i="1"/>
  <c r="Q660" i="1"/>
  <c r="O660" i="1"/>
  <c r="N660" i="1"/>
  <c r="M660" i="1"/>
  <c r="L660" i="1"/>
  <c r="K660" i="1"/>
  <c r="J660" i="1"/>
  <c r="I660" i="1"/>
  <c r="H660" i="1"/>
  <c r="P660" i="1" s="1"/>
  <c r="G660" i="1"/>
  <c r="E660" i="1"/>
  <c r="D660" i="1"/>
  <c r="C660" i="1"/>
  <c r="B660" i="1"/>
  <c r="Q659" i="1"/>
  <c r="O659" i="1"/>
  <c r="N659" i="1"/>
  <c r="M659" i="1"/>
  <c r="L659" i="1"/>
  <c r="K659" i="1"/>
  <c r="J659" i="1"/>
  <c r="I659" i="1"/>
  <c r="H659" i="1"/>
  <c r="P659" i="1" s="1"/>
  <c r="G659" i="1"/>
  <c r="E659" i="1"/>
  <c r="D659" i="1"/>
  <c r="C659" i="1"/>
  <c r="B659" i="1"/>
  <c r="Q658" i="1"/>
  <c r="O658" i="1"/>
  <c r="N658" i="1"/>
  <c r="M658" i="1"/>
  <c r="L658" i="1"/>
  <c r="K658" i="1"/>
  <c r="J658" i="1"/>
  <c r="I658" i="1"/>
  <c r="H658" i="1"/>
  <c r="P658" i="1" s="1"/>
  <c r="G658" i="1"/>
  <c r="E658" i="1"/>
  <c r="D658" i="1"/>
  <c r="C658" i="1"/>
  <c r="B658" i="1"/>
  <c r="Q657" i="1"/>
  <c r="O657" i="1"/>
  <c r="N657" i="1"/>
  <c r="M657" i="1"/>
  <c r="L657" i="1"/>
  <c r="K657" i="1"/>
  <c r="J657" i="1"/>
  <c r="I657" i="1"/>
  <c r="H657" i="1"/>
  <c r="P657" i="1" s="1"/>
  <c r="G657" i="1"/>
  <c r="E657" i="1"/>
  <c r="D657" i="1"/>
  <c r="C657" i="1"/>
  <c r="B657" i="1"/>
  <c r="Q656" i="1"/>
  <c r="O656" i="1"/>
  <c r="N656" i="1"/>
  <c r="M656" i="1"/>
  <c r="L656" i="1"/>
  <c r="K656" i="1"/>
  <c r="J656" i="1"/>
  <c r="I656" i="1"/>
  <c r="H656" i="1"/>
  <c r="P656" i="1" s="1"/>
  <c r="G656" i="1"/>
  <c r="E656" i="1"/>
  <c r="D656" i="1"/>
  <c r="C656" i="1"/>
  <c r="B656" i="1"/>
  <c r="Q655" i="1"/>
  <c r="O655" i="1"/>
  <c r="N655" i="1"/>
  <c r="M655" i="1"/>
  <c r="L655" i="1"/>
  <c r="K655" i="1"/>
  <c r="J655" i="1"/>
  <c r="I655" i="1"/>
  <c r="H655" i="1"/>
  <c r="P655" i="1" s="1"/>
  <c r="G655" i="1"/>
  <c r="E655" i="1"/>
  <c r="D655" i="1"/>
  <c r="C655" i="1"/>
  <c r="B655" i="1"/>
  <c r="Q654" i="1"/>
  <c r="O654" i="1"/>
  <c r="N654" i="1"/>
  <c r="M654" i="1"/>
  <c r="L654" i="1"/>
  <c r="K654" i="1"/>
  <c r="J654" i="1"/>
  <c r="I654" i="1"/>
  <c r="H654" i="1"/>
  <c r="P654" i="1" s="1"/>
  <c r="G654" i="1"/>
  <c r="E654" i="1"/>
  <c r="D654" i="1"/>
  <c r="C654" i="1"/>
  <c r="B654" i="1"/>
  <c r="Q653" i="1"/>
  <c r="O653" i="1"/>
  <c r="N653" i="1"/>
  <c r="M653" i="1"/>
  <c r="L653" i="1"/>
  <c r="K653" i="1"/>
  <c r="J653" i="1"/>
  <c r="I653" i="1"/>
  <c r="H653" i="1"/>
  <c r="P653" i="1" s="1"/>
  <c r="G653" i="1"/>
  <c r="E653" i="1"/>
  <c r="D653" i="1"/>
  <c r="C653" i="1"/>
  <c r="B653" i="1"/>
  <c r="Q652" i="1"/>
  <c r="O652" i="1"/>
  <c r="N652" i="1"/>
  <c r="M652" i="1"/>
  <c r="L652" i="1"/>
  <c r="K652" i="1"/>
  <c r="J652" i="1"/>
  <c r="I652" i="1"/>
  <c r="H652" i="1"/>
  <c r="P652" i="1" s="1"/>
  <c r="G652" i="1"/>
  <c r="E652" i="1"/>
  <c r="D652" i="1"/>
  <c r="C652" i="1"/>
  <c r="B652" i="1"/>
  <c r="Q651" i="1"/>
  <c r="O651" i="1"/>
  <c r="N651" i="1"/>
  <c r="M651" i="1"/>
  <c r="L651" i="1"/>
  <c r="K651" i="1"/>
  <c r="J651" i="1"/>
  <c r="I651" i="1"/>
  <c r="H651" i="1"/>
  <c r="P651" i="1" s="1"/>
  <c r="G651" i="1"/>
  <c r="E651" i="1"/>
  <c r="D651" i="1"/>
  <c r="C651" i="1"/>
  <c r="B651" i="1"/>
  <c r="Q650" i="1"/>
  <c r="O650" i="1"/>
  <c r="N650" i="1"/>
  <c r="M650" i="1"/>
  <c r="L650" i="1"/>
  <c r="K650" i="1"/>
  <c r="J650" i="1"/>
  <c r="I650" i="1"/>
  <c r="H650" i="1"/>
  <c r="P650" i="1" s="1"/>
  <c r="G650" i="1"/>
  <c r="E650" i="1"/>
  <c r="D650" i="1"/>
  <c r="C650" i="1"/>
  <c r="B650" i="1"/>
  <c r="Q649" i="1"/>
  <c r="O649" i="1"/>
  <c r="N649" i="1"/>
  <c r="M649" i="1"/>
  <c r="L649" i="1"/>
  <c r="K649" i="1"/>
  <c r="J649" i="1"/>
  <c r="I649" i="1"/>
  <c r="H649" i="1"/>
  <c r="P649" i="1" s="1"/>
  <c r="G649" i="1"/>
  <c r="E649" i="1"/>
  <c r="D649" i="1"/>
  <c r="C649" i="1"/>
  <c r="B649" i="1"/>
  <c r="Q648" i="1"/>
  <c r="O648" i="1"/>
  <c r="N648" i="1"/>
  <c r="M648" i="1"/>
  <c r="L648" i="1"/>
  <c r="K648" i="1"/>
  <c r="J648" i="1"/>
  <c r="I648" i="1"/>
  <c r="H648" i="1"/>
  <c r="P648" i="1" s="1"/>
  <c r="G648" i="1"/>
  <c r="E648" i="1"/>
  <c r="D648" i="1"/>
  <c r="C648" i="1"/>
  <c r="B648" i="1"/>
  <c r="Q647" i="1"/>
  <c r="O647" i="1"/>
  <c r="N647" i="1"/>
  <c r="M647" i="1"/>
  <c r="L647" i="1"/>
  <c r="K647" i="1"/>
  <c r="J647" i="1"/>
  <c r="I647" i="1"/>
  <c r="H647" i="1"/>
  <c r="P647" i="1" s="1"/>
  <c r="G647" i="1"/>
  <c r="E647" i="1"/>
  <c r="D647" i="1"/>
  <c r="C647" i="1"/>
  <c r="B647" i="1"/>
  <c r="Q646" i="1"/>
  <c r="O646" i="1"/>
  <c r="N646" i="1"/>
  <c r="M646" i="1"/>
  <c r="L646" i="1"/>
  <c r="K646" i="1"/>
  <c r="J646" i="1"/>
  <c r="I646" i="1"/>
  <c r="H646" i="1"/>
  <c r="P646" i="1" s="1"/>
  <c r="G646" i="1"/>
  <c r="E646" i="1"/>
  <c r="D646" i="1"/>
  <c r="C646" i="1"/>
  <c r="B646" i="1"/>
  <c r="Q645" i="1"/>
  <c r="O645" i="1"/>
  <c r="N645" i="1"/>
  <c r="M645" i="1"/>
  <c r="L645" i="1"/>
  <c r="K645" i="1"/>
  <c r="J645" i="1"/>
  <c r="I645" i="1"/>
  <c r="H645" i="1"/>
  <c r="P645" i="1" s="1"/>
  <c r="G645" i="1"/>
  <c r="E645" i="1"/>
  <c r="D645" i="1"/>
  <c r="C645" i="1"/>
  <c r="B645" i="1"/>
  <c r="Q644" i="1"/>
  <c r="O644" i="1"/>
  <c r="N644" i="1"/>
  <c r="M644" i="1"/>
  <c r="L644" i="1"/>
  <c r="K644" i="1"/>
  <c r="J644" i="1"/>
  <c r="I644" i="1"/>
  <c r="H644" i="1"/>
  <c r="P644" i="1" s="1"/>
  <c r="G644" i="1"/>
  <c r="E644" i="1"/>
  <c r="D644" i="1"/>
  <c r="C644" i="1"/>
  <c r="B644" i="1"/>
  <c r="Q643" i="1"/>
  <c r="O643" i="1"/>
  <c r="N643" i="1"/>
  <c r="M643" i="1"/>
  <c r="L643" i="1"/>
  <c r="K643" i="1"/>
  <c r="J643" i="1"/>
  <c r="I643" i="1"/>
  <c r="H643" i="1"/>
  <c r="P643" i="1" s="1"/>
  <c r="G643" i="1"/>
  <c r="E643" i="1"/>
  <c r="D643" i="1"/>
  <c r="C643" i="1"/>
  <c r="B643" i="1"/>
  <c r="Q642" i="1"/>
  <c r="O642" i="1"/>
  <c r="N642" i="1"/>
  <c r="M642" i="1"/>
  <c r="L642" i="1"/>
  <c r="K642" i="1"/>
  <c r="J642" i="1"/>
  <c r="I642" i="1"/>
  <c r="H642" i="1"/>
  <c r="P642" i="1" s="1"/>
  <c r="G642" i="1"/>
  <c r="E642" i="1"/>
  <c r="D642" i="1"/>
  <c r="C642" i="1"/>
  <c r="B642" i="1"/>
  <c r="Q641" i="1"/>
  <c r="O641" i="1"/>
  <c r="N641" i="1"/>
  <c r="M641" i="1"/>
  <c r="L641" i="1"/>
  <c r="K641" i="1"/>
  <c r="J641" i="1"/>
  <c r="I641" i="1"/>
  <c r="H641" i="1"/>
  <c r="P641" i="1" s="1"/>
  <c r="G641" i="1"/>
  <c r="E641" i="1"/>
  <c r="D641" i="1"/>
  <c r="C641" i="1"/>
  <c r="B641" i="1"/>
  <c r="Q640" i="1"/>
  <c r="O640" i="1"/>
  <c r="N640" i="1"/>
  <c r="M640" i="1"/>
  <c r="L640" i="1"/>
  <c r="K640" i="1"/>
  <c r="J640" i="1"/>
  <c r="I640" i="1"/>
  <c r="H640" i="1"/>
  <c r="P640" i="1" s="1"/>
  <c r="G640" i="1"/>
  <c r="E640" i="1"/>
  <c r="D640" i="1"/>
  <c r="C640" i="1"/>
  <c r="B640" i="1"/>
  <c r="Q639" i="1"/>
  <c r="O639" i="1"/>
  <c r="N639" i="1"/>
  <c r="M639" i="1"/>
  <c r="L639" i="1"/>
  <c r="K639" i="1"/>
  <c r="J639" i="1"/>
  <c r="I639" i="1"/>
  <c r="H639" i="1"/>
  <c r="P639" i="1" s="1"/>
  <c r="G639" i="1"/>
  <c r="E639" i="1"/>
  <c r="D639" i="1"/>
  <c r="C639" i="1"/>
  <c r="B639" i="1"/>
  <c r="Q638" i="1"/>
  <c r="O638" i="1"/>
  <c r="N638" i="1"/>
  <c r="M638" i="1"/>
  <c r="L638" i="1"/>
  <c r="K638" i="1"/>
  <c r="J638" i="1"/>
  <c r="I638" i="1"/>
  <c r="H638" i="1"/>
  <c r="P638" i="1" s="1"/>
  <c r="G638" i="1"/>
  <c r="E638" i="1"/>
  <c r="D638" i="1"/>
  <c r="C638" i="1"/>
  <c r="B638" i="1"/>
  <c r="Q637" i="1"/>
  <c r="O637" i="1"/>
  <c r="N637" i="1"/>
  <c r="M637" i="1"/>
  <c r="L637" i="1"/>
  <c r="K637" i="1"/>
  <c r="J637" i="1"/>
  <c r="I637" i="1"/>
  <c r="H637" i="1"/>
  <c r="P637" i="1" s="1"/>
  <c r="G637" i="1"/>
  <c r="E637" i="1"/>
  <c r="D637" i="1"/>
  <c r="C637" i="1"/>
  <c r="B637" i="1"/>
  <c r="Q636" i="1"/>
  <c r="O636" i="1"/>
  <c r="N636" i="1"/>
  <c r="M636" i="1"/>
  <c r="L636" i="1"/>
  <c r="K636" i="1"/>
  <c r="J636" i="1"/>
  <c r="I636" i="1"/>
  <c r="H636" i="1"/>
  <c r="P636" i="1" s="1"/>
  <c r="G636" i="1"/>
  <c r="E636" i="1"/>
  <c r="D636" i="1"/>
  <c r="C636" i="1"/>
  <c r="B636" i="1"/>
  <c r="Q635" i="1"/>
  <c r="O635" i="1"/>
  <c r="N635" i="1"/>
  <c r="M635" i="1"/>
  <c r="L635" i="1"/>
  <c r="K635" i="1"/>
  <c r="J635" i="1"/>
  <c r="I635" i="1"/>
  <c r="H635" i="1"/>
  <c r="P635" i="1" s="1"/>
  <c r="G635" i="1"/>
  <c r="E635" i="1"/>
  <c r="D635" i="1"/>
  <c r="C635" i="1"/>
  <c r="B635" i="1"/>
  <c r="Q634" i="1"/>
  <c r="O634" i="1"/>
  <c r="N634" i="1"/>
  <c r="M634" i="1"/>
  <c r="L634" i="1"/>
  <c r="K634" i="1"/>
  <c r="J634" i="1"/>
  <c r="I634" i="1"/>
  <c r="H634" i="1"/>
  <c r="P634" i="1" s="1"/>
  <c r="G634" i="1"/>
  <c r="E634" i="1"/>
  <c r="D634" i="1"/>
  <c r="C634" i="1"/>
  <c r="B634" i="1"/>
  <c r="Q633" i="1"/>
  <c r="O633" i="1"/>
  <c r="N633" i="1"/>
  <c r="M633" i="1"/>
  <c r="L633" i="1"/>
  <c r="K633" i="1"/>
  <c r="J633" i="1"/>
  <c r="I633" i="1"/>
  <c r="H633" i="1"/>
  <c r="P633" i="1" s="1"/>
  <c r="G633" i="1"/>
  <c r="E633" i="1"/>
  <c r="D633" i="1"/>
  <c r="C633" i="1"/>
  <c r="B633" i="1"/>
  <c r="Q632" i="1"/>
  <c r="O632" i="1"/>
  <c r="N632" i="1"/>
  <c r="M632" i="1"/>
  <c r="L632" i="1"/>
  <c r="K632" i="1"/>
  <c r="J632" i="1"/>
  <c r="I632" i="1"/>
  <c r="H632" i="1"/>
  <c r="P632" i="1" s="1"/>
  <c r="G632" i="1"/>
  <c r="E632" i="1"/>
  <c r="D632" i="1"/>
  <c r="C632" i="1"/>
  <c r="B632" i="1"/>
  <c r="Q631" i="1"/>
  <c r="O631" i="1"/>
  <c r="N631" i="1"/>
  <c r="M631" i="1"/>
  <c r="L631" i="1"/>
  <c r="K631" i="1"/>
  <c r="J631" i="1"/>
  <c r="I631" i="1"/>
  <c r="H631" i="1"/>
  <c r="P631" i="1" s="1"/>
  <c r="G631" i="1"/>
  <c r="E631" i="1"/>
  <c r="D631" i="1"/>
  <c r="C631" i="1"/>
  <c r="B631" i="1"/>
  <c r="Q630" i="1"/>
  <c r="O630" i="1"/>
  <c r="N630" i="1"/>
  <c r="M630" i="1"/>
  <c r="L630" i="1"/>
  <c r="K630" i="1"/>
  <c r="J630" i="1"/>
  <c r="I630" i="1"/>
  <c r="H630" i="1"/>
  <c r="P630" i="1" s="1"/>
  <c r="G630" i="1"/>
  <c r="E630" i="1"/>
  <c r="D630" i="1"/>
  <c r="C630" i="1"/>
  <c r="B630" i="1"/>
  <c r="Q629" i="1"/>
  <c r="O629" i="1"/>
  <c r="N629" i="1"/>
  <c r="M629" i="1"/>
  <c r="L629" i="1"/>
  <c r="K629" i="1"/>
  <c r="J629" i="1"/>
  <c r="I629" i="1"/>
  <c r="H629" i="1"/>
  <c r="P629" i="1" s="1"/>
  <c r="G629" i="1"/>
  <c r="E629" i="1"/>
  <c r="D629" i="1"/>
  <c r="C629" i="1"/>
  <c r="B629" i="1"/>
  <c r="Q628" i="1"/>
  <c r="O628" i="1"/>
  <c r="N628" i="1"/>
  <c r="M628" i="1"/>
  <c r="L628" i="1"/>
  <c r="K628" i="1"/>
  <c r="J628" i="1"/>
  <c r="I628" i="1"/>
  <c r="H628" i="1"/>
  <c r="P628" i="1" s="1"/>
  <c r="G628" i="1"/>
  <c r="E628" i="1"/>
  <c r="D628" i="1"/>
  <c r="C628" i="1"/>
  <c r="B628" i="1"/>
  <c r="Q627" i="1"/>
  <c r="O627" i="1"/>
  <c r="N627" i="1"/>
  <c r="M627" i="1"/>
  <c r="L627" i="1"/>
  <c r="K627" i="1"/>
  <c r="J627" i="1"/>
  <c r="I627" i="1"/>
  <c r="H627" i="1"/>
  <c r="P627" i="1" s="1"/>
  <c r="G627" i="1"/>
  <c r="E627" i="1"/>
  <c r="D627" i="1"/>
  <c r="C627" i="1"/>
  <c r="B627" i="1"/>
  <c r="Q626" i="1"/>
  <c r="O626" i="1"/>
  <c r="N626" i="1"/>
  <c r="M626" i="1"/>
  <c r="L626" i="1"/>
  <c r="K626" i="1"/>
  <c r="J626" i="1"/>
  <c r="I626" i="1"/>
  <c r="H626" i="1"/>
  <c r="P626" i="1" s="1"/>
  <c r="G626" i="1"/>
  <c r="E626" i="1"/>
  <c r="D626" i="1"/>
  <c r="C626" i="1"/>
  <c r="B626" i="1"/>
  <c r="Q625" i="1"/>
  <c r="O625" i="1"/>
  <c r="N625" i="1"/>
  <c r="M625" i="1"/>
  <c r="L625" i="1"/>
  <c r="K625" i="1"/>
  <c r="J625" i="1"/>
  <c r="I625" i="1"/>
  <c r="H625" i="1"/>
  <c r="P625" i="1" s="1"/>
  <c r="G625" i="1"/>
  <c r="E625" i="1"/>
  <c r="D625" i="1"/>
  <c r="C625" i="1"/>
  <c r="B625" i="1"/>
  <c r="Q624" i="1"/>
  <c r="O624" i="1"/>
  <c r="N624" i="1"/>
  <c r="M624" i="1"/>
  <c r="L624" i="1"/>
  <c r="K624" i="1"/>
  <c r="J624" i="1"/>
  <c r="I624" i="1"/>
  <c r="H624" i="1"/>
  <c r="P624" i="1" s="1"/>
  <c r="G624" i="1"/>
  <c r="E624" i="1"/>
  <c r="D624" i="1"/>
  <c r="C624" i="1"/>
  <c r="B624" i="1"/>
  <c r="Q623" i="1"/>
  <c r="O623" i="1"/>
  <c r="N623" i="1"/>
  <c r="M623" i="1"/>
  <c r="L623" i="1"/>
  <c r="K623" i="1"/>
  <c r="J623" i="1"/>
  <c r="I623" i="1"/>
  <c r="H623" i="1"/>
  <c r="P623" i="1" s="1"/>
  <c r="G623" i="1"/>
  <c r="E623" i="1"/>
  <c r="D623" i="1"/>
  <c r="C623" i="1"/>
  <c r="B623" i="1"/>
  <c r="Q622" i="1"/>
  <c r="O622" i="1"/>
  <c r="N622" i="1"/>
  <c r="M622" i="1"/>
  <c r="L622" i="1"/>
  <c r="K622" i="1"/>
  <c r="J622" i="1"/>
  <c r="I622" i="1"/>
  <c r="H622" i="1"/>
  <c r="P622" i="1" s="1"/>
  <c r="G622" i="1"/>
  <c r="E622" i="1"/>
  <c r="D622" i="1"/>
  <c r="C622" i="1"/>
  <c r="B622" i="1"/>
  <c r="Q621" i="1"/>
  <c r="O621" i="1"/>
  <c r="N621" i="1"/>
  <c r="M621" i="1"/>
  <c r="L621" i="1"/>
  <c r="K621" i="1"/>
  <c r="J621" i="1"/>
  <c r="I621" i="1"/>
  <c r="H621" i="1"/>
  <c r="P621" i="1" s="1"/>
  <c r="G621" i="1"/>
  <c r="E621" i="1"/>
  <c r="D621" i="1"/>
  <c r="C621" i="1"/>
  <c r="B621" i="1"/>
  <c r="Q620" i="1"/>
  <c r="O620" i="1"/>
  <c r="N620" i="1"/>
  <c r="M620" i="1"/>
  <c r="L620" i="1"/>
  <c r="K620" i="1"/>
  <c r="J620" i="1"/>
  <c r="I620" i="1"/>
  <c r="H620" i="1"/>
  <c r="P620" i="1" s="1"/>
  <c r="G620" i="1"/>
  <c r="E620" i="1"/>
  <c r="D620" i="1"/>
  <c r="C620" i="1"/>
  <c r="B620" i="1"/>
  <c r="Q619" i="1"/>
  <c r="O619" i="1"/>
  <c r="N619" i="1"/>
  <c r="M619" i="1"/>
  <c r="L619" i="1"/>
  <c r="K619" i="1"/>
  <c r="J619" i="1"/>
  <c r="I619" i="1"/>
  <c r="H619" i="1"/>
  <c r="P619" i="1" s="1"/>
  <c r="G619" i="1"/>
  <c r="E619" i="1"/>
  <c r="D619" i="1"/>
  <c r="C619" i="1"/>
  <c r="B619" i="1"/>
  <c r="Q618" i="1"/>
  <c r="O618" i="1"/>
  <c r="N618" i="1"/>
  <c r="M618" i="1"/>
  <c r="L618" i="1"/>
  <c r="I618" i="1"/>
  <c r="H618" i="1"/>
  <c r="P618" i="1" s="1"/>
  <c r="G618" i="1"/>
  <c r="E618" i="1"/>
  <c r="D618" i="1"/>
  <c r="C618" i="1"/>
  <c r="B618" i="1"/>
  <c r="Q617" i="1"/>
  <c r="O617" i="1"/>
  <c r="N617" i="1"/>
  <c r="M617" i="1"/>
  <c r="L617" i="1"/>
  <c r="I617" i="1"/>
  <c r="H617" i="1"/>
  <c r="K617" i="1" s="1"/>
  <c r="G617" i="1"/>
  <c r="E617" i="1"/>
  <c r="D617" i="1"/>
  <c r="C617" i="1"/>
  <c r="B617" i="1"/>
  <c r="Q616" i="1"/>
  <c r="O616" i="1"/>
  <c r="N616" i="1"/>
  <c r="M616" i="1"/>
  <c r="L616" i="1"/>
  <c r="I616" i="1"/>
  <c r="H616" i="1"/>
  <c r="K616" i="1" s="1"/>
  <c r="G616" i="1"/>
  <c r="E616" i="1"/>
  <c r="D616" i="1"/>
  <c r="C616" i="1"/>
  <c r="B616" i="1"/>
  <c r="Q615" i="1"/>
  <c r="O615" i="1"/>
  <c r="N615" i="1"/>
  <c r="M615" i="1"/>
  <c r="L615" i="1"/>
  <c r="I615" i="1"/>
  <c r="H615" i="1"/>
  <c r="K615" i="1" s="1"/>
  <c r="G615" i="1"/>
  <c r="E615" i="1"/>
  <c r="D615" i="1"/>
  <c r="C615" i="1"/>
  <c r="B615" i="1"/>
  <c r="Q614" i="1"/>
  <c r="O614" i="1"/>
  <c r="N614" i="1"/>
  <c r="M614" i="1"/>
  <c r="L614" i="1"/>
  <c r="I614" i="1"/>
  <c r="H614" i="1"/>
  <c r="K614" i="1" s="1"/>
  <c r="G614" i="1"/>
  <c r="E614" i="1"/>
  <c r="D614" i="1"/>
  <c r="C614" i="1"/>
  <c r="B614" i="1"/>
  <c r="Q613" i="1"/>
  <c r="O613" i="1"/>
  <c r="N613" i="1"/>
  <c r="M613" i="1"/>
  <c r="L613" i="1"/>
  <c r="I613" i="1"/>
  <c r="H613" i="1"/>
  <c r="K613" i="1" s="1"/>
  <c r="G613" i="1"/>
  <c r="E613" i="1"/>
  <c r="D613" i="1"/>
  <c r="C613" i="1"/>
  <c r="B613" i="1"/>
  <c r="Q612" i="1"/>
  <c r="O612" i="1"/>
  <c r="N612" i="1"/>
  <c r="M612" i="1"/>
  <c r="L612" i="1"/>
  <c r="I612" i="1"/>
  <c r="H612" i="1"/>
  <c r="K612" i="1" s="1"/>
  <c r="G612" i="1"/>
  <c r="E612" i="1"/>
  <c r="D612" i="1"/>
  <c r="C612" i="1"/>
  <c r="B612" i="1"/>
  <c r="Q611" i="1"/>
  <c r="O611" i="1"/>
  <c r="N611" i="1"/>
  <c r="M611" i="1"/>
  <c r="L611" i="1"/>
  <c r="I611" i="1"/>
  <c r="H611" i="1"/>
  <c r="K611" i="1" s="1"/>
  <c r="G611" i="1"/>
  <c r="E611" i="1"/>
  <c r="D611" i="1"/>
  <c r="C611" i="1"/>
  <c r="B611" i="1"/>
  <c r="Q610" i="1"/>
  <c r="O610" i="1"/>
  <c r="N610" i="1"/>
  <c r="M610" i="1"/>
  <c r="L610" i="1"/>
  <c r="I610" i="1"/>
  <c r="H610" i="1"/>
  <c r="K610" i="1" s="1"/>
  <c r="G610" i="1"/>
  <c r="E610" i="1"/>
  <c r="D610" i="1"/>
  <c r="C610" i="1"/>
  <c r="B610" i="1"/>
  <c r="Q609" i="1"/>
  <c r="O609" i="1"/>
  <c r="N609" i="1"/>
  <c r="M609" i="1"/>
  <c r="L609" i="1"/>
  <c r="I609" i="1"/>
  <c r="H609" i="1"/>
  <c r="K609" i="1" s="1"/>
  <c r="G609" i="1"/>
  <c r="E609" i="1"/>
  <c r="D609" i="1"/>
  <c r="C609" i="1"/>
  <c r="B609" i="1"/>
  <c r="Q608" i="1"/>
  <c r="O608" i="1"/>
  <c r="N608" i="1"/>
  <c r="M608" i="1"/>
  <c r="L608" i="1"/>
  <c r="I608" i="1"/>
  <c r="H608" i="1"/>
  <c r="K608" i="1" s="1"/>
  <c r="G608" i="1"/>
  <c r="E608" i="1"/>
  <c r="D608" i="1"/>
  <c r="C608" i="1"/>
  <c r="B608" i="1"/>
  <c r="Q607" i="1"/>
  <c r="O607" i="1"/>
  <c r="N607" i="1"/>
  <c r="M607" i="1"/>
  <c r="L607" i="1"/>
  <c r="I607" i="1"/>
  <c r="H607" i="1"/>
  <c r="K607" i="1" s="1"/>
  <c r="G607" i="1"/>
  <c r="E607" i="1"/>
  <c r="D607" i="1"/>
  <c r="C607" i="1"/>
  <c r="B607" i="1"/>
  <c r="Q606" i="1"/>
  <c r="O606" i="1"/>
  <c r="N606" i="1"/>
  <c r="M606" i="1"/>
  <c r="L606" i="1"/>
  <c r="I606" i="1"/>
  <c r="H606" i="1"/>
  <c r="K606" i="1" s="1"/>
  <c r="G606" i="1"/>
  <c r="E606" i="1"/>
  <c r="D606" i="1"/>
  <c r="C606" i="1"/>
  <c r="B606" i="1"/>
  <c r="Q605" i="1"/>
  <c r="O605" i="1"/>
  <c r="N605" i="1"/>
  <c r="M605" i="1"/>
  <c r="L605" i="1"/>
  <c r="I605" i="1"/>
  <c r="H605" i="1"/>
  <c r="K605" i="1" s="1"/>
  <c r="G605" i="1"/>
  <c r="E605" i="1"/>
  <c r="D605" i="1"/>
  <c r="C605" i="1"/>
  <c r="B605" i="1"/>
  <c r="Q604" i="1"/>
  <c r="O604" i="1"/>
  <c r="N604" i="1"/>
  <c r="M604" i="1"/>
  <c r="L604" i="1"/>
  <c r="I604" i="1"/>
  <c r="H604" i="1"/>
  <c r="K604" i="1" s="1"/>
  <c r="G604" i="1"/>
  <c r="E604" i="1"/>
  <c r="D604" i="1"/>
  <c r="C604" i="1"/>
  <c r="B604" i="1"/>
  <c r="Q603" i="1"/>
  <c r="O603" i="1"/>
  <c r="N603" i="1"/>
  <c r="M603" i="1"/>
  <c r="L603" i="1"/>
  <c r="I603" i="1"/>
  <c r="H603" i="1"/>
  <c r="K603" i="1" s="1"/>
  <c r="G603" i="1"/>
  <c r="E603" i="1"/>
  <c r="D603" i="1"/>
  <c r="C603" i="1"/>
  <c r="B603" i="1"/>
  <c r="Q602" i="1"/>
  <c r="O602" i="1"/>
  <c r="N602" i="1"/>
  <c r="M602" i="1"/>
  <c r="L602" i="1"/>
  <c r="I602" i="1"/>
  <c r="H602" i="1"/>
  <c r="K602" i="1" s="1"/>
  <c r="G602" i="1"/>
  <c r="E602" i="1"/>
  <c r="D602" i="1"/>
  <c r="C602" i="1"/>
  <c r="B602" i="1"/>
  <c r="Q601" i="1"/>
  <c r="O601" i="1"/>
  <c r="N601" i="1"/>
  <c r="M601" i="1"/>
  <c r="L601" i="1"/>
  <c r="I601" i="1"/>
  <c r="H601" i="1"/>
  <c r="K601" i="1" s="1"/>
  <c r="G601" i="1"/>
  <c r="E601" i="1"/>
  <c r="D601" i="1"/>
  <c r="C601" i="1"/>
  <c r="B601" i="1"/>
  <c r="Q600" i="1"/>
  <c r="O600" i="1"/>
  <c r="N600" i="1"/>
  <c r="M600" i="1"/>
  <c r="L600" i="1"/>
  <c r="I600" i="1"/>
  <c r="H600" i="1"/>
  <c r="K600" i="1" s="1"/>
  <c r="G600" i="1"/>
  <c r="E600" i="1"/>
  <c r="D600" i="1"/>
  <c r="C600" i="1"/>
  <c r="B600" i="1"/>
  <c r="Q599" i="1"/>
  <c r="O599" i="1"/>
  <c r="N599" i="1"/>
  <c r="M599" i="1"/>
  <c r="L599" i="1"/>
  <c r="I599" i="1"/>
  <c r="H599" i="1"/>
  <c r="K599" i="1" s="1"/>
  <c r="G599" i="1"/>
  <c r="E599" i="1"/>
  <c r="D599" i="1"/>
  <c r="C599" i="1"/>
  <c r="B599" i="1"/>
  <c r="Q598" i="1"/>
  <c r="O598" i="1"/>
  <c r="N598" i="1"/>
  <c r="M598" i="1"/>
  <c r="L598" i="1"/>
  <c r="I598" i="1"/>
  <c r="H598" i="1"/>
  <c r="K598" i="1" s="1"/>
  <c r="G598" i="1"/>
  <c r="E598" i="1"/>
  <c r="D598" i="1"/>
  <c r="C598" i="1"/>
  <c r="B598" i="1"/>
  <c r="Q597" i="1"/>
  <c r="O597" i="1"/>
  <c r="N597" i="1"/>
  <c r="M597" i="1"/>
  <c r="L597" i="1"/>
  <c r="I597" i="1"/>
  <c r="H597" i="1"/>
  <c r="K597" i="1" s="1"/>
  <c r="G597" i="1"/>
  <c r="E597" i="1"/>
  <c r="D597" i="1"/>
  <c r="C597" i="1"/>
  <c r="B597" i="1"/>
  <c r="Q596" i="1"/>
  <c r="O596" i="1"/>
  <c r="N596" i="1"/>
  <c r="M596" i="1"/>
  <c r="L596" i="1"/>
  <c r="I596" i="1"/>
  <c r="H596" i="1"/>
  <c r="K596" i="1" s="1"/>
  <c r="G596" i="1"/>
  <c r="E596" i="1"/>
  <c r="D596" i="1"/>
  <c r="C596" i="1"/>
  <c r="B596" i="1"/>
  <c r="Q595" i="1"/>
  <c r="O595" i="1"/>
  <c r="N595" i="1"/>
  <c r="M595" i="1"/>
  <c r="L595" i="1"/>
  <c r="I595" i="1"/>
  <c r="H595" i="1"/>
  <c r="K595" i="1" s="1"/>
  <c r="G595" i="1"/>
  <c r="E595" i="1"/>
  <c r="D595" i="1"/>
  <c r="C595" i="1"/>
  <c r="B595" i="1"/>
  <c r="Q594" i="1"/>
  <c r="O594" i="1"/>
  <c r="N594" i="1"/>
  <c r="M594" i="1"/>
  <c r="L594" i="1"/>
  <c r="I594" i="1"/>
  <c r="H594" i="1"/>
  <c r="K594" i="1" s="1"/>
  <c r="G594" i="1"/>
  <c r="E594" i="1"/>
  <c r="D594" i="1"/>
  <c r="C594" i="1"/>
  <c r="B594" i="1"/>
  <c r="Q593" i="1"/>
  <c r="O593" i="1"/>
  <c r="N593" i="1"/>
  <c r="M593" i="1"/>
  <c r="L593" i="1"/>
  <c r="I593" i="1"/>
  <c r="H593" i="1"/>
  <c r="K593" i="1" s="1"/>
  <c r="G593" i="1"/>
  <c r="E593" i="1"/>
  <c r="D593" i="1"/>
  <c r="C593" i="1"/>
  <c r="B593" i="1"/>
  <c r="Q592" i="1"/>
  <c r="O592" i="1"/>
  <c r="N592" i="1"/>
  <c r="M592" i="1"/>
  <c r="L592" i="1"/>
  <c r="I592" i="1"/>
  <c r="H592" i="1"/>
  <c r="K592" i="1" s="1"/>
  <c r="G592" i="1"/>
  <c r="E592" i="1"/>
  <c r="D592" i="1"/>
  <c r="C592" i="1"/>
  <c r="B592" i="1"/>
  <c r="Q591" i="1"/>
  <c r="O591" i="1"/>
  <c r="N591" i="1"/>
  <c r="M591" i="1"/>
  <c r="L591" i="1"/>
  <c r="I591" i="1"/>
  <c r="H591" i="1"/>
  <c r="K591" i="1" s="1"/>
  <c r="G591" i="1"/>
  <c r="E591" i="1"/>
  <c r="D591" i="1"/>
  <c r="C591" i="1"/>
  <c r="B591" i="1"/>
  <c r="Q590" i="1"/>
  <c r="O590" i="1"/>
  <c r="N590" i="1"/>
  <c r="M590" i="1"/>
  <c r="L590" i="1"/>
  <c r="I590" i="1"/>
  <c r="H590" i="1"/>
  <c r="K590" i="1" s="1"/>
  <c r="G590" i="1"/>
  <c r="E590" i="1"/>
  <c r="D590" i="1"/>
  <c r="C590" i="1"/>
  <c r="B590" i="1"/>
  <c r="Q589" i="1"/>
  <c r="O589" i="1"/>
  <c r="N589" i="1"/>
  <c r="M589" i="1"/>
  <c r="L589" i="1"/>
  <c r="I589" i="1"/>
  <c r="H589" i="1"/>
  <c r="K589" i="1" s="1"/>
  <c r="G589" i="1"/>
  <c r="E589" i="1"/>
  <c r="D589" i="1"/>
  <c r="C589" i="1"/>
  <c r="B589" i="1"/>
  <c r="Q588" i="1"/>
  <c r="O588" i="1"/>
  <c r="N588" i="1"/>
  <c r="M588" i="1"/>
  <c r="L588" i="1"/>
  <c r="I588" i="1"/>
  <c r="H588" i="1"/>
  <c r="K588" i="1" s="1"/>
  <c r="G588" i="1"/>
  <c r="E588" i="1"/>
  <c r="D588" i="1"/>
  <c r="C588" i="1"/>
  <c r="B588" i="1"/>
  <c r="Q587" i="1"/>
  <c r="O587" i="1"/>
  <c r="N587" i="1"/>
  <c r="M587" i="1"/>
  <c r="L587" i="1"/>
  <c r="I587" i="1"/>
  <c r="H587" i="1"/>
  <c r="K587" i="1" s="1"/>
  <c r="G587" i="1"/>
  <c r="E587" i="1"/>
  <c r="D587" i="1"/>
  <c r="C587" i="1"/>
  <c r="B587" i="1"/>
  <c r="Q586" i="1"/>
  <c r="O586" i="1"/>
  <c r="N586" i="1"/>
  <c r="M586" i="1"/>
  <c r="L586" i="1"/>
  <c r="I586" i="1"/>
  <c r="H586" i="1"/>
  <c r="K586" i="1" s="1"/>
  <c r="G586" i="1"/>
  <c r="E586" i="1"/>
  <c r="D586" i="1"/>
  <c r="C586" i="1"/>
  <c r="B586" i="1"/>
  <c r="Q585" i="1"/>
  <c r="O585" i="1"/>
  <c r="N585" i="1"/>
  <c r="M585" i="1"/>
  <c r="L585" i="1"/>
  <c r="I585" i="1"/>
  <c r="H585" i="1"/>
  <c r="K585" i="1" s="1"/>
  <c r="G585" i="1"/>
  <c r="E585" i="1"/>
  <c r="D585" i="1"/>
  <c r="C585" i="1"/>
  <c r="B585" i="1"/>
  <c r="Q584" i="1"/>
  <c r="O584" i="1"/>
  <c r="N584" i="1"/>
  <c r="M584" i="1"/>
  <c r="L584" i="1"/>
  <c r="I584" i="1"/>
  <c r="H584" i="1"/>
  <c r="K584" i="1" s="1"/>
  <c r="G584" i="1"/>
  <c r="E584" i="1"/>
  <c r="D584" i="1"/>
  <c r="C584" i="1"/>
  <c r="B584" i="1"/>
  <c r="Q583" i="1"/>
  <c r="O583" i="1"/>
  <c r="N583" i="1"/>
  <c r="M583" i="1"/>
  <c r="L583" i="1"/>
  <c r="I583" i="1"/>
  <c r="H583" i="1"/>
  <c r="K583" i="1" s="1"/>
  <c r="G583" i="1"/>
  <c r="E583" i="1"/>
  <c r="D583" i="1"/>
  <c r="C583" i="1"/>
  <c r="B583" i="1"/>
  <c r="Q582" i="1"/>
  <c r="O582" i="1"/>
  <c r="N582" i="1"/>
  <c r="M582" i="1"/>
  <c r="L582" i="1"/>
  <c r="I582" i="1"/>
  <c r="H582" i="1"/>
  <c r="K582" i="1" s="1"/>
  <c r="G582" i="1"/>
  <c r="E582" i="1"/>
  <c r="D582" i="1"/>
  <c r="C582" i="1"/>
  <c r="B582" i="1"/>
  <c r="Q581" i="1"/>
  <c r="O581" i="1"/>
  <c r="N581" i="1"/>
  <c r="M581" i="1"/>
  <c r="L581" i="1"/>
  <c r="I581" i="1"/>
  <c r="H581" i="1"/>
  <c r="K581" i="1" s="1"/>
  <c r="G581" i="1"/>
  <c r="E581" i="1"/>
  <c r="D581" i="1"/>
  <c r="C581" i="1"/>
  <c r="B581" i="1"/>
  <c r="Q580" i="1"/>
  <c r="O580" i="1"/>
  <c r="N580" i="1"/>
  <c r="M580" i="1"/>
  <c r="L580" i="1"/>
  <c r="I580" i="1"/>
  <c r="H580" i="1"/>
  <c r="K580" i="1" s="1"/>
  <c r="G580" i="1"/>
  <c r="E580" i="1"/>
  <c r="D580" i="1"/>
  <c r="C580" i="1"/>
  <c r="B580" i="1"/>
  <c r="Q579" i="1"/>
  <c r="O579" i="1"/>
  <c r="N579" i="1"/>
  <c r="M579" i="1"/>
  <c r="L579" i="1"/>
  <c r="I579" i="1"/>
  <c r="H579" i="1"/>
  <c r="K579" i="1" s="1"/>
  <c r="G579" i="1"/>
  <c r="E579" i="1"/>
  <c r="D579" i="1"/>
  <c r="C579" i="1"/>
  <c r="B579" i="1"/>
  <c r="Q578" i="1"/>
  <c r="O578" i="1"/>
  <c r="N578" i="1"/>
  <c r="M578" i="1"/>
  <c r="L578" i="1"/>
  <c r="I578" i="1"/>
  <c r="H578" i="1"/>
  <c r="K578" i="1" s="1"/>
  <c r="G578" i="1"/>
  <c r="E578" i="1"/>
  <c r="D578" i="1"/>
  <c r="C578" i="1"/>
  <c r="B578" i="1"/>
  <c r="Q577" i="1"/>
  <c r="O577" i="1"/>
  <c r="N577" i="1"/>
  <c r="M577" i="1"/>
  <c r="L577" i="1"/>
  <c r="I577" i="1"/>
  <c r="H577" i="1"/>
  <c r="K577" i="1" s="1"/>
  <c r="G577" i="1"/>
  <c r="E577" i="1"/>
  <c r="D577" i="1"/>
  <c r="C577" i="1"/>
  <c r="B577" i="1"/>
  <c r="Q576" i="1"/>
  <c r="O576" i="1"/>
  <c r="N576" i="1"/>
  <c r="M576" i="1"/>
  <c r="L576" i="1"/>
  <c r="I576" i="1"/>
  <c r="H576" i="1"/>
  <c r="K576" i="1" s="1"/>
  <c r="G576" i="1"/>
  <c r="E576" i="1"/>
  <c r="D576" i="1"/>
  <c r="C576" i="1"/>
  <c r="B576" i="1"/>
  <c r="Q575" i="1"/>
  <c r="O575" i="1"/>
  <c r="N575" i="1"/>
  <c r="M575" i="1"/>
  <c r="L575" i="1"/>
  <c r="I575" i="1"/>
  <c r="H575" i="1"/>
  <c r="K575" i="1" s="1"/>
  <c r="G575" i="1"/>
  <c r="E575" i="1"/>
  <c r="D575" i="1"/>
  <c r="C575" i="1"/>
  <c r="B575" i="1"/>
  <c r="Q574" i="1"/>
  <c r="O574" i="1"/>
  <c r="N574" i="1"/>
  <c r="M574" i="1"/>
  <c r="L574" i="1"/>
  <c r="I574" i="1"/>
  <c r="H574" i="1"/>
  <c r="K574" i="1" s="1"/>
  <c r="G574" i="1"/>
  <c r="E574" i="1"/>
  <c r="D574" i="1"/>
  <c r="C574" i="1"/>
  <c r="B574" i="1"/>
  <c r="Q573" i="1"/>
  <c r="O573" i="1"/>
  <c r="N573" i="1"/>
  <c r="M573" i="1"/>
  <c r="L573" i="1"/>
  <c r="I573" i="1"/>
  <c r="H573" i="1"/>
  <c r="K573" i="1" s="1"/>
  <c r="G573" i="1"/>
  <c r="E573" i="1"/>
  <c r="D573" i="1"/>
  <c r="C573" i="1"/>
  <c r="B573" i="1"/>
  <c r="Q572" i="1"/>
  <c r="O572" i="1"/>
  <c r="N572" i="1"/>
  <c r="M572" i="1"/>
  <c r="L572" i="1"/>
  <c r="I572" i="1"/>
  <c r="H572" i="1"/>
  <c r="K572" i="1" s="1"/>
  <c r="G572" i="1"/>
  <c r="E572" i="1"/>
  <c r="D572" i="1"/>
  <c r="C572" i="1"/>
  <c r="B572" i="1"/>
  <c r="Q571" i="1"/>
  <c r="O571" i="1"/>
  <c r="N571" i="1"/>
  <c r="M571" i="1"/>
  <c r="L571" i="1"/>
  <c r="I571" i="1"/>
  <c r="H571" i="1"/>
  <c r="K571" i="1" s="1"/>
  <c r="G571" i="1"/>
  <c r="E571" i="1"/>
  <c r="D571" i="1"/>
  <c r="C571" i="1"/>
  <c r="B571" i="1"/>
  <c r="Q570" i="1"/>
  <c r="O570" i="1"/>
  <c r="N570" i="1"/>
  <c r="M570" i="1"/>
  <c r="L570" i="1"/>
  <c r="I570" i="1"/>
  <c r="H570" i="1"/>
  <c r="K570" i="1" s="1"/>
  <c r="G570" i="1"/>
  <c r="E570" i="1"/>
  <c r="D570" i="1"/>
  <c r="C570" i="1"/>
  <c r="B570" i="1"/>
  <c r="Q569" i="1"/>
  <c r="O569" i="1"/>
  <c r="N569" i="1"/>
  <c r="M569" i="1"/>
  <c r="L569" i="1"/>
  <c r="I569" i="1"/>
  <c r="H569" i="1"/>
  <c r="K569" i="1" s="1"/>
  <c r="G569" i="1"/>
  <c r="E569" i="1"/>
  <c r="D569" i="1"/>
  <c r="C569" i="1"/>
  <c r="B569" i="1"/>
  <c r="Q568" i="1"/>
  <c r="O568" i="1"/>
  <c r="N568" i="1"/>
  <c r="M568" i="1"/>
  <c r="L568" i="1"/>
  <c r="I568" i="1"/>
  <c r="H568" i="1"/>
  <c r="K568" i="1" s="1"/>
  <c r="G568" i="1"/>
  <c r="E568" i="1"/>
  <c r="D568" i="1"/>
  <c r="C568" i="1"/>
  <c r="B568" i="1"/>
  <c r="Q567" i="1"/>
  <c r="O567" i="1"/>
  <c r="N567" i="1"/>
  <c r="M567" i="1"/>
  <c r="L567" i="1"/>
  <c r="I567" i="1"/>
  <c r="H567" i="1"/>
  <c r="K567" i="1" s="1"/>
  <c r="G567" i="1"/>
  <c r="E567" i="1"/>
  <c r="D567" i="1"/>
  <c r="C567" i="1"/>
  <c r="B567" i="1"/>
  <c r="Q566" i="1"/>
  <c r="O566" i="1"/>
  <c r="N566" i="1"/>
  <c r="M566" i="1"/>
  <c r="L566" i="1"/>
  <c r="I566" i="1"/>
  <c r="H566" i="1"/>
  <c r="K566" i="1" s="1"/>
  <c r="G566" i="1"/>
  <c r="E566" i="1"/>
  <c r="D566" i="1"/>
  <c r="C566" i="1"/>
  <c r="B566" i="1"/>
  <c r="Q565" i="1"/>
  <c r="O565" i="1"/>
  <c r="N565" i="1"/>
  <c r="M565" i="1"/>
  <c r="L565" i="1"/>
  <c r="I565" i="1"/>
  <c r="H565" i="1"/>
  <c r="K565" i="1" s="1"/>
  <c r="G565" i="1"/>
  <c r="E565" i="1"/>
  <c r="D565" i="1"/>
  <c r="C565" i="1"/>
  <c r="B565" i="1"/>
  <c r="Q564" i="1"/>
  <c r="O564" i="1"/>
  <c r="N564" i="1"/>
  <c r="M564" i="1"/>
  <c r="L564" i="1"/>
  <c r="I564" i="1"/>
  <c r="H564" i="1"/>
  <c r="K564" i="1" s="1"/>
  <c r="G564" i="1"/>
  <c r="E564" i="1"/>
  <c r="D564" i="1"/>
  <c r="C564" i="1"/>
  <c r="B564" i="1"/>
  <c r="Q563" i="1"/>
  <c r="O563" i="1"/>
  <c r="N563" i="1"/>
  <c r="M563" i="1"/>
  <c r="L563" i="1"/>
  <c r="I563" i="1"/>
  <c r="H563" i="1"/>
  <c r="K563" i="1" s="1"/>
  <c r="G563" i="1"/>
  <c r="E563" i="1"/>
  <c r="D563" i="1"/>
  <c r="C563" i="1"/>
  <c r="B563" i="1"/>
  <c r="Q562" i="1"/>
  <c r="O562" i="1"/>
  <c r="N562" i="1"/>
  <c r="M562" i="1"/>
  <c r="L562" i="1"/>
  <c r="I562" i="1"/>
  <c r="H562" i="1"/>
  <c r="K562" i="1" s="1"/>
  <c r="G562" i="1"/>
  <c r="E562" i="1"/>
  <c r="D562" i="1"/>
  <c r="C562" i="1"/>
  <c r="B562" i="1"/>
  <c r="Q561" i="1"/>
  <c r="O561" i="1"/>
  <c r="N561" i="1"/>
  <c r="M561" i="1"/>
  <c r="L561" i="1"/>
  <c r="I561" i="1"/>
  <c r="H561" i="1"/>
  <c r="K561" i="1" s="1"/>
  <c r="G561" i="1"/>
  <c r="E561" i="1"/>
  <c r="D561" i="1"/>
  <c r="C561" i="1"/>
  <c r="B561" i="1"/>
  <c r="Q560" i="1"/>
  <c r="O560" i="1"/>
  <c r="N560" i="1"/>
  <c r="M560" i="1"/>
  <c r="L560" i="1"/>
  <c r="I560" i="1"/>
  <c r="H560" i="1"/>
  <c r="K560" i="1" s="1"/>
  <c r="G560" i="1"/>
  <c r="E560" i="1"/>
  <c r="D560" i="1"/>
  <c r="C560" i="1"/>
  <c r="B560" i="1"/>
  <c r="Q559" i="1"/>
  <c r="O559" i="1"/>
  <c r="N559" i="1"/>
  <c r="M559" i="1"/>
  <c r="L559" i="1"/>
  <c r="I559" i="1"/>
  <c r="H559" i="1"/>
  <c r="K559" i="1" s="1"/>
  <c r="G559" i="1"/>
  <c r="E559" i="1"/>
  <c r="D559" i="1"/>
  <c r="C559" i="1"/>
  <c r="B559" i="1"/>
  <c r="Q558" i="1"/>
  <c r="O558" i="1"/>
  <c r="N558" i="1"/>
  <c r="M558" i="1"/>
  <c r="L558" i="1"/>
  <c r="I558" i="1"/>
  <c r="H558" i="1"/>
  <c r="K558" i="1" s="1"/>
  <c r="G558" i="1"/>
  <c r="E558" i="1"/>
  <c r="D558" i="1"/>
  <c r="C558" i="1"/>
  <c r="B558" i="1"/>
  <c r="Q557" i="1"/>
  <c r="O557" i="1"/>
  <c r="N557" i="1"/>
  <c r="M557" i="1"/>
  <c r="L557" i="1"/>
  <c r="I557" i="1"/>
  <c r="H557" i="1"/>
  <c r="K557" i="1" s="1"/>
  <c r="G557" i="1"/>
  <c r="E557" i="1"/>
  <c r="D557" i="1"/>
  <c r="C557" i="1"/>
  <c r="B557" i="1"/>
  <c r="Q556" i="1"/>
  <c r="O556" i="1"/>
  <c r="N556" i="1"/>
  <c r="M556" i="1"/>
  <c r="L556" i="1"/>
  <c r="I556" i="1"/>
  <c r="H556" i="1"/>
  <c r="K556" i="1" s="1"/>
  <c r="G556" i="1"/>
  <c r="E556" i="1"/>
  <c r="D556" i="1"/>
  <c r="C556" i="1"/>
  <c r="B556" i="1"/>
  <c r="Q555" i="1"/>
  <c r="O555" i="1"/>
  <c r="N555" i="1"/>
  <c r="M555" i="1"/>
  <c r="L555" i="1"/>
  <c r="I555" i="1"/>
  <c r="H555" i="1"/>
  <c r="K555" i="1" s="1"/>
  <c r="G555" i="1"/>
  <c r="E555" i="1"/>
  <c r="D555" i="1"/>
  <c r="C555" i="1"/>
  <c r="B555" i="1"/>
  <c r="Q554" i="1"/>
  <c r="O554" i="1"/>
  <c r="N554" i="1"/>
  <c r="M554" i="1"/>
  <c r="L554" i="1"/>
  <c r="I554" i="1"/>
  <c r="H554" i="1"/>
  <c r="K554" i="1" s="1"/>
  <c r="G554" i="1"/>
  <c r="E554" i="1"/>
  <c r="D554" i="1"/>
  <c r="C554" i="1"/>
  <c r="B554" i="1"/>
  <c r="Q553" i="1"/>
  <c r="O553" i="1"/>
  <c r="N553" i="1"/>
  <c r="M553" i="1"/>
  <c r="L553" i="1"/>
  <c r="I553" i="1"/>
  <c r="H553" i="1"/>
  <c r="K553" i="1" s="1"/>
  <c r="G553" i="1"/>
  <c r="E553" i="1"/>
  <c r="D553" i="1"/>
  <c r="C553" i="1"/>
  <c r="B553" i="1"/>
  <c r="Q552" i="1"/>
  <c r="O552" i="1"/>
  <c r="N552" i="1"/>
  <c r="M552" i="1"/>
  <c r="L552" i="1"/>
  <c r="I552" i="1"/>
  <c r="H552" i="1"/>
  <c r="K552" i="1" s="1"/>
  <c r="G552" i="1"/>
  <c r="E552" i="1"/>
  <c r="D552" i="1"/>
  <c r="C552" i="1"/>
  <c r="B552" i="1"/>
  <c r="Q551" i="1"/>
  <c r="O551" i="1"/>
  <c r="N551" i="1"/>
  <c r="M551" i="1"/>
  <c r="L551" i="1"/>
  <c r="I551" i="1"/>
  <c r="H551" i="1"/>
  <c r="K551" i="1" s="1"/>
  <c r="G551" i="1"/>
  <c r="E551" i="1"/>
  <c r="D551" i="1"/>
  <c r="C551" i="1"/>
  <c r="B551" i="1"/>
  <c r="Q550" i="1"/>
  <c r="O550" i="1"/>
  <c r="N550" i="1"/>
  <c r="M550" i="1"/>
  <c r="L550" i="1"/>
  <c r="I550" i="1"/>
  <c r="H550" i="1"/>
  <c r="K550" i="1" s="1"/>
  <c r="G550" i="1"/>
  <c r="E550" i="1"/>
  <c r="D550" i="1"/>
  <c r="C550" i="1"/>
  <c r="B550" i="1"/>
  <c r="Q549" i="1"/>
  <c r="O549" i="1"/>
  <c r="N549" i="1"/>
  <c r="M549" i="1"/>
  <c r="L549" i="1"/>
  <c r="I549" i="1"/>
  <c r="H549" i="1"/>
  <c r="K549" i="1" s="1"/>
  <c r="G549" i="1"/>
  <c r="E549" i="1"/>
  <c r="D549" i="1"/>
  <c r="C549" i="1"/>
  <c r="B549" i="1"/>
  <c r="Q548" i="1"/>
  <c r="O548" i="1"/>
  <c r="N548" i="1"/>
  <c r="M548" i="1"/>
  <c r="L548" i="1"/>
  <c r="I548" i="1"/>
  <c r="H548" i="1"/>
  <c r="K548" i="1" s="1"/>
  <c r="G548" i="1"/>
  <c r="E548" i="1"/>
  <c r="D548" i="1"/>
  <c r="C548" i="1"/>
  <c r="B548" i="1"/>
  <c r="Q547" i="1"/>
  <c r="O547" i="1"/>
  <c r="N547" i="1"/>
  <c r="M547" i="1"/>
  <c r="L547" i="1"/>
  <c r="I547" i="1"/>
  <c r="H547" i="1"/>
  <c r="K547" i="1" s="1"/>
  <c r="G547" i="1"/>
  <c r="E547" i="1"/>
  <c r="D547" i="1"/>
  <c r="C547" i="1"/>
  <c r="B547" i="1"/>
  <c r="Q546" i="1"/>
  <c r="O546" i="1"/>
  <c r="N546" i="1"/>
  <c r="M546" i="1"/>
  <c r="L546" i="1"/>
  <c r="I546" i="1"/>
  <c r="H546" i="1"/>
  <c r="K546" i="1" s="1"/>
  <c r="G546" i="1"/>
  <c r="E546" i="1"/>
  <c r="D546" i="1"/>
  <c r="C546" i="1"/>
  <c r="B546" i="1"/>
  <c r="Q545" i="1"/>
  <c r="O545" i="1"/>
  <c r="N545" i="1"/>
  <c r="M545" i="1"/>
  <c r="L545" i="1"/>
  <c r="I545" i="1"/>
  <c r="H545" i="1"/>
  <c r="K545" i="1" s="1"/>
  <c r="G545" i="1"/>
  <c r="E545" i="1"/>
  <c r="D545" i="1"/>
  <c r="C545" i="1"/>
  <c r="B545" i="1"/>
  <c r="Q544" i="1"/>
  <c r="O544" i="1"/>
  <c r="N544" i="1"/>
  <c r="M544" i="1"/>
  <c r="L544" i="1"/>
  <c r="I544" i="1"/>
  <c r="H544" i="1"/>
  <c r="K544" i="1" s="1"/>
  <c r="G544" i="1"/>
  <c r="E544" i="1"/>
  <c r="D544" i="1"/>
  <c r="C544" i="1"/>
  <c r="B544" i="1"/>
  <c r="Q543" i="1"/>
  <c r="O543" i="1"/>
  <c r="N543" i="1"/>
  <c r="M543" i="1"/>
  <c r="L543" i="1"/>
  <c r="I543" i="1"/>
  <c r="H543" i="1"/>
  <c r="K543" i="1" s="1"/>
  <c r="G543" i="1"/>
  <c r="E543" i="1"/>
  <c r="D543" i="1"/>
  <c r="C543" i="1"/>
  <c r="B543" i="1"/>
  <c r="Q542" i="1"/>
  <c r="O542" i="1"/>
  <c r="N542" i="1"/>
  <c r="M542" i="1"/>
  <c r="L542" i="1"/>
  <c r="I542" i="1"/>
  <c r="H542" i="1"/>
  <c r="K542" i="1" s="1"/>
  <c r="G542" i="1"/>
  <c r="E542" i="1"/>
  <c r="D542" i="1"/>
  <c r="C542" i="1"/>
  <c r="B542" i="1"/>
  <c r="Q541" i="1"/>
  <c r="O541" i="1"/>
  <c r="N541" i="1"/>
  <c r="M541" i="1"/>
  <c r="L541" i="1"/>
  <c r="I541" i="1"/>
  <c r="H541" i="1"/>
  <c r="K541" i="1" s="1"/>
  <c r="G541" i="1"/>
  <c r="E541" i="1"/>
  <c r="D541" i="1"/>
  <c r="C541" i="1"/>
  <c r="B541" i="1"/>
  <c r="Q540" i="1"/>
  <c r="O540" i="1"/>
  <c r="N540" i="1"/>
  <c r="M540" i="1"/>
  <c r="L540" i="1"/>
  <c r="I540" i="1"/>
  <c r="H540" i="1"/>
  <c r="K540" i="1" s="1"/>
  <c r="G540" i="1"/>
  <c r="E540" i="1"/>
  <c r="D540" i="1"/>
  <c r="C540" i="1"/>
  <c r="B540" i="1"/>
  <c r="Q539" i="1"/>
  <c r="O539" i="1"/>
  <c r="N539" i="1"/>
  <c r="M539" i="1"/>
  <c r="L539" i="1"/>
  <c r="I539" i="1"/>
  <c r="H539" i="1"/>
  <c r="K539" i="1" s="1"/>
  <c r="G539" i="1"/>
  <c r="E539" i="1"/>
  <c r="D539" i="1"/>
  <c r="C539" i="1"/>
  <c r="B539" i="1"/>
  <c r="Q538" i="1"/>
  <c r="O538" i="1"/>
  <c r="N538" i="1"/>
  <c r="M538" i="1"/>
  <c r="L538" i="1"/>
  <c r="I538" i="1"/>
  <c r="H538" i="1"/>
  <c r="K538" i="1" s="1"/>
  <c r="G538" i="1"/>
  <c r="E538" i="1"/>
  <c r="D538" i="1"/>
  <c r="C538" i="1"/>
  <c r="B538" i="1"/>
  <c r="Q537" i="1"/>
  <c r="O537" i="1"/>
  <c r="N537" i="1"/>
  <c r="M537" i="1"/>
  <c r="L537" i="1"/>
  <c r="I537" i="1"/>
  <c r="H537" i="1"/>
  <c r="K537" i="1" s="1"/>
  <c r="G537" i="1"/>
  <c r="E537" i="1"/>
  <c r="D537" i="1"/>
  <c r="C537" i="1"/>
  <c r="B537" i="1"/>
  <c r="Q536" i="1"/>
  <c r="O536" i="1"/>
  <c r="N536" i="1"/>
  <c r="M536" i="1"/>
  <c r="L536" i="1"/>
  <c r="I536" i="1"/>
  <c r="H536" i="1"/>
  <c r="K536" i="1" s="1"/>
  <c r="G536" i="1"/>
  <c r="E536" i="1"/>
  <c r="D536" i="1"/>
  <c r="C536" i="1"/>
  <c r="B536" i="1"/>
  <c r="Q535" i="1"/>
  <c r="O535" i="1"/>
  <c r="N535" i="1"/>
  <c r="M535" i="1"/>
  <c r="L535" i="1"/>
  <c r="I535" i="1"/>
  <c r="H535" i="1"/>
  <c r="K535" i="1" s="1"/>
  <c r="G535" i="1"/>
  <c r="E535" i="1"/>
  <c r="D535" i="1"/>
  <c r="C535" i="1"/>
  <c r="B535" i="1"/>
  <c r="Q534" i="1"/>
  <c r="O534" i="1"/>
  <c r="N534" i="1"/>
  <c r="M534" i="1"/>
  <c r="L534" i="1"/>
  <c r="I534" i="1"/>
  <c r="H534" i="1"/>
  <c r="K534" i="1" s="1"/>
  <c r="G534" i="1"/>
  <c r="E534" i="1"/>
  <c r="D534" i="1"/>
  <c r="C534" i="1"/>
  <c r="B534" i="1"/>
  <c r="Q533" i="1"/>
  <c r="O533" i="1"/>
  <c r="L533" i="1"/>
  <c r="I533" i="1"/>
  <c r="H533" i="1"/>
  <c r="G533" i="1"/>
  <c r="E533" i="1"/>
  <c r="D533" i="1"/>
  <c r="C533" i="1"/>
  <c r="B533" i="1"/>
  <c r="Q532" i="1"/>
  <c r="N532" i="1"/>
  <c r="M532" i="1"/>
  <c r="I532" i="1"/>
  <c r="H532" i="1"/>
  <c r="P532" i="1" s="1"/>
  <c r="G532" i="1"/>
  <c r="E532" i="1"/>
  <c r="D532" i="1"/>
  <c r="C532" i="1"/>
  <c r="B532" i="1"/>
  <c r="Q531" i="1"/>
  <c r="P531" i="1"/>
  <c r="O531" i="1"/>
  <c r="N531" i="1"/>
  <c r="M531" i="1"/>
  <c r="L531" i="1"/>
  <c r="I531" i="1"/>
  <c r="H531" i="1"/>
  <c r="G531" i="1"/>
  <c r="E531" i="1"/>
  <c r="D531" i="1"/>
  <c r="C531" i="1"/>
  <c r="B531" i="1"/>
  <c r="Q530" i="1"/>
  <c r="I530" i="1"/>
  <c r="H530" i="1"/>
  <c r="G530" i="1"/>
  <c r="E530" i="1"/>
  <c r="D530" i="1"/>
  <c r="C530" i="1"/>
  <c r="B530" i="1"/>
  <c r="Q529" i="1"/>
  <c r="P529" i="1"/>
  <c r="O529" i="1"/>
  <c r="L529" i="1"/>
  <c r="I529" i="1"/>
  <c r="H529" i="1"/>
  <c r="G529" i="1"/>
  <c r="E529" i="1"/>
  <c r="D529" i="1"/>
  <c r="C529" i="1"/>
  <c r="B529" i="1"/>
  <c r="Q528" i="1"/>
  <c r="N528" i="1"/>
  <c r="M528" i="1"/>
  <c r="I528" i="1"/>
  <c r="H528" i="1"/>
  <c r="P528" i="1" s="1"/>
  <c r="G528" i="1"/>
  <c r="E528" i="1"/>
  <c r="D528" i="1"/>
  <c r="C528" i="1"/>
  <c r="B528" i="1"/>
  <c r="Q527" i="1"/>
  <c r="P527" i="1"/>
  <c r="O527" i="1"/>
  <c r="N527" i="1"/>
  <c r="M527" i="1"/>
  <c r="L527" i="1"/>
  <c r="I527" i="1"/>
  <c r="H527" i="1"/>
  <c r="G527" i="1"/>
  <c r="E527" i="1"/>
  <c r="D527" i="1"/>
  <c r="C527" i="1"/>
  <c r="B527" i="1"/>
  <c r="Q526" i="1"/>
  <c r="I526" i="1"/>
  <c r="H526" i="1"/>
  <c r="G526" i="1"/>
  <c r="E526" i="1"/>
  <c r="D526" i="1"/>
  <c r="C526" i="1"/>
  <c r="B526" i="1"/>
  <c r="Q525" i="1"/>
  <c r="P525" i="1"/>
  <c r="O525" i="1"/>
  <c r="L525" i="1"/>
  <c r="I525" i="1"/>
  <c r="H525" i="1"/>
  <c r="G525" i="1"/>
  <c r="E525" i="1"/>
  <c r="D525" i="1"/>
  <c r="C525" i="1"/>
  <c r="B525" i="1"/>
  <c r="Q524" i="1"/>
  <c r="N524" i="1"/>
  <c r="M524" i="1"/>
  <c r="I524" i="1"/>
  <c r="H524" i="1"/>
  <c r="P524" i="1" s="1"/>
  <c r="G524" i="1"/>
  <c r="E524" i="1"/>
  <c r="D524" i="1"/>
  <c r="C524" i="1"/>
  <c r="B524" i="1"/>
  <c r="Q523" i="1"/>
  <c r="P523" i="1"/>
  <c r="O523" i="1"/>
  <c r="N523" i="1"/>
  <c r="M523" i="1"/>
  <c r="L523" i="1"/>
  <c r="I523" i="1"/>
  <c r="H523" i="1"/>
  <c r="G523" i="1"/>
  <c r="E523" i="1"/>
  <c r="D523" i="1"/>
  <c r="C523" i="1"/>
  <c r="B523" i="1"/>
  <c r="Q522" i="1"/>
  <c r="I522" i="1"/>
  <c r="H522" i="1"/>
  <c r="G522" i="1"/>
  <c r="E522" i="1"/>
  <c r="D522" i="1"/>
  <c r="C522" i="1"/>
  <c r="B522" i="1"/>
  <c r="Q521" i="1"/>
  <c r="P521" i="1"/>
  <c r="O521" i="1"/>
  <c r="L521" i="1"/>
  <c r="I521" i="1"/>
  <c r="H521" i="1"/>
  <c r="G521" i="1"/>
  <c r="E521" i="1"/>
  <c r="D521" i="1"/>
  <c r="C521" i="1"/>
  <c r="B521" i="1"/>
  <c r="Q520" i="1"/>
  <c r="N520" i="1"/>
  <c r="M520" i="1"/>
  <c r="I520" i="1"/>
  <c r="H520" i="1"/>
  <c r="P520" i="1" s="1"/>
  <c r="G520" i="1"/>
  <c r="E520" i="1"/>
  <c r="D520" i="1"/>
  <c r="C520" i="1"/>
  <c r="B520" i="1"/>
  <c r="Q519" i="1"/>
  <c r="P519" i="1"/>
  <c r="O519" i="1"/>
  <c r="N519" i="1"/>
  <c r="M519" i="1"/>
  <c r="L519" i="1"/>
  <c r="I519" i="1"/>
  <c r="H519" i="1"/>
  <c r="G519" i="1"/>
  <c r="E519" i="1"/>
  <c r="D519" i="1"/>
  <c r="C519" i="1"/>
  <c r="B519" i="1"/>
  <c r="Q518" i="1"/>
  <c r="I518" i="1"/>
  <c r="H518" i="1"/>
  <c r="G518" i="1"/>
  <c r="E518" i="1"/>
  <c r="D518" i="1"/>
  <c r="C518" i="1"/>
  <c r="B518" i="1"/>
  <c r="Q517" i="1"/>
  <c r="P517" i="1"/>
  <c r="O517" i="1"/>
  <c r="L517" i="1"/>
  <c r="I517" i="1"/>
  <c r="H517" i="1"/>
  <c r="G517" i="1"/>
  <c r="E517" i="1"/>
  <c r="D517" i="1"/>
  <c r="C517" i="1"/>
  <c r="B517" i="1"/>
  <c r="Q516" i="1"/>
  <c r="N516" i="1"/>
  <c r="M516" i="1"/>
  <c r="I516" i="1"/>
  <c r="H516" i="1"/>
  <c r="P516" i="1" s="1"/>
  <c r="G516" i="1"/>
  <c r="E516" i="1"/>
  <c r="D516" i="1"/>
  <c r="C516" i="1"/>
  <c r="B516" i="1"/>
  <c r="Q515" i="1"/>
  <c r="P515" i="1"/>
  <c r="O515" i="1"/>
  <c r="N515" i="1"/>
  <c r="M515" i="1"/>
  <c r="L515" i="1"/>
  <c r="I515" i="1"/>
  <c r="H515" i="1"/>
  <c r="G515" i="1"/>
  <c r="E515" i="1"/>
  <c r="D515" i="1"/>
  <c r="C515" i="1"/>
  <c r="B515" i="1"/>
  <c r="Q514" i="1"/>
  <c r="I514" i="1"/>
  <c r="H514" i="1"/>
  <c r="G514" i="1"/>
  <c r="E514" i="1"/>
  <c r="D514" i="1"/>
  <c r="C514" i="1"/>
  <c r="B514" i="1"/>
  <c r="Q513" i="1"/>
  <c r="P513" i="1"/>
  <c r="O513" i="1"/>
  <c r="L513" i="1"/>
  <c r="I513" i="1"/>
  <c r="H513" i="1"/>
  <c r="G513" i="1"/>
  <c r="E513" i="1"/>
  <c r="D513" i="1"/>
  <c r="C513" i="1"/>
  <c r="B513" i="1"/>
  <c r="Q512" i="1"/>
  <c r="N512" i="1"/>
  <c r="M512" i="1"/>
  <c r="I512" i="1"/>
  <c r="H512" i="1"/>
  <c r="P512" i="1" s="1"/>
  <c r="G512" i="1"/>
  <c r="E512" i="1"/>
  <c r="D512" i="1"/>
  <c r="C512" i="1"/>
  <c r="B512" i="1"/>
  <c r="Q511" i="1"/>
  <c r="P511" i="1"/>
  <c r="O511" i="1"/>
  <c r="N511" i="1"/>
  <c r="M511" i="1"/>
  <c r="L511" i="1"/>
  <c r="I511" i="1"/>
  <c r="H511" i="1"/>
  <c r="G511" i="1"/>
  <c r="E511" i="1"/>
  <c r="D511" i="1"/>
  <c r="C511" i="1"/>
  <c r="B511" i="1"/>
  <c r="Q510" i="1"/>
  <c r="I510" i="1"/>
  <c r="H510" i="1"/>
  <c r="G510" i="1"/>
  <c r="E510" i="1"/>
  <c r="D510" i="1"/>
  <c r="C510" i="1"/>
  <c r="B510" i="1"/>
  <c r="Q509" i="1"/>
  <c r="P509" i="1"/>
  <c r="O509" i="1"/>
  <c r="L509" i="1"/>
  <c r="I509" i="1"/>
  <c r="H509" i="1"/>
  <c r="G509" i="1"/>
  <c r="E509" i="1"/>
  <c r="D509" i="1"/>
  <c r="C509" i="1"/>
  <c r="B509" i="1"/>
  <c r="Q508" i="1"/>
  <c r="N508" i="1"/>
  <c r="M508" i="1"/>
  <c r="I508" i="1"/>
  <c r="H508" i="1"/>
  <c r="G508" i="1"/>
  <c r="E508" i="1"/>
  <c r="D508" i="1"/>
  <c r="C508" i="1"/>
  <c r="B508" i="1"/>
  <c r="Q507" i="1"/>
  <c r="P507" i="1"/>
  <c r="O507" i="1"/>
  <c r="N507" i="1"/>
  <c r="M507" i="1"/>
  <c r="L507" i="1"/>
  <c r="I507" i="1"/>
  <c r="H507" i="1"/>
  <c r="G507" i="1"/>
  <c r="E507" i="1"/>
  <c r="D507" i="1"/>
  <c r="C507" i="1"/>
  <c r="B507" i="1"/>
  <c r="Q506" i="1"/>
  <c r="N506" i="1"/>
  <c r="I506" i="1"/>
  <c r="H506" i="1"/>
  <c r="G506" i="1"/>
  <c r="E506" i="1"/>
  <c r="D506" i="1"/>
  <c r="C506" i="1"/>
  <c r="B506" i="1"/>
  <c r="Q505" i="1"/>
  <c r="P505" i="1"/>
  <c r="O505" i="1"/>
  <c r="L505" i="1"/>
  <c r="I505" i="1"/>
  <c r="H505" i="1"/>
  <c r="G505" i="1"/>
  <c r="E505" i="1"/>
  <c r="D505" i="1"/>
  <c r="C505" i="1"/>
  <c r="B505" i="1"/>
  <c r="Q504" i="1"/>
  <c r="N504" i="1"/>
  <c r="M504" i="1"/>
  <c r="I504" i="1"/>
  <c r="H504" i="1"/>
  <c r="G504" i="1"/>
  <c r="E504" i="1"/>
  <c r="D504" i="1"/>
  <c r="C504" i="1"/>
  <c r="B504" i="1"/>
  <c r="Q503" i="1"/>
  <c r="P503" i="1"/>
  <c r="O503" i="1"/>
  <c r="N503" i="1"/>
  <c r="M503" i="1"/>
  <c r="L503" i="1"/>
  <c r="I503" i="1"/>
  <c r="H503" i="1"/>
  <c r="G503" i="1"/>
  <c r="E503" i="1"/>
  <c r="D503" i="1"/>
  <c r="C503" i="1"/>
  <c r="B503" i="1"/>
  <c r="Q502" i="1"/>
  <c r="N502" i="1"/>
  <c r="I502" i="1"/>
  <c r="H502" i="1"/>
  <c r="G502" i="1"/>
  <c r="E502" i="1"/>
  <c r="D502" i="1"/>
  <c r="C502" i="1"/>
  <c r="B502" i="1"/>
  <c r="Q501" i="1"/>
  <c r="P501" i="1"/>
  <c r="O501" i="1"/>
  <c r="L501" i="1"/>
  <c r="I501" i="1"/>
  <c r="H501" i="1"/>
  <c r="G501" i="1"/>
  <c r="E501" i="1"/>
  <c r="D501" i="1"/>
  <c r="C501" i="1"/>
  <c r="B501" i="1"/>
  <c r="Q500" i="1"/>
  <c r="I500" i="1"/>
  <c r="H500" i="1"/>
  <c r="G500" i="1"/>
  <c r="E500" i="1"/>
  <c r="D500" i="1"/>
  <c r="C500" i="1"/>
  <c r="B500" i="1"/>
  <c r="Q499" i="1"/>
  <c r="P499" i="1"/>
  <c r="O499" i="1"/>
  <c r="N499" i="1"/>
  <c r="M499" i="1"/>
  <c r="L499" i="1"/>
  <c r="I499" i="1"/>
  <c r="H499" i="1"/>
  <c r="G499" i="1"/>
  <c r="E499" i="1"/>
  <c r="D499" i="1"/>
  <c r="C499" i="1"/>
  <c r="B499" i="1"/>
  <c r="Q498" i="1"/>
  <c r="I498" i="1"/>
  <c r="H498" i="1"/>
  <c r="G498" i="1"/>
  <c r="E498" i="1"/>
  <c r="D498" i="1"/>
  <c r="C498" i="1"/>
  <c r="B498" i="1"/>
  <c r="Q497" i="1"/>
  <c r="P497" i="1"/>
  <c r="O497" i="1"/>
  <c r="L497" i="1"/>
  <c r="I497" i="1"/>
  <c r="H497" i="1"/>
  <c r="G497" i="1"/>
  <c r="E497" i="1"/>
  <c r="D497" i="1"/>
  <c r="C497" i="1"/>
  <c r="B497" i="1"/>
  <c r="Q496" i="1"/>
  <c r="I496" i="1"/>
  <c r="H496" i="1"/>
  <c r="G496" i="1"/>
  <c r="E496" i="1"/>
  <c r="D496" i="1"/>
  <c r="C496" i="1"/>
  <c r="B496" i="1"/>
  <c r="Q495" i="1"/>
  <c r="P495" i="1"/>
  <c r="O495" i="1"/>
  <c r="N495" i="1"/>
  <c r="M495" i="1"/>
  <c r="L495" i="1"/>
  <c r="I495" i="1"/>
  <c r="H495" i="1"/>
  <c r="G495" i="1"/>
  <c r="E495" i="1"/>
  <c r="D495" i="1"/>
  <c r="C495" i="1"/>
  <c r="B495" i="1"/>
  <c r="Q494" i="1"/>
  <c r="I494" i="1"/>
  <c r="H494" i="1"/>
  <c r="G494" i="1"/>
  <c r="E494" i="1"/>
  <c r="D494" i="1"/>
  <c r="C494" i="1"/>
  <c r="B494" i="1"/>
  <c r="Q493" i="1"/>
  <c r="P493" i="1"/>
  <c r="O493" i="1"/>
  <c r="L493" i="1"/>
  <c r="I493" i="1"/>
  <c r="H493" i="1"/>
  <c r="G493" i="1"/>
  <c r="E493" i="1"/>
  <c r="D493" i="1"/>
  <c r="C493" i="1"/>
  <c r="B493" i="1"/>
  <c r="Q492" i="1"/>
  <c r="I492" i="1"/>
  <c r="H492" i="1"/>
  <c r="G492" i="1"/>
  <c r="E492" i="1"/>
  <c r="D492" i="1"/>
  <c r="C492" i="1"/>
  <c r="B492" i="1"/>
  <c r="Q491" i="1"/>
  <c r="P491" i="1"/>
  <c r="O491" i="1"/>
  <c r="N491" i="1"/>
  <c r="M491" i="1"/>
  <c r="L491" i="1"/>
  <c r="I491" i="1"/>
  <c r="H491" i="1"/>
  <c r="G491" i="1"/>
  <c r="E491" i="1"/>
  <c r="D491" i="1"/>
  <c r="C491" i="1"/>
  <c r="B491" i="1"/>
  <c r="Q490" i="1"/>
  <c r="I490" i="1"/>
  <c r="H490" i="1"/>
  <c r="G490" i="1"/>
  <c r="E490" i="1"/>
  <c r="D490" i="1"/>
  <c r="C490" i="1"/>
  <c r="B490" i="1"/>
  <c r="Q489" i="1"/>
  <c r="P489" i="1"/>
  <c r="O489" i="1"/>
  <c r="L489" i="1"/>
  <c r="I489" i="1"/>
  <c r="H489" i="1"/>
  <c r="G489" i="1"/>
  <c r="E489" i="1"/>
  <c r="D489" i="1"/>
  <c r="C489" i="1"/>
  <c r="B489" i="1"/>
  <c r="Q488" i="1"/>
  <c r="N488" i="1"/>
  <c r="M488" i="1"/>
  <c r="I488" i="1"/>
  <c r="H488" i="1"/>
  <c r="G488" i="1"/>
  <c r="E488" i="1"/>
  <c r="D488" i="1"/>
  <c r="C488" i="1"/>
  <c r="B488" i="1"/>
  <c r="Q487" i="1"/>
  <c r="P487" i="1"/>
  <c r="O487" i="1"/>
  <c r="N487" i="1"/>
  <c r="M487" i="1"/>
  <c r="L487" i="1"/>
  <c r="I487" i="1"/>
  <c r="H487" i="1"/>
  <c r="G487" i="1"/>
  <c r="E487" i="1"/>
  <c r="D487" i="1"/>
  <c r="C487" i="1"/>
  <c r="B487" i="1"/>
  <c r="Q486" i="1"/>
  <c r="N486" i="1"/>
  <c r="I486" i="1"/>
  <c r="H486" i="1"/>
  <c r="G486" i="1"/>
  <c r="E486" i="1"/>
  <c r="D486" i="1"/>
  <c r="C486" i="1"/>
  <c r="B486" i="1"/>
  <c r="Q485" i="1"/>
  <c r="P485" i="1"/>
  <c r="O485" i="1"/>
  <c r="L485" i="1"/>
  <c r="I485" i="1"/>
  <c r="H485" i="1"/>
  <c r="G485" i="1"/>
  <c r="E485" i="1"/>
  <c r="D485" i="1"/>
  <c r="C485" i="1"/>
  <c r="B485" i="1"/>
  <c r="Q484" i="1"/>
  <c r="M484" i="1"/>
  <c r="I484" i="1"/>
  <c r="H484" i="1"/>
  <c r="G484" i="1"/>
  <c r="E484" i="1"/>
  <c r="D484" i="1"/>
  <c r="C484" i="1"/>
  <c r="B484" i="1"/>
  <c r="Q483" i="1"/>
  <c r="P483" i="1"/>
  <c r="O483" i="1"/>
  <c r="N483" i="1"/>
  <c r="M483" i="1"/>
  <c r="L483" i="1"/>
  <c r="I483" i="1"/>
  <c r="H483" i="1"/>
  <c r="G483" i="1"/>
  <c r="E483" i="1"/>
  <c r="D483" i="1"/>
  <c r="C483" i="1"/>
  <c r="B483" i="1"/>
  <c r="Q482" i="1"/>
  <c r="N482" i="1"/>
  <c r="I482" i="1"/>
  <c r="H482" i="1"/>
  <c r="G482" i="1"/>
  <c r="E482" i="1"/>
  <c r="D482" i="1"/>
  <c r="C482" i="1"/>
  <c r="B482" i="1"/>
  <c r="Q481" i="1"/>
  <c r="P481" i="1"/>
  <c r="O481" i="1"/>
  <c r="L481" i="1"/>
  <c r="I481" i="1"/>
  <c r="H481" i="1"/>
  <c r="G481" i="1"/>
  <c r="E481" i="1"/>
  <c r="D481" i="1"/>
  <c r="C481" i="1"/>
  <c r="B481" i="1"/>
  <c r="Q480" i="1"/>
  <c r="N480" i="1"/>
  <c r="I480" i="1"/>
  <c r="H480" i="1"/>
  <c r="G480" i="1"/>
  <c r="E480" i="1"/>
  <c r="D480" i="1"/>
  <c r="C480" i="1"/>
  <c r="B480" i="1"/>
  <c r="Q479" i="1"/>
  <c r="P479" i="1"/>
  <c r="O479" i="1"/>
  <c r="N479" i="1"/>
  <c r="M479" i="1"/>
  <c r="L479" i="1"/>
  <c r="I479" i="1"/>
  <c r="H479" i="1"/>
  <c r="G479" i="1"/>
  <c r="E479" i="1"/>
  <c r="D479" i="1"/>
  <c r="C479" i="1"/>
  <c r="B479" i="1"/>
  <c r="Q478" i="1"/>
  <c r="I478" i="1"/>
  <c r="H478" i="1"/>
  <c r="G478" i="1"/>
  <c r="E478" i="1"/>
  <c r="D478" i="1"/>
  <c r="C478" i="1"/>
  <c r="B478" i="1"/>
  <c r="Q477" i="1"/>
  <c r="P477" i="1"/>
  <c r="O477" i="1"/>
  <c r="L477" i="1"/>
  <c r="I477" i="1"/>
  <c r="H477" i="1"/>
  <c r="G477" i="1"/>
  <c r="E477" i="1"/>
  <c r="D477" i="1"/>
  <c r="C477" i="1"/>
  <c r="B477" i="1"/>
  <c r="Q476" i="1"/>
  <c r="N476" i="1"/>
  <c r="M476" i="1"/>
  <c r="I476" i="1"/>
  <c r="H476" i="1"/>
  <c r="G476" i="1"/>
  <c r="E476" i="1"/>
  <c r="D476" i="1"/>
  <c r="C476" i="1"/>
  <c r="B476" i="1"/>
  <c r="Q475" i="1"/>
  <c r="P475" i="1"/>
  <c r="O475" i="1"/>
  <c r="N475" i="1"/>
  <c r="M475" i="1"/>
  <c r="L475" i="1"/>
  <c r="I475" i="1"/>
  <c r="H475" i="1"/>
  <c r="G475" i="1"/>
  <c r="E475" i="1"/>
  <c r="D475" i="1"/>
  <c r="C475" i="1"/>
  <c r="B475" i="1"/>
  <c r="Q474" i="1"/>
  <c r="N474" i="1"/>
  <c r="I474" i="1"/>
  <c r="H474" i="1"/>
  <c r="G474" i="1"/>
  <c r="E474" i="1"/>
  <c r="D474" i="1"/>
  <c r="C474" i="1"/>
  <c r="B474" i="1"/>
  <c r="Q473" i="1"/>
  <c r="P473" i="1"/>
  <c r="O473" i="1"/>
  <c r="L473" i="1"/>
  <c r="I473" i="1"/>
  <c r="H473" i="1"/>
  <c r="G473" i="1"/>
  <c r="E473" i="1"/>
  <c r="D473" i="1"/>
  <c r="C473" i="1"/>
  <c r="B473" i="1"/>
  <c r="Q472" i="1"/>
  <c r="N472" i="1"/>
  <c r="M472" i="1"/>
  <c r="I472" i="1"/>
  <c r="H472" i="1"/>
  <c r="G472" i="1"/>
  <c r="E472" i="1"/>
  <c r="D472" i="1"/>
  <c r="C472" i="1"/>
  <c r="B472" i="1"/>
  <c r="Q471" i="1"/>
  <c r="P471" i="1"/>
  <c r="O471" i="1"/>
  <c r="N471" i="1"/>
  <c r="M471" i="1"/>
  <c r="L471" i="1"/>
  <c r="I471" i="1"/>
  <c r="H471" i="1"/>
  <c r="G471" i="1"/>
  <c r="E471" i="1"/>
  <c r="D471" i="1"/>
  <c r="C471" i="1"/>
  <c r="B471" i="1"/>
  <c r="Q470" i="1"/>
  <c r="N470" i="1"/>
  <c r="I470" i="1"/>
  <c r="H470" i="1"/>
  <c r="G470" i="1"/>
  <c r="E470" i="1"/>
  <c r="D470" i="1"/>
  <c r="C470" i="1"/>
  <c r="B470" i="1"/>
  <c r="Q469" i="1"/>
  <c r="P469" i="1"/>
  <c r="O469" i="1"/>
  <c r="L469" i="1"/>
  <c r="I469" i="1"/>
  <c r="H469" i="1"/>
  <c r="G469" i="1"/>
  <c r="E469" i="1"/>
  <c r="D469" i="1"/>
  <c r="C469" i="1"/>
  <c r="B469" i="1"/>
  <c r="Q468" i="1"/>
  <c r="O468" i="1"/>
  <c r="N468" i="1"/>
  <c r="M468" i="1"/>
  <c r="I468" i="1"/>
  <c r="H468" i="1"/>
  <c r="G468" i="1"/>
  <c r="E468" i="1"/>
  <c r="D468" i="1"/>
  <c r="C468" i="1"/>
  <c r="B468" i="1"/>
  <c r="Q467" i="1"/>
  <c r="P467" i="1"/>
  <c r="O467" i="1"/>
  <c r="N467" i="1"/>
  <c r="M467" i="1"/>
  <c r="L467" i="1"/>
  <c r="I467" i="1"/>
  <c r="H467" i="1"/>
  <c r="G467" i="1"/>
  <c r="E467" i="1"/>
  <c r="D467" i="1"/>
  <c r="C467" i="1"/>
  <c r="B467" i="1"/>
  <c r="Q466" i="1"/>
  <c r="N466" i="1"/>
  <c r="M466" i="1"/>
  <c r="I466" i="1"/>
  <c r="H466" i="1"/>
  <c r="G466" i="1"/>
  <c r="E466" i="1"/>
  <c r="D466" i="1"/>
  <c r="C466" i="1"/>
  <c r="B466" i="1"/>
  <c r="Q465" i="1"/>
  <c r="P465" i="1"/>
  <c r="O465" i="1"/>
  <c r="L465" i="1"/>
  <c r="I465" i="1"/>
  <c r="H465" i="1"/>
  <c r="G465" i="1"/>
  <c r="E465" i="1"/>
  <c r="D465" i="1"/>
  <c r="C465" i="1"/>
  <c r="B465" i="1"/>
  <c r="Q464" i="1"/>
  <c r="N464" i="1"/>
  <c r="M464" i="1"/>
  <c r="I464" i="1"/>
  <c r="H464" i="1"/>
  <c r="O464" i="1" s="1"/>
  <c r="G464" i="1"/>
  <c r="E464" i="1"/>
  <c r="D464" i="1"/>
  <c r="C464" i="1"/>
  <c r="B464" i="1"/>
  <c r="Q463" i="1"/>
  <c r="P463" i="1"/>
  <c r="O463" i="1"/>
  <c r="N463" i="1"/>
  <c r="M463" i="1"/>
  <c r="L463" i="1"/>
  <c r="I463" i="1"/>
  <c r="H463" i="1"/>
  <c r="G463" i="1"/>
  <c r="E463" i="1"/>
  <c r="D463" i="1"/>
  <c r="C463" i="1"/>
  <c r="B463" i="1"/>
  <c r="Q462" i="1"/>
  <c r="N462" i="1"/>
  <c r="I462" i="1"/>
  <c r="H462" i="1"/>
  <c r="G462" i="1"/>
  <c r="E462" i="1"/>
  <c r="D462" i="1"/>
  <c r="C462" i="1"/>
  <c r="B462" i="1"/>
  <c r="Q461" i="1"/>
  <c r="P461" i="1"/>
  <c r="O461" i="1"/>
  <c r="L461" i="1"/>
  <c r="I461" i="1"/>
  <c r="H461" i="1"/>
  <c r="G461" i="1"/>
  <c r="E461" i="1"/>
  <c r="D461" i="1"/>
  <c r="C461" i="1"/>
  <c r="B461" i="1"/>
  <c r="Q460" i="1"/>
  <c r="O460" i="1"/>
  <c r="N460" i="1"/>
  <c r="I460" i="1"/>
  <c r="H460" i="1"/>
  <c r="G460" i="1"/>
  <c r="E460" i="1"/>
  <c r="D460" i="1"/>
  <c r="C460" i="1"/>
  <c r="B460" i="1"/>
  <c r="Q459" i="1"/>
  <c r="P459" i="1"/>
  <c r="O459" i="1"/>
  <c r="N459" i="1"/>
  <c r="M459" i="1"/>
  <c r="L459" i="1"/>
  <c r="I459" i="1"/>
  <c r="H459" i="1"/>
  <c r="G459" i="1"/>
  <c r="E459" i="1"/>
  <c r="D459" i="1"/>
  <c r="C459" i="1"/>
  <c r="B459" i="1"/>
  <c r="Q458" i="1"/>
  <c r="M458" i="1"/>
  <c r="L458" i="1"/>
  <c r="I458" i="1"/>
  <c r="H458" i="1"/>
  <c r="G458" i="1"/>
  <c r="E458" i="1"/>
  <c r="D458" i="1"/>
  <c r="C458" i="1"/>
  <c r="B458" i="1"/>
  <c r="Q457" i="1"/>
  <c r="P457" i="1"/>
  <c r="O457" i="1"/>
  <c r="L457" i="1"/>
  <c r="I457" i="1"/>
  <c r="H457" i="1"/>
  <c r="G457" i="1"/>
  <c r="E457" i="1"/>
  <c r="D457" i="1"/>
  <c r="C457" i="1"/>
  <c r="B457" i="1"/>
  <c r="Q456" i="1"/>
  <c r="O456" i="1"/>
  <c r="N456" i="1"/>
  <c r="M456" i="1"/>
  <c r="I456" i="1"/>
  <c r="H456" i="1"/>
  <c r="G456" i="1"/>
  <c r="E456" i="1"/>
  <c r="D456" i="1"/>
  <c r="C456" i="1"/>
  <c r="B456" i="1"/>
  <c r="Q455" i="1"/>
  <c r="P455" i="1"/>
  <c r="O455" i="1"/>
  <c r="N455" i="1"/>
  <c r="M455" i="1"/>
  <c r="L455" i="1"/>
  <c r="I455" i="1"/>
  <c r="H455" i="1"/>
  <c r="G455" i="1"/>
  <c r="E455" i="1"/>
  <c r="D455" i="1"/>
  <c r="C455" i="1"/>
  <c r="B455" i="1"/>
  <c r="Q454" i="1"/>
  <c r="I454" i="1"/>
  <c r="H454" i="1"/>
  <c r="G454" i="1"/>
  <c r="E454" i="1"/>
  <c r="D454" i="1"/>
  <c r="C454" i="1"/>
  <c r="B454" i="1"/>
  <c r="Q453" i="1"/>
  <c r="P453" i="1"/>
  <c r="L453" i="1"/>
  <c r="I453" i="1"/>
  <c r="H453" i="1"/>
  <c r="G453" i="1"/>
  <c r="E453" i="1"/>
  <c r="D453" i="1"/>
  <c r="C453" i="1"/>
  <c r="B453" i="1"/>
  <c r="Q452" i="1"/>
  <c r="P452" i="1"/>
  <c r="O452" i="1"/>
  <c r="N452" i="1"/>
  <c r="M452" i="1"/>
  <c r="I452" i="1"/>
  <c r="H452" i="1"/>
  <c r="G452" i="1"/>
  <c r="E452" i="1"/>
  <c r="D452" i="1"/>
  <c r="C452" i="1"/>
  <c r="B452" i="1"/>
  <c r="Q451" i="1"/>
  <c r="P451" i="1"/>
  <c r="O451" i="1"/>
  <c r="N451" i="1"/>
  <c r="M451" i="1"/>
  <c r="L451" i="1"/>
  <c r="I451" i="1"/>
  <c r="H451" i="1"/>
  <c r="G451" i="1"/>
  <c r="E451" i="1"/>
  <c r="D451" i="1"/>
  <c r="C451" i="1"/>
  <c r="B451" i="1"/>
  <c r="Q450" i="1"/>
  <c r="N450" i="1"/>
  <c r="M450" i="1"/>
  <c r="I450" i="1"/>
  <c r="H450" i="1"/>
  <c r="G450" i="1"/>
  <c r="E450" i="1"/>
  <c r="D450" i="1"/>
  <c r="C450" i="1"/>
  <c r="B450" i="1"/>
  <c r="Q449" i="1"/>
  <c r="I449" i="1"/>
  <c r="H449" i="1"/>
  <c r="G449" i="1"/>
  <c r="E449" i="1"/>
  <c r="D449" i="1"/>
  <c r="C449" i="1"/>
  <c r="B449" i="1"/>
  <c r="Q448" i="1"/>
  <c r="P448" i="1"/>
  <c r="O448" i="1"/>
  <c r="M448" i="1"/>
  <c r="I448" i="1"/>
  <c r="H448" i="1"/>
  <c r="G448" i="1"/>
  <c r="E448" i="1"/>
  <c r="D448" i="1"/>
  <c r="C448" i="1"/>
  <c r="B448" i="1"/>
  <c r="Q447" i="1"/>
  <c r="P447" i="1"/>
  <c r="O447" i="1"/>
  <c r="N447" i="1"/>
  <c r="M447" i="1"/>
  <c r="L447" i="1"/>
  <c r="I447" i="1"/>
  <c r="H447" i="1"/>
  <c r="G447" i="1"/>
  <c r="E447" i="1"/>
  <c r="D447" i="1"/>
  <c r="C447" i="1"/>
  <c r="B447" i="1"/>
  <c r="Q446" i="1"/>
  <c r="N446" i="1"/>
  <c r="M446" i="1"/>
  <c r="L446" i="1"/>
  <c r="I446" i="1"/>
  <c r="H446" i="1"/>
  <c r="G446" i="1"/>
  <c r="E446" i="1"/>
  <c r="D446" i="1"/>
  <c r="C446" i="1"/>
  <c r="B446" i="1"/>
  <c r="Q445" i="1"/>
  <c r="O445" i="1"/>
  <c r="L445" i="1"/>
  <c r="I445" i="1"/>
  <c r="H445" i="1"/>
  <c r="P445" i="1" s="1"/>
  <c r="G445" i="1"/>
  <c r="E445" i="1"/>
  <c r="D445" i="1"/>
  <c r="C445" i="1"/>
  <c r="B445" i="1"/>
  <c r="Q444" i="1"/>
  <c r="I444" i="1"/>
  <c r="H444" i="1"/>
  <c r="G444" i="1"/>
  <c r="E444" i="1"/>
  <c r="D444" i="1"/>
  <c r="C444" i="1"/>
  <c r="B444" i="1"/>
  <c r="Q443" i="1"/>
  <c r="P443" i="1"/>
  <c r="O443" i="1"/>
  <c r="N443" i="1"/>
  <c r="M443" i="1"/>
  <c r="L443" i="1"/>
  <c r="I443" i="1"/>
  <c r="H443" i="1"/>
  <c r="G443" i="1"/>
  <c r="E443" i="1"/>
  <c r="D443" i="1"/>
  <c r="C443" i="1"/>
  <c r="B443" i="1"/>
  <c r="Q442" i="1"/>
  <c r="M442" i="1"/>
  <c r="L442" i="1"/>
  <c r="I442" i="1"/>
  <c r="H442" i="1"/>
  <c r="O442" i="1" s="1"/>
  <c r="G442" i="1"/>
  <c r="E442" i="1"/>
  <c r="D442" i="1"/>
  <c r="C442" i="1"/>
  <c r="B442" i="1"/>
  <c r="Q441" i="1"/>
  <c r="I441" i="1"/>
  <c r="H441" i="1"/>
  <c r="G441" i="1"/>
  <c r="E441" i="1"/>
  <c r="D441" i="1"/>
  <c r="C441" i="1"/>
  <c r="B441" i="1"/>
  <c r="Q440" i="1"/>
  <c r="P440" i="1"/>
  <c r="O440" i="1"/>
  <c r="M440" i="1"/>
  <c r="I440" i="1"/>
  <c r="H440" i="1"/>
  <c r="G440" i="1"/>
  <c r="E440" i="1"/>
  <c r="D440" i="1"/>
  <c r="C440" i="1"/>
  <c r="B440" i="1"/>
  <c r="Q439" i="1"/>
  <c r="P439" i="1"/>
  <c r="O439" i="1"/>
  <c r="N439" i="1"/>
  <c r="M439" i="1"/>
  <c r="L439" i="1"/>
  <c r="I439" i="1"/>
  <c r="H439" i="1"/>
  <c r="G439" i="1"/>
  <c r="E439" i="1"/>
  <c r="D439" i="1"/>
  <c r="C439" i="1"/>
  <c r="B439" i="1"/>
  <c r="Q438" i="1"/>
  <c r="I438" i="1"/>
  <c r="H438" i="1"/>
  <c r="G438" i="1"/>
  <c r="E438" i="1"/>
  <c r="D438" i="1"/>
  <c r="C438" i="1"/>
  <c r="B438" i="1"/>
  <c r="Q437" i="1"/>
  <c r="P437" i="1"/>
  <c r="O437" i="1"/>
  <c r="L437" i="1"/>
  <c r="I437" i="1"/>
  <c r="H437" i="1"/>
  <c r="G437" i="1"/>
  <c r="E437" i="1"/>
  <c r="D437" i="1"/>
  <c r="C437" i="1"/>
  <c r="B437" i="1"/>
  <c r="Q436" i="1"/>
  <c r="P436" i="1"/>
  <c r="O436" i="1"/>
  <c r="N436" i="1"/>
  <c r="M436" i="1"/>
  <c r="I436" i="1"/>
  <c r="H436" i="1"/>
  <c r="G436" i="1"/>
  <c r="E436" i="1"/>
  <c r="D436" i="1"/>
  <c r="C436" i="1"/>
  <c r="B436" i="1"/>
  <c r="Q435" i="1"/>
  <c r="P435" i="1"/>
  <c r="O435" i="1"/>
  <c r="N435" i="1"/>
  <c r="M435" i="1"/>
  <c r="L435" i="1"/>
  <c r="I435" i="1"/>
  <c r="H435" i="1"/>
  <c r="G435" i="1"/>
  <c r="E435" i="1"/>
  <c r="D435" i="1"/>
  <c r="C435" i="1"/>
  <c r="B435" i="1"/>
  <c r="Q434" i="1"/>
  <c r="O434" i="1"/>
  <c r="N434" i="1"/>
  <c r="L434" i="1"/>
  <c r="I434" i="1"/>
  <c r="H434" i="1"/>
  <c r="G434" i="1"/>
  <c r="E434" i="1"/>
  <c r="D434" i="1"/>
  <c r="C434" i="1"/>
  <c r="B434" i="1"/>
  <c r="Q433" i="1"/>
  <c r="P433" i="1"/>
  <c r="O433" i="1"/>
  <c r="M433" i="1"/>
  <c r="L433" i="1"/>
  <c r="I433" i="1"/>
  <c r="H433" i="1"/>
  <c r="G433" i="1"/>
  <c r="E433" i="1"/>
  <c r="D433" i="1"/>
  <c r="C433" i="1"/>
  <c r="B433" i="1"/>
  <c r="Q432" i="1"/>
  <c r="O432" i="1"/>
  <c r="N432" i="1"/>
  <c r="M432" i="1"/>
  <c r="I432" i="1"/>
  <c r="H432" i="1"/>
  <c r="G432" i="1"/>
  <c r="E432" i="1"/>
  <c r="D432" i="1"/>
  <c r="C432" i="1"/>
  <c r="B432" i="1"/>
  <c r="Q431" i="1"/>
  <c r="P431" i="1"/>
  <c r="O431" i="1"/>
  <c r="N431" i="1"/>
  <c r="L431" i="1"/>
  <c r="K431" i="1"/>
  <c r="I431" i="1"/>
  <c r="H431" i="1"/>
  <c r="J431" i="1" s="1"/>
  <c r="G431" i="1"/>
  <c r="E431" i="1"/>
  <c r="D431" i="1"/>
  <c r="C431" i="1"/>
  <c r="B431" i="1"/>
  <c r="Q430" i="1"/>
  <c r="N430" i="1"/>
  <c r="M430" i="1"/>
  <c r="K430" i="1"/>
  <c r="I430" i="1"/>
  <c r="H430" i="1"/>
  <c r="J430" i="1" s="1"/>
  <c r="G430" i="1"/>
  <c r="E430" i="1"/>
  <c r="D430" i="1"/>
  <c r="C430" i="1"/>
  <c r="B430" i="1"/>
  <c r="Q429" i="1"/>
  <c r="P429" i="1"/>
  <c r="M429" i="1"/>
  <c r="L429" i="1"/>
  <c r="I429" i="1"/>
  <c r="H429" i="1"/>
  <c r="J429" i="1" s="1"/>
  <c r="G429" i="1"/>
  <c r="E429" i="1"/>
  <c r="D429" i="1"/>
  <c r="C429" i="1"/>
  <c r="B429" i="1"/>
  <c r="Q428" i="1"/>
  <c r="L428" i="1"/>
  <c r="K428" i="1"/>
  <c r="I428" i="1"/>
  <c r="H428" i="1"/>
  <c r="J428" i="1" s="1"/>
  <c r="G428" i="1"/>
  <c r="E428" i="1"/>
  <c r="D428" i="1"/>
  <c r="C428" i="1"/>
  <c r="B428" i="1"/>
  <c r="Q427" i="1"/>
  <c r="P427" i="1"/>
  <c r="O427" i="1"/>
  <c r="N427" i="1"/>
  <c r="M427" i="1"/>
  <c r="L427" i="1"/>
  <c r="K427" i="1"/>
  <c r="I427" i="1"/>
  <c r="H427" i="1"/>
  <c r="J427" i="1" s="1"/>
  <c r="G427" i="1"/>
  <c r="E427" i="1"/>
  <c r="D427" i="1"/>
  <c r="C427" i="1"/>
  <c r="B427" i="1"/>
  <c r="Q426" i="1"/>
  <c r="I426" i="1"/>
  <c r="H426" i="1"/>
  <c r="G426" i="1"/>
  <c r="E426" i="1"/>
  <c r="D426" i="1"/>
  <c r="C426" i="1"/>
  <c r="B426" i="1"/>
  <c r="Q425" i="1"/>
  <c r="P425" i="1"/>
  <c r="I425" i="1"/>
  <c r="H425" i="1"/>
  <c r="G425" i="1"/>
  <c r="E425" i="1"/>
  <c r="D425" i="1"/>
  <c r="C425" i="1"/>
  <c r="B425" i="1"/>
  <c r="Q424" i="1"/>
  <c r="P424" i="1"/>
  <c r="O424" i="1"/>
  <c r="M424" i="1"/>
  <c r="L424" i="1"/>
  <c r="K424" i="1"/>
  <c r="I424" i="1"/>
  <c r="H424" i="1"/>
  <c r="J424" i="1" s="1"/>
  <c r="G424" i="1"/>
  <c r="E424" i="1"/>
  <c r="D424" i="1"/>
  <c r="C424" i="1"/>
  <c r="B424" i="1"/>
  <c r="Q423" i="1"/>
  <c r="P423" i="1"/>
  <c r="O423" i="1"/>
  <c r="N423" i="1"/>
  <c r="L423" i="1"/>
  <c r="K423" i="1"/>
  <c r="I423" i="1"/>
  <c r="H423" i="1"/>
  <c r="J423" i="1" s="1"/>
  <c r="G423" i="1"/>
  <c r="E423" i="1"/>
  <c r="D423" i="1"/>
  <c r="C423" i="1"/>
  <c r="B423" i="1"/>
  <c r="Q422" i="1"/>
  <c r="N422" i="1"/>
  <c r="M422" i="1"/>
  <c r="K422" i="1"/>
  <c r="I422" i="1"/>
  <c r="H422" i="1"/>
  <c r="J422" i="1" s="1"/>
  <c r="G422" i="1"/>
  <c r="E422" i="1"/>
  <c r="D422" i="1"/>
  <c r="C422" i="1"/>
  <c r="B422" i="1"/>
  <c r="Q421" i="1"/>
  <c r="P421" i="1"/>
  <c r="M421" i="1"/>
  <c r="L421" i="1"/>
  <c r="I421" i="1"/>
  <c r="H421" i="1"/>
  <c r="J421" i="1" s="1"/>
  <c r="G421" i="1"/>
  <c r="E421" i="1"/>
  <c r="D421" i="1"/>
  <c r="C421" i="1"/>
  <c r="B421" i="1"/>
  <c r="Q420" i="1"/>
  <c r="L420" i="1"/>
  <c r="I420" i="1"/>
  <c r="H420" i="1"/>
  <c r="G420" i="1"/>
  <c r="E420" i="1"/>
  <c r="D420" i="1"/>
  <c r="C420" i="1"/>
  <c r="B420" i="1"/>
  <c r="Q419" i="1"/>
  <c r="P419" i="1"/>
  <c r="O419" i="1"/>
  <c r="N419" i="1"/>
  <c r="M419" i="1"/>
  <c r="L419" i="1"/>
  <c r="K419" i="1"/>
  <c r="I419" i="1"/>
  <c r="H419" i="1"/>
  <c r="J419" i="1" s="1"/>
  <c r="G419" i="1"/>
  <c r="E419" i="1"/>
  <c r="D419" i="1"/>
  <c r="C419" i="1"/>
  <c r="B419" i="1"/>
  <c r="Q418" i="1"/>
  <c r="O418" i="1"/>
  <c r="I418" i="1"/>
  <c r="H418" i="1"/>
  <c r="G418" i="1"/>
  <c r="E418" i="1"/>
  <c r="D418" i="1"/>
  <c r="C418" i="1"/>
  <c r="B418" i="1"/>
  <c r="Q417" i="1"/>
  <c r="I417" i="1"/>
  <c r="H417" i="1"/>
  <c r="G417" i="1"/>
  <c r="E417" i="1"/>
  <c r="D417" i="1"/>
  <c r="C417" i="1"/>
  <c r="B417" i="1"/>
  <c r="Q416" i="1"/>
  <c r="P416" i="1"/>
  <c r="O416" i="1"/>
  <c r="I416" i="1"/>
  <c r="H416" i="1"/>
  <c r="G416" i="1"/>
  <c r="E416" i="1"/>
  <c r="D416" i="1"/>
  <c r="C416" i="1"/>
  <c r="B416" i="1"/>
  <c r="Q415" i="1"/>
  <c r="I415" i="1"/>
  <c r="H415" i="1"/>
  <c r="G415" i="1"/>
  <c r="E415" i="1"/>
  <c r="D415" i="1"/>
  <c r="C415" i="1"/>
  <c r="B415" i="1"/>
  <c r="Q414" i="1"/>
  <c r="P414" i="1"/>
  <c r="O414" i="1"/>
  <c r="I414" i="1"/>
  <c r="H414" i="1"/>
  <c r="G414" i="1"/>
  <c r="E414" i="1"/>
  <c r="D414" i="1"/>
  <c r="C414" i="1"/>
  <c r="B414" i="1"/>
  <c r="Q413" i="1"/>
  <c r="I413" i="1"/>
  <c r="H413" i="1"/>
  <c r="G413" i="1"/>
  <c r="E413" i="1"/>
  <c r="D413" i="1"/>
  <c r="C413" i="1"/>
  <c r="B413" i="1"/>
  <c r="Q412" i="1"/>
  <c r="P412" i="1"/>
  <c r="O412" i="1"/>
  <c r="I412" i="1"/>
  <c r="H412" i="1"/>
  <c r="G412" i="1"/>
  <c r="E412" i="1"/>
  <c r="D412" i="1"/>
  <c r="C412" i="1"/>
  <c r="B412" i="1"/>
  <c r="Q411" i="1"/>
  <c r="I411" i="1"/>
  <c r="H411" i="1"/>
  <c r="G411" i="1"/>
  <c r="E411" i="1"/>
  <c r="D411" i="1"/>
  <c r="C411" i="1"/>
  <c r="B411" i="1"/>
  <c r="Q410" i="1"/>
  <c r="P410" i="1"/>
  <c r="O410" i="1"/>
  <c r="I410" i="1"/>
  <c r="H410" i="1"/>
  <c r="G410" i="1"/>
  <c r="E410" i="1"/>
  <c r="D410" i="1"/>
  <c r="C410" i="1"/>
  <c r="B410" i="1"/>
  <c r="Q409" i="1"/>
  <c r="I409" i="1"/>
  <c r="H409" i="1"/>
  <c r="G409" i="1"/>
  <c r="E409" i="1"/>
  <c r="D409" i="1"/>
  <c r="C409" i="1"/>
  <c r="B409" i="1"/>
  <c r="Q408" i="1"/>
  <c r="P408" i="1"/>
  <c r="O408" i="1"/>
  <c r="I408" i="1"/>
  <c r="H408" i="1"/>
  <c r="G408" i="1"/>
  <c r="E408" i="1"/>
  <c r="D408" i="1"/>
  <c r="C408" i="1"/>
  <c r="B408" i="1"/>
  <c r="Q407" i="1"/>
  <c r="I407" i="1"/>
  <c r="H407" i="1"/>
  <c r="G407" i="1"/>
  <c r="E407" i="1"/>
  <c r="D407" i="1"/>
  <c r="C407" i="1"/>
  <c r="B407" i="1"/>
  <c r="Q406" i="1"/>
  <c r="P406" i="1"/>
  <c r="O406" i="1"/>
  <c r="I406" i="1"/>
  <c r="H406" i="1"/>
  <c r="G406" i="1"/>
  <c r="E406" i="1"/>
  <c r="D406" i="1"/>
  <c r="C406" i="1"/>
  <c r="B406" i="1"/>
  <c r="Q405" i="1"/>
  <c r="I405" i="1"/>
  <c r="H405" i="1"/>
  <c r="G405" i="1"/>
  <c r="E405" i="1"/>
  <c r="D405" i="1"/>
  <c r="C405" i="1"/>
  <c r="B405" i="1"/>
  <c r="Q404" i="1"/>
  <c r="P404" i="1"/>
  <c r="O404" i="1"/>
  <c r="I404" i="1"/>
  <c r="H404" i="1"/>
  <c r="G404" i="1"/>
  <c r="E404" i="1"/>
  <c r="D404" i="1"/>
  <c r="C404" i="1"/>
  <c r="B404" i="1"/>
  <c r="Q403" i="1"/>
  <c r="I403" i="1"/>
  <c r="H403" i="1"/>
  <c r="G403" i="1"/>
  <c r="E403" i="1"/>
  <c r="D403" i="1"/>
  <c r="C403" i="1"/>
  <c r="B403" i="1"/>
  <c r="Q402" i="1"/>
  <c r="P402" i="1"/>
  <c r="O402" i="1"/>
  <c r="I402" i="1"/>
  <c r="H402" i="1"/>
  <c r="G402" i="1"/>
  <c r="E402" i="1"/>
  <c r="D402" i="1"/>
  <c r="C402" i="1"/>
  <c r="B402" i="1"/>
  <c r="Q401" i="1"/>
  <c r="I401" i="1"/>
  <c r="H401" i="1"/>
  <c r="G401" i="1"/>
  <c r="E401" i="1"/>
  <c r="D401" i="1"/>
  <c r="C401" i="1"/>
  <c r="B401" i="1"/>
  <c r="Q400" i="1"/>
  <c r="P400" i="1"/>
  <c r="O400" i="1"/>
  <c r="I400" i="1"/>
  <c r="H400" i="1"/>
  <c r="G400" i="1"/>
  <c r="E400" i="1"/>
  <c r="D400" i="1"/>
  <c r="C400" i="1"/>
  <c r="B400" i="1"/>
  <c r="Q399" i="1"/>
  <c r="I399" i="1"/>
  <c r="H399" i="1"/>
  <c r="G399" i="1"/>
  <c r="E399" i="1"/>
  <c r="D399" i="1"/>
  <c r="C399" i="1"/>
  <c r="B399" i="1"/>
  <c r="Q398" i="1"/>
  <c r="P398" i="1"/>
  <c r="O398" i="1"/>
  <c r="I398" i="1"/>
  <c r="H398" i="1"/>
  <c r="G398" i="1"/>
  <c r="E398" i="1"/>
  <c r="D398" i="1"/>
  <c r="C398" i="1"/>
  <c r="B398" i="1"/>
  <c r="Q397" i="1"/>
  <c r="I397" i="1"/>
  <c r="H397" i="1"/>
  <c r="G397" i="1"/>
  <c r="E397" i="1"/>
  <c r="D397" i="1"/>
  <c r="C397" i="1"/>
  <c r="B397" i="1"/>
  <c r="Q396" i="1"/>
  <c r="P396" i="1"/>
  <c r="O396" i="1"/>
  <c r="I396" i="1"/>
  <c r="H396" i="1"/>
  <c r="G396" i="1"/>
  <c r="E396" i="1"/>
  <c r="D396" i="1"/>
  <c r="C396" i="1"/>
  <c r="B396" i="1"/>
  <c r="Q395" i="1"/>
  <c r="I395" i="1"/>
  <c r="H395" i="1"/>
  <c r="G395" i="1"/>
  <c r="E395" i="1"/>
  <c r="D395" i="1"/>
  <c r="C395" i="1"/>
  <c r="B395" i="1"/>
  <c r="Q394" i="1"/>
  <c r="P394" i="1"/>
  <c r="O394" i="1"/>
  <c r="I394" i="1"/>
  <c r="H394" i="1"/>
  <c r="G394" i="1"/>
  <c r="E394" i="1"/>
  <c r="D394" i="1"/>
  <c r="C394" i="1"/>
  <c r="B394" i="1"/>
  <c r="Q393" i="1"/>
  <c r="I393" i="1"/>
  <c r="H393" i="1"/>
  <c r="G393" i="1"/>
  <c r="E393" i="1"/>
  <c r="D393" i="1"/>
  <c r="C393" i="1"/>
  <c r="B393" i="1"/>
  <c r="Q392" i="1"/>
  <c r="P392" i="1"/>
  <c r="O392" i="1"/>
  <c r="I392" i="1"/>
  <c r="H392" i="1"/>
  <c r="G392" i="1"/>
  <c r="E392" i="1"/>
  <c r="D392" i="1"/>
  <c r="C392" i="1"/>
  <c r="B392" i="1"/>
  <c r="Q391" i="1"/>
  <c r="I391" i="1"/>
  <c r="H391" i="1"/>
  <c r="G391" i="1"/>
  <c r="E391" i="1"/>
  <c r="D391" i="1"/>
  <c r="C391" i="1"/>
  <c r="B391" i="1"/>
  <c r="Q390" i="1"/>
  <c r="P390" i="1"/>
  <c r="O390" i="1"/>
  <c r="I390" i="1"/>
  <c r="H390" i="1"/>
  <c r="G390" i="1"/>
  <c r="E390" i="1"/>
  <c r="D390" i="1"/>
  <c r="C390" i="1"/>
  <c r="B390" i="1"/>
  <c r="Q389" i="1"/>
  <c r="I389" i="1"/>
  <c r="H389" i="1"/>
  <c r="G389" i="1"/>
  <c r="E389" i="1"/>
  <c r="D389" i="1"/>
  <c r="C389" i="1"/>
  <c r="B389" i="1"/>
  <c r="Q388" i="1"/>
  <c r="P388" i="1"/>
  <c r="O388" i="1"/>
  <c r="I388" i="1"/>
  <c r="H388" i="1"/>
  <c r="G388" i="1"/>
  <c r="E388" i="1"/>
  <c r="D388" i="1"/>
  <c r="C388" i="1"/>
  <c r="B388" i="1"/>
  <c r="Q387" i="1"/>
  <c r="I387" i="1"/>
  <c r="H387" i="1"/>
  <c r="G387" i="1"/>
  <c r="E387" i="1"/>
  <c r="D387" i="1"/>
  <c r="C387" i="1"/>
  <c r="B387" i="1"/>
  <c r="Q386" i="1"/>
  <c r="P386" i="1"/>
  <c r="O386" i="1"/>
  <c r="K386" i="1"/>
  <c r="I386" i="1"/>
  <c r="H386" i="1"/>
  <c r="G386" i="1"/>
  <c r="E386" i="1"/>
  <c r="D386" i="1"/>
  <c r="C386" i="1"/>
  <c r="B386" i="1"/>
  <c r="Q385" i="1"/>
  <c r="P385" i="1"/>
  <c r="O385" i="1"/>
  <c r="M385" i="1"/>
  <c r="K385" i="1"/>
  <c r="I385" i="1"/>
  <c r="H385" i="1"/>
  <c r="G385" i="1"/>
  <c r="E385" i="1"/>
  <c r="D385" i="1"/>
  <c r="C385" i="1"/>
  <c r="B385" i="1"/>
  <c r="Q384" i="1"/>
  <c r="O384" i="1"/>
  <c r="M384" i="1"/>
  <c r="K384" i="1"/>
  <c r="I384" i="1"/>
  <c r="H384" i="1"/>
  <c r="G384" i="1"/>
  <c r="E384" i="1"/>
  <c r="D384" i="1"/>
  <c r="C384" i="1"/>
  <c r="B384" i="1"/>
  <c r="Q383" i="1"/>
  <c r="O383" i="1"/>
  <c r="M383" i="1"/>
  <c r="I383" i="1"/>
  <c r="H383" i="1"/>
  <c r="P383" i="1" s="1"/>
  <c r="G383" i="1"/>
  <c r="E383" i="1"/>
  <c r="D383" i="1"/>
  <c r="C383" i="1"/>
  <c r="B383" i="1"/>
  <c r="Q382" i="1"/>
  <c r="I382" i="1"/>
  <c r="H382" i="1"/>
  <c r="G382" i="1"/>
  <c r="E382" i="1"/>
  <c r="D382" i="1"/>
  <c r="C382" i="1"/>
  <c r="B382" i="1"/>
  <c r="Q381" i="1"/>
  <c r="P381" i="1"/>
  <c r="M381" i="1"/>
  <c r="K381" i="1"/>
  <c r="I381" i="1"/>
  <c r="H381" i="1"/>
  <c r="G381" i="1"/>
  <c r="E381" i="1"/>
  <c r="D381" i="1"/>
  <c r="C381" i="1"/>
  <c r="B381" i="1"/>
  <c r="Q380" i="1"/>
  <c r="M380" i="1"/>
  <c r="K380" i="1"/>
  <c r="I380" i="1"/>
  <c r="H380" i="1"/>
  <c r="P380" i="1" s="1"/>
  <c r="G380" i="1"/>
  <c r="E380" i="1"/>
  <c r="D380" i="1"/>
  <c r="C380" i="1"/>
  <c r="B380" i="1"/>
  <c r="Q379" i="1"/>
  <c r="I379" i="1"/>
  <c r="H379" i="1"/>
  <c r="G379" i="1"/>
  <c r="E379" i="1"/>
  <c r="D379" i="1"/>
  <c r="C379" i="1"/>
  <c r="B379" i="1"/>
  <c r="Q378" i="1"/>
  <c r="P378" i="1"/>
  <c r="O378" i="1"/>
  <c r="K378" i="1"/>
  <c r="I378" i="1"/>
  <c r="H378" i="1"/>
  <c r="G378" i="1"/>
  <c r="E378" i="1"/>
  <c r="D378" i="1"/>
  <c r="C378" i="1"/>
  <c r="B378" i="1"/>
  <c r="Q377" i="1"/>
  <c r="P377" i="1"/>
  <c r="O377" i="1"/>
  <c r="M377" i="1"/>
  <c r="K377" i="1"/>
  <c r="I377" i="1"/>
  <c r="H377" i="1"/>
  <c r="G377" i="1"/>
  <c r="E377" i="1"/>
  <c r="D377" i="1"/>
  <c r="C377" i="1"/>
  <c r="B377" i="1"/>
  <c r="Q376" i="1"/>
  <c r="O376" i="1"/>
  <c r="M376" i="1"/>
  <c r="K376" i="1"/>
  <c r="I376" i="1"/>
  <c r="H376" i="1"/>
  <c r="G376" i="1"/>
  <c r="E376" i="1"/>
  <c r="D376" i="1"/>
  <c r="C376" i="1"/>
  <c r="B376" i="1"/>
  <c r="Q375" i="1"/>
  <c r="O375" i="1"/>
  <c r="M375" i="1"/>
  <c r="I375" i="1"/>
  <c r="H375" i="1"/>
  <c r="P375" i="1" s="1"/>
  <c r="G375" i="1"/>
  <c r="E375" i="1"/>
  <c r="D375" i="1"/>
  <c r="C375" i="1"/>
  <c r="B375" i="1"/>
  <c r="Q374" i="1"/>
  <c r="I374" i="1"/>
  <c r="H374" i="1"/>
  <c r="G374" i="1"/>
  <c r="E374" i="1"/>
  <c r="D374" i="1"/>
  <c r="C374" i="1"/>
  <c r="B374" i="1"/>
  <c r="Q373" i="1"/>
  <c r="P373" i="1"/>
  <c r="M373" i="1"/>
  <c r="K373" i="1"/>
  <c r="I373" i="1"/>
  <c r="H373" i="1"/>
  <c r="G373" i="1"/>
  <c r="E373" i="1"/>
  <c r="D373" i="1"/>
  <c r="C373" i="1"/>
  <c r="B373" i="1"/>
  <c r="Q372" i="1"/>
  <c r="M372" i="1"/>
  <c r="K372" i="1"/>
  <c r="I372" i="1"/>
  <c r="H372" i="1"/>
  <c r="P372" i="1" s="1"/>
  <c r="G372" i="1"/>
  <c r="E372" i="1"/>
  <c r="D372" i="1"/>
  <c r="C372" i="1"/>
  <c r="B372" i="1"/>
  <c r="Q371" i="1"/>
  <c r="I371" i="1"/>
  <c r="H371" i="1"/>
  <c r="G371" i="1"/>
  <c r="E371" i="1"/>
  <c r="D371" i="1"/>
  <c r="C371" i="1"/>
  <c r="B371" i="1"/>
  <c r="Q370" i="1"/>
  <c r="P370" i="1"/>
  <c r="O370" i="1"/>
  <c r="K370" i="1"/>
  <c r="I370" i="1"/>
  <c r="H370" i="1"/>
  <c r="G370" i="1"/>
  <c r="E370" i="1"/>
  <c r="D370" i="1"/>
  <c r="C370" i="1"/>
  <c r="B370" i="1"/>
  <c r="Q369" i="1"/>
  <c r="P369" i="1"/>
  <c r="O369" i="1"/>
  <c r="M369" i="1"/>
  <c r="K369" i="1"/>
  <c r="I369" i="1"/>
  <c r="H369" i="1"/>
  <c r="G369" i="1"/>
  <c r="E369" i="1"/>
  <c r="D369" i="1"/>
  <c r="C369" i="1"/>
  <c r="B369" i="1"/>
  <c r="Q368" i="1"/>
  <c r="I368" i="1"/>
  <c r="H368" i="1"/>
  <c r="G368" i="1"/>
  <c r="E368" i="1"/>
  <c r="D368" i="1"/>
  <c r="C368" i="1"/>
  <c r="B368" i="1"/>
  <c r="Q367" i="1"/>
  <c r="P367" i="1"/>
  <c r="O367" i="1"/>
  <c r="L367" i="1"/>
  <c r="K367" i="1"/>
  <c r="I367" i="1"/>
  <c r="H367" i="1"/>
  <c r="G367" i="1"/>
  <c r="E367" i="1"/>
  <c r="D367" i="1"/>
  <c r="C367" i="1"/>
  <c r="B367" i="1"/>
  <c r="Q366" i="1"/>
  <c r="M366" i="1"/>
  <c r="L366" i="1"/>
  <c r="I366" i="1"/>
  <c r="H366" i="1"/>
  <c r="P366" i="1" s="1"/>
  <c r="G366" i="1"/>
  <c r="E366" i="1"/>
  <c r="D366" i="1"/>
  <c r="C366" i="1"/>
  <c r="B366" i="1"/>
  <c r="Q365" i="1"/>
  <c r="P365" i="1"/>
  <c r="O365" i="1"/>
  <c r="M365" i="1"/>
  <c r="L365" i="1"/>
  <c r="K365" i="1"/>
  <c r="I365" i="1"/>
  <c r="H365" i="1"/>
  <c r="G365" i="1"/>
  <c r="E365" i="1"/>
  <c r="D365" i="1"/>
  <c r="C365" i="1"/>
  <c r="B365" i="1"/>
  <c r="Q364" i="1"/>
  <c r="I364" i="1"/>
  <c r="H364" i="1"/>
  <c r="G364" i="1"/>
  <c r="E364" i="1"/>
  <c r="D364" i="1"/>
  <c r="C364" i="1"/>
  <c r="B364" i="1"/>
  <c r="Q363" i="1"/>
  <c r="P363" i="1"/>
  <c r="O363" i="1"/>
  <c r="L363" i="1"/>
  <c r="K363" i="1"/>
  <c r="I363" i="1"/>
  <c r="H363" i="1"/>
  <c r="G363" i="1"/>
  <c r="E363" i="1"/>
  <c r="D363" i="1"/>
  <c r="C363" i="1"/>
  <c r="B363" i="1"/>
  <c r="Q362" i="1"/>
  <c r="M362" i="1"/>
  <c r="L362" i="1"/>
  <c r="I362" i="1"/>
  <c r="H362" i="1"/>
  <c r="P362" i="1" s="1"/>
  <c r="G362" i="1"/>
  <c r="E362" i="1"/>
  <c r="D362" i="1"/>
  <c r="C362" i="1"/>
  <c r="B362" i="1"/>
  <c r="Q361" i="1"/>
  <c r="P361" i="1"/>
  <c r="O361" i="1"/>
  <c r="M361" i="1"/>
  <c r="L361" i="1"/>
  <c r="K361" i="1"/>
  <c r="I361" i="1"/>
  <c r="H361" i="1"/>
  <c r="G361" i="1"/>
  <c r="E361" i="1"/>
  <c r="D361" i="1"/>
  <c r="C361" i="1"/>
  <c r="B361" i="1"/>
  <c r="Q360" i="1"/>
  <c r="I360" i="1"/>
  <c r="H360" i="1"/>
  <c r="G360" i="1"/>
  <c r="E360" i="1"/>
  <c r="D360" i="1"/>
  <c r="C360" i="1"/>
  <c r="B360" i="1"/>
  <c r="Q359" i="1"/>
  <c r="P359" i="1"/>
  <c r="O359" i="1"/>
  <c r="L359" i="1"/>
  <c r="K359" i="1"/>
  <c r="I359" i="1"/>
  <c r="H359" i="1"/>
  <c r="G359" i="1"/>
  <c r="E359" i="1"/>
  <c r="D359" i="1"/>
  <c r="C359" i="1"/>
  <c r="B359" i="1"/>
  <c r="Q358" i="1"/>
  <c r="M358" i="1"/>
  <c r="L358" i="1"/>
  <c r="I358" i="1"/>
  <c r="H358" i="1"/>
  <c r="P358" i="1" s="1"/>
  <c r="G358" i="1"/>
  <c r="E358" i="1"/>
  <c r="D358" i="1"/>
  <c r="C358" i="1"/>
  <c r="B358" i="1"/>
  <c r="Q357" i="1"/>
  <c r="P357" i="1"/>
  <c r="O357" i="1"/>
  <c r="M357" i="1"/>
  <c r="L357" i="1"/>
  <c r="K357" i="1"/>
  <c r="I357" i="1"/>
  <c r="H357" i="1"/>
  <c r="G357" i="1"/>
  <c r="E357" i="1"/>
  <c r="D357" i="1"/>
  <c r="C357" i="1"/>
  <c r="B357" i="1"/>
  <c r="Q356" i="1"/>
  <c r="I356" i="1"/>
  <c r="H356" i="1"/>
  <c r="G356" i="1"/>
  <c r="E356" i="1"/>
  <c r="D356" i="1"/>
  <c r="C356" i="1"/>
  <c r="B356" i="1"/>
  <c r="Q355" i="1"/>
  <c r="P355" i="1"/>
  <c r="O355" i="1"/>
  <c r="L355" i="1"/>
  <c r="K355" i="1"/>
  <c r="I355" i="1"/>
  <c r="H355" i="1"/>
  <c r="G355" i="1"/>
  <c r="E355" i="1"/>
  <c r="D355" i="1"/>
  <c r="C355" i="1"/>
  <c r="B355" i="1"/>
  <c r="Q354" i="1"/>
  <c r="M354" i="1"/>
  <c r="L354" i="1"/>
  <c r="I354" i="1"/>
  <c r="H354" i="1"/>
  <c r="P354" i="1" s="1"/>
  <c r="G354" i="1"/>
  <c r="E354" i="1"/>
  <c r="D354" i="1"/>
  <c r="C354" i="1"/>
  <c r="B354" i="1"/>
  <c r="Q353" i="1"/>
  <c r="P353" i="1"/>
  <c r="O353" i="1"/>
  <c r="M353" i="1"/>
  <c r="L353" i="1"/>
  <c r="K353" i="1"/>
  <c r="I353" i="1"/>
  <c r="H353" i="1"/>
  <c r="G353" i="1"/>
  <c r="E353" i="1"/>
  <c r="D353" i="1"/>
  <c r="C353" i="1"/>
  <c r="B353" i="1"/>
  <c r="Q352" i="1"/>
  <c r="I352" i="1"/>
  <c r="H352" i="1"/>
  <c r="G352" i="1"/>
  <c r="E352" i="1"/>
  <c r="D352" i="1"/>
  <c r="C352" i="1"/>
  <c r="B352" i="1"/>
  <c r="Q351" i="1"/>
  <c r="P351" i="1"/>
  <c r="I351" i="1"/>
  <c r="H351" i="1"/>
  <c r="G351" i="1"/>
  <c r="E351" i="1"/>
  <c r="D351" i="1"/>
  <c r="C351" i="1"/>
  <c r="B351" i="1"/>
  <c r="Q350" i="1"/>
  <c r="P350" i="1"/>
  <c r="O350" i="1"/>
  <c r="L350" i="1"/>
  <c r="K350" i="1"/>
  <c r="J350" i="1"/>
  <c r="I350" i="1"/>
  <c r="H350" i="1"/>
  <c r="N350" i="1" s="1"/>
  <c r="G350" i="1"/>
  <c r="E350" i="1"/>
  <c r="D350" i="1"/>
  <c r="C350" i="1"/>
  <c r="B350" i="1"/>
  <c r="Q349" i="1"/>
  <c r="P349" i="1"/>
  <c r="O349" i="1"/>
  <c r="M349" i="1"/>
  <c r="K349" i="1"/>
  <c r="J349" i="1"/>
  <c r="I349" i="1"/>
  <c r="H349" i="1"/>
  <c r="N349" i="1" s="1"/>
  <c r="G349" i="1"/>
  <c r="E349" i="1"/>
  <c r="D349" i="1"/>
  <c r="C349" i="1"/>
  <c r="B349" i="1"/>
  <c r="Q348" i="1"/>
  <c r="M348" i="1"/>
  <c r="L348" i="1"/>
  <c r="J348" i="1"/>
  <c r="I348" i="1"/>
  <c r="H348" i="1"/>
  <c r="N348" i="1" s="1"/>
  <c r="G348" i="1"/>
  <c r="E348" i="1"/>
  <c r="D348" i="1"/>
  <c r="C348" i="1"/>
  <c r="B348" i="1"/>
  <c r="Q347" i="1"/>
  <c r="P347" i="1"/>
  <c r="L347" i="1"/>
  <c r="K347" i="1"/>
  <c r="I347" i="1"/>
  <c r="H347" i="1"/>
  <c r="N347" i="1" s="1"/>
  <c r="G347" i="1"/>
  <c r="E347" i="1"/>
  <c r="D347" i="1"/>
  <c r="C347" i="1"/>
  <c r="B347" i="1"/>
  <c r="Q346" i="1"/>
  <c r="K346" i="1"/>
  <c r="J346" i="1"/>
  <c r="I346" i="1"/>
  <c r="H346" i="1"/>
  <c r="N346" i="1" s="1"/>
  <c r="G346" i="1"/>
  <c r="E346" i="1"/>
  <c r="D346" i="1"/>
  <c r="C346" i="1"/>
  <c r="B346" i="1"/>
  <c r="Q345" i="1"/>
  <c r="P345" i="1"/>
  <c r="O345" i="1"/>
  <c r="M345" i="1"/>
  <c r="L345" i="1"/>
  <c r="K345" i="1"/>
  <c r="J345" i="1"/>
  <c r="I345" i="1"/>
  <c r="H345" i="1"/>
  <c r="N345" i="1" s="1"/>
  <c r="G345" i="1"/>
  <c r="E345" i="1"/>
  <c r="D345" i="1"/>
  <c r="C345" i="1"/>
  <c r="B345" i="1"/>
  <c r="Q344" i="1"/>
  <c r="I344" i="1"/>
  <c r="H344" i="1"/>
  <c r="G344" i="1"/>
  <c r="E344" i="1"/>
  <c r="D344" i="1"/>
  <c r="C344" i="1"/>
  <c r="B344" i="1"/>
  <c r="Q343" i="1"/>
  <c r="P343" i="1"/>
  <c r="I343" i="1"/>
  <c r="H343" i="1"/>
  <c r="G343" i="1"/>
  <c r="E343" i="1"/>
  <c r="D343" i="1"/>
  <c r="C343" i="1"/>
  <c r="B343" i="1"/>
  <c r="Q342" i="1"/>
  <c r="P342" i="1"/>
  <c r="O342" i="1"/>
  <c r="L342" i="1"/>
  <c r="K342" i="1"/>
  <c r="J342" i="1"/>
  <c r="I342" i="1"/>
  <c r="H342" i="1"/>
  <c r="N342" i="1" s="1"/>
  <c r="G342" i="1"/>
  <c r="E342" i="1"/>
  <c r="D342" i="1"/>
  <c r="C342" i="1"/>
  <c r="B342" i="1"/>
  <c r="Q341" i="1"/>
  <c r="P341" i="1"/>
  <c r="O341" i="1"/>
  <c r="M341" i="1"/>
  <c r="K341" i="1"/>
  <c r="J341" i="1"/>
  <c r="I341" i="1"/>
  <c r="H341" i="1"/>
  <c r="N341" i="1" s="1"/>
  <c r="G341" i="1"/>
  <c r="E341" i="1"/>
  <c r="D341" i="1"/>
  <c r="C341" i="1"/>
  <c r="B341" i="1"/>
  <c r="Q340" i="1"/>
  <c r="M340" i="1"/>
  <c r="L340" i="1"/>
  <c r="J340" i="1"/>
  <c r="I340" i="1"/>
  <c r="H340" i="1"/>
  <c r="N340" i="1" s="1"/>
  <c r="G340" i="1"/>
  <c r="E340" i="1"/>
  <c r="D340" i="1"/>
  <c r="C340" i="1"/>
  <c r="B340" i="1"/>
  <c r="Q339" i="1"/>
  <c r="P339" i="1"/>
  <c r="L339" i="1"/>
  <c r="K339" i="1"/>
  <c r="I339" i="1"/>
  <c r="H339" i="1"/>
  <c r="N339" i="1" s="1"/>
  <c r="G339" i="1"/>
  <c r="E339" i="1"/>
  <c r="D339" i="1"/>
  <c r="C339" i="1"/>
  <c r="B339" i="1"/>
  <c r="Q338" i="1"/>
  <c r="O338" i="1"/>
  <c r="L338" i="1"/>
  <c r="K338" i="1"/>
  <c r="I338" i="1"/>
  <c r="H338" i="1"/>
  <c r="J338" i="1" s="1"/>
  <c r="G338" i="1"/>
  <c r="E338" i="1"/>
  <c r="D338" i="1"/>
  <c r="C338" i="1"/>
  <c r="B338" i="1"/>
  <c r="Q337" i="1"/>
  <c r="O337" i="1"/>
  <c r="L337" i="1"/>
  <c r="K337" i="1"/>
  <c r="I337" i="1"/>
  <c r="H337" i="1"/>
  <c r="J337" i="1" s="1"/>
  <c r="G337" i="1"/>
  <c r="E337" i="1"/>
  <c r="D337" i="1"/>
  <c r="C337" i="1"/>
  <c r="B337" i="1"/>
  <c r="Q336" i="1"/>
  <c r="O336" i="1"/>
  <c r="L336" i="1"/>
  <c r="K336" i="1"/>
  <c r="I336" i="1"/>
  <c r="H336" i="1"/>
  <c r="J336" i="1" s="1"/>
  <c r="G336" i="1"/>
  <c r="E336" i="1"/>
  <c r="D336" i="1"/>
  <c r="C336" i="1"/>
  <c r="B336" i="1"/>
  <c r="Q335" i="1"/>
  <c r="O335" i="1"/>
  <c r="L335" i="1"/>
  <c r="K335" i="1"/>
  <c r="I335" i="1"/>
  <c r="H335" i="1"/>
  <c r="J335" i="1" s="1"/>
  <c r="G335" i="1"/>
  <c r="E335" i="1"/>
  <c r="D335" i="1"/>
  <c r="C335" i="1"/>
  <c r="B335" i="1"/>
  <c r="Q334" i="1"/>
  <c r="O334" i="1"/>
  <c r="L334" i="1"/>
  <c r="K334" i="1"/>
  <c r="I334" i="1"/>
  <c r="H334" i="1"/>
  <c r="J334" i="1" s="1"/>
  <c r="G334" i="1"/>
  <c r="E334" i="1"/>
  <c r="D334" i="1"/>
  <c r="C334" i="1"/>
  <c r="B334" i="1"/>
  <c r="Q333" i="1"/>
  <c r="O333" i="1"/>
  <c r="L333" i="1"/>
  <c r="K333" i="1"/>
  <c r="I333" i="1"/>
  <c r="H333" i="1"/>
  <c r="J333" i="1" s="1"/>
  <c r="G333" i="1"/>
  <c r="E333" i="1"/>
  <c r="D333" i="1"/>
  <c r="C333" i="1"/>
  <c r="B333" i="1"/>
  <c r="Q332" i="1"/>
  <c r="O332" i="1"/>
  <c r="L332" i="1"/>
  <c r="K332" i="1"/>
  <c r="I332" i="1"/>
  <c r="H332" i="1"/>
  <c r="J332" i="1" s="1"/>
  <c r="G332" i="1"/>
  <c r="E332" i="1"/>
  <c r="D332" i="1"/>
  <c r="C332" i="1"/>
  <c r="B332" i="1"/>
  <c r="Q331" i="1"/>
  <c r="O331" i="1"/>
  <c r="L331" i="1"/>
  <c r="K331" i="1"/>
  <c r="I331" i="1"/>
  <c r="H331" i="1"/>
  <c r="J331" i="1" s="1"/>
  <c r="G331" i="1"/>
  <c r="E331" i="1"/>
  <c r="D331" i="1"/>
  <c r="C331" i="1"/>
  <c r="B331" i="1"/>
  <c r="Q330" i="1"/>
  <c r="O330" i="1"/>
  <c r="L330" i="1"/>
  <c r="K330" i="1"/>
  <c r="I330" i="1"/>
  <c r="H330" i="1"/>
  <c r="J330" i="1" s="1"/>
  <c r="G330" i="1"/>
  <c r="E330" i="1"/>
  <c r="D330" i="1"/>
  <c r="C330" i="1"/>
  <c r="B330" i="1"/>
  <c r="Q329" i="1"/>
  <c r="O329" i="1"/>
  <c r="L329" i="1"/>
  <c r="K329" i="1"/>
  <c r="I329" i="1"/>
  <c r="H329" i="1"/>
  <c r="J329" i="1" s="1"/>
  <c r="G329" i="1"/>
  <c r="E329" i="1"/>
  <c r="D329" i="1"/>
  <c r="C329" i="1"/>
  <c r="B329" i="1"/>
  <c r="Q328" i="1"/>
  <c r="O328" i="1"/>
  <c r="L328" i="1"/>
  <c r="K328" i="1"/>
  <c r="I328" i="1"/>
  <c r="H328" i="1"/>
  <c r="J328" i="1" s="1"/>
  <c r="G328" i="1"/>
  <c r="E328" i="1"/>
  <c r="D328" i="1"/>
  <c r="C328" i="1"/>
  <c r="B328" i="1"/>
  <c r="Q327" i="1"/>
  <c r="O327" i="1"/>
  <c r="L327" i="1"/>
  <c r="K327" i="1"/>
  <c r="I327" i="1"/>
  <c r="H327" i="1"/>
  <c r="J327" i="1" s="1"/>
  <c r="G327" i="1"/>
  <c r="E327" i="1"/>
  <c r="D327" i="1"/>
  <c r="C327" i="1"/>
  <c r="B327" i="1"/>
  <c r="Q326" i="1"/>
  <c r="O326" i="1"/>
  <c r="L326" i="1"/>
  <c r="K326" i="1"/>
  <c r="I326" i="1"/>
  <c r="H326" i="1"/>
  <c r="J326" i="1" s="1"/>
  <c r="G326" i="1"/>
  <c r="E326" i="1"/>
  <c r="D326" i="1"/>
  <c r="C326" i="1"/>
  <c r="B326" i="1"/>
  <c r="Q325" i="1"/>
  <c r="O325" i="1"/>
  <c r="L325" i="1"/>
  <c r="K325" i="1"/>
  <c r="I325" i="1"/>
  <c r="H325" i="1"/>
  <c r="J325" i="1" s="1"/>
  <c r="G325" i="1"/>
  <c r="E325" i="1"/>
  <c r="D325" i="1"/>
  <c r="C325" i="1"/>
  <c r="B325" i="1"/>
  <c r="Q324" i="1"/>
  <c r="O324" i="1"/>
  <c r="L324" i="1"/>
  <c r="K324" i="1"/>
  <c r="I324" i="1"/>
  <c r="H324" i="1"/>
  <c r="J324" i="1" s="1"/>
  <c r="G324" i="1"/>
  <c r="E324" i="1"/>
  <c r="D324" i="1"/>
  <c r="C324" i="1"/>
  <c r="B324" i="1"/>
  <c r="Q323" i="1"/>
  <c r="O323" i="1"/>
  <c r="L323" i="1"/>
  <c r="K323" i="1"/>
  <c r="I323" i="1"/>
  <c r="H323" i="1"/>
  <c r="J323" i="1" s="1"/>
  <c r="G323" i="1"/>
  <c r="E323" i="1"/>
  <c r="D323" i="1"/>
  <c r="C323" i="1"/>
  <c r="B323" i="1"/>
  <c r="Q322" i="1"/>
  <c r="P322" i="1"/>
  <c r="O322" i="1"/>
  <c r="I322" i="1"/>
  <c r="H322" i="1"/>
  <c r="G322" i="1"/>
  <c r="E322" i="1"/>
  <c r="D322" i="1"/>
  <c r="C322" i="1"/>
  <c r="B322" i="1"/>
  <c r="Q321" i="1"/>
  <c r="P321" i="1"/>
  <c r="K321" i="1"/>
  <c r="I321" i="1"/>
  <c r="H321" i="1"/>
  <c r="O321" i="1" s="1"/>
  <c r="G321" i="1"/>
  <c r="E321" i="1"/>
  <c r="D321" i="1"/>
  <c r="C321" i="1"/>
  <c r="B321" i="1"/>
  <c r="Q320" i="1"/>
  <c r="P320" i="1"/>
  <c r="O320" i="1"/>
  <c r="L320" i="1"/>
  <c r="K320" i="1"/>
  <c r="I320" i="1"/>
  <c r="H320" i="1"/>
  <c r="G320" i="1"/>
  <c r="E320" i="1"/>
  <c r="D320" i="1"/>
  <c r="C320" i="1"/>
  <c r="B320" i="1"/>
  <c r="Q319" i="1"/>
  <c r="O319" i="1"/>
  <c r="L319" i="1"/>
  <c r="K319" i="1"/>
  <c r="I319" i="1"/>
  <c r="H319" i="1"/>
  <c r="P319" i="1" s="1"/>
  <c r="G319" i="1"/>
  <c r="E319" i="1"/>
  <c r="D319" i="1"/>
  <c r="C319" i="1"/>
  <c r="B319" i="1"/>
  <c r="Q318" i="1"/>
  <c r="I318" i="1"/>
  <c r="H318" i="1"/>
  <c r="G318" i="1"/>
  <c r="E318" i="1"/>
  <c r="D318" i="1"/>
  <c r="C318" i="1"/>
  <c r="B318" i="1"/>
  <c r="Q317" i="1"/>
  <c r="P317" i="1"/>
  <c r="O317" i="1"/>
  <c r="I317" i="1"/>
  <c r="H317" i="1"/>
  <c r="G317" i="1"/>
  <c r="E317" i="1"/>
  <c r="D317" i="1"/>
  <c r="C317" i="1"/>
  <c r="B317" i="1"/>
  <c r="Q316" i="1"/>
  <c r="P316" i="1"/>
  <c r="M316" i="1"/>
  <c r="L316" i="1"/>
  <c r="K316" i="1"/>
  <c r="I316" i="1"/>
  <c r="H316" i="1"/>
  <c r="O316" i="1" s="1"/>
  <c r="G316" i="1"/>
  <c r="E316" i="1"/>
  <c r="D316" i="1"/>
  <c r="C316" i="1"/>
  <c r="B316" i="1"/>
  <c r="Q315" i="1"/>
  <c r="O315" i="1"/>
  <c r="K315" i="1"/>
  <c r="I315" i="1"/>
  <c r="H315" i="1"/>
  <c r="P315" i="1" s="1"/>
  <c r="G315" i="1"/>
  <c r="E315" i="1"/>
  <c r="D315" i="1"/>
  <c r="C315" i="1"/>
  <c r="B315" i="1"/>
  <c r="Q314" i="1"/>
  <c r="I314" i="1"/>
  <c r="H314" i="1"/>
  <c r="G314" i="1"/>
  <c r="E314" i="1"/>
  <c r="D314" i="1"/>
  <c r="C314" i="1"/>
  <c r="B314" i="1"/>
  <c r="Q313" i="1"/>
  <c r="P313" i="1"/>
  <c r="O313" i="1"/>
  <c r="M313" i="1"/>
  <c r="I313" i="1"/>
  <c r="H313" i="1"/>
  <c r="G313" i="1"/>
  <c r="E313" i="1"/>
  <c r="D313" i="1"/>
  <c r="C313" i="1"/>
  <c r="B313" i="1"/>
  <c r="Q312" i="1"/>
  <c r="P312" i="1"/>
  <c r="M312" i="1"/>
  <c r="L312" i="1"/>
  <c r="K312" i="1"/>
  <c r="I312" i="1"/>
  <c r="H312" i="1"/>
  <c r="O312" i="1" s="1"/>
  <c r="G312" i="1"/>
  <c r="E312" i="1"/>
  <c r="D312" i="1"/>
  <c r="C312" i="1"/>
  <c r="B312" i="1"/>
  <c r="Q311" i="1"/>
  <c r="O311" i="1"/>
  <c r="K311" i="1"/>
  <c r="I311" i="1"/>
  <c r="H311" i="1"/>
  <c r="P311" i="1" s="1"/>
  <c r="G311" i="1"/>
  <c r="E311" i="1"/>
  <c r="D311" i="1"/>
  <c r="C311" i="1"/>
  <c r="B311" i="1"/>
  <c r="Q310" i="1"/>
  <c r="I310" i="1"/>
  <c r="H310" i="1"/>
  <c r="G310" i="1"/>
  <c r="E310" i="1"/>
  <c r="D310" i="1"/>
  <c r="C310" i="1"/>
  <c r="B310" i="1"/>
  <c r="Q309" i="1"/>
  <c r="P309" i="1"/>
  <c r="O309" i="1"/>
  <c r="M309" i="1"/>
  <c r="I309" i="1"/>
  <c r="H309" i="1"/>
  <c r="G309" i="1"/>
  <c r="E309" i="1"/>
  <c r="D309" i="1"/>
  <c r="C309" i="1"/>
  <c r="B309" i="1"/>
  <c r="Q308" i="1"/>
  <c r="P308" i="1"/>
  <c r="M308" i="1"/>
  <c r="L308" i="1"/>
  <c r="K308" i="1"/>
  <c r="I308" i="1"/>
  <c r="H308" i="1"/>
  <c r="O308" i="1" s="1"/>
  <c r="G308" i="1"/>
  <c r="E308" i="1"/>
  <c r="D308" i="1"/>
  <c r="C308" i="1"/>
  <c r="B308" i="1"/>
  <c r="Q307" i="1"/>
  <c r="O307" i="1"/>
  <c r="K307" i="1"/>
  <c r="I307" i="1"/>
  <c r="H307" i="1"/>
  <c r="P307" i="1" s="1"/>
  <c r="G307" i="1"/>
  <c r="E307" i="1"/>
  <c r="D307" i="1"/>
  <c r="C307" i="1"/>
  <c r="B307" i="1"/>
  <c r="Q306" i="1"/>
  <c r="I306" i="1"/>
  <c r="H306" i="1"/>
  <c r="G306" i="1"/>
  <c r="E306" i="1"/>
  <c r="D306" i="1"/>
  <c r="C306" i="1"/>
  <c r="B306" i="1"/>
  <c r="Q305" i="1"/>
  <c r="P305" i="1"/>
  <c r="O305" i="1"/>
  <c r="M305" i="1"/>
  <c r="I305" i="1"/>
  <c r="H305" i="1"/>
  <c r="G305" i="1"/>
  <c r="E305" i="1"/>
  <c r="D305" i="1"/>
  <c r="C305" i="1"/>
  <c r="B305" i="1"/>
  <c r="Q304" i="1"/>
  <c r="P304" i="1"/>
  <c r="M304" i="1"/>
  <c r="L304" i="1"/>
  <c r="K304" i="1"/>
  <c r="I304" i="1"/>
  <c r="H304" i="1"/>
  <c r="O304" i="1" s="1"/>
  <c r="G304" i="1"/>
  <c r="E304" i="1"/>
  <c r="D304" i="1"/>
  <c r="C304" i="1"/>
  <c r="B304" i="1"/>
  <c r="Q303" i="1"/>
  <c r="O303" i="1"/>
  <c r="K303" i="1"/>
  <c r="I303" i="1"/>
  <c r="H303" i="1"/>
  <c r="P303" i="1" s="1"/>
  <c r="G303" i="1"/>
  <c r="E303" i="1"/>
  <c r="D303" i="1"/>
  <c r="C303" i="1"/>
  <c r="B303" i="1"/>
  <c r="Q302" i="1"/>
  <c r="I302" i="1"/>
  <c r="H302" i="1"/>
  <c r="G302" i="1"/>
  <c r="E302" i="1"/>
  <c r="D302" i="1"/>
  <c r="C302" i="1"/>
  <c r="B302" i="1"/>
  <c r="Q301" i="1"/>
  <c r="P301" i="1"/>
  <c r="O301" i="1"/>
  <c r="M301" i="1"/>
  <c r="I301" i="1"/>
  <c r="H301" i="1"/>
  <c r="G301" i="1"/>
  <c r="E301" i="1"/>
  <c r="D301" i="1"/>
  <c r="C301" i="1"/>
  <c r="B301" i="1"/>
  <c r="Q300" i="1"/>
  <c r="P300" i="1"/>
  <c r="M300" i="1"/>
  <c r="L300" i="1"/>
  <c r="K300" i="1"/>
  <c r="I300" i="1"/>
  <c r="H300" i="1"/>
  <c r="O300" i="1" s="1"/>
  <c r="G300" i="1"/>
  <c r="E300" i="1"/>
  <c r="D300" i="1"/>
  <c r="C300" i="1"/>
  <c r="B300" i="1"/>
  <c r="Q299" i="1"/>
  <c r="O299" i="1"/>
  <c r="K299" i="1"/>
  <c r="I299" i="1"/>
  <c r="H299" i="1"/>
  <c r="P299" i="1" s="1"/>
  <c r="G299" i="1"/>
  <c r="E299" i="1"/>
  <c r="D299" i="1"/>
  <c r="C299" i="1"/>
  <c r="B299" i="1"/>
  <c r="Q298" i="1"/>
  <c r="I298" i="1"/>
  <c r="H298" i="1"/>
  <c r="G298" i="1"/>
  <c r="E298" i="1"/>
  <c r="D298" i="1"/>
  <c r="C298" i="1"/>
  <c r="B298" i="1"/>
  <c r="Q297" i="1"/>
  <c r="P297" i="1"/>
  <c r="O297" i="1"/>
  <c r="M297" i="1"/>
  <c r="I297" i="1"/>
  <c r="H297" i="1"/>
  <c r="G297" i="1"/>
  <c r="E297" i="1"/>
  <c r="D297" i="1"/>
  <c r="C297" i="1"/>
  <c r="B297" i="1"/>
  <c r="Q296" i="1"/>
  <c r="P296" i="1"/>
  <c r="M296" i="1"/>
  <c r="L296" i="1"/>
  <c r="K296" i="1"/>
  <c r="I296" i="1"/>
  <c r="H296" i="1"/>
  <c r="O296" i="1" s="1"/>
  <c r="G296" i="1"/>
  <c r="E296" i="1"/>
  <c r="D296" i="1"/>
  <c r="C296" i="1"/>
  <c r="B296" i="1"/>
  <c r="Q295" i="1"/>
  <c r="O295" i="1"/>
  <c r="K295" i="1"/>
  <c r="I295" i="1"/>
  <c r="H295" i="1"/>
  <c r="P295" i="1" s="1"/>
  <c r="G295" i="1"/>
  <c r="E295" i="1"/>
  <c r="D295" i="1"/>
  <c r="C295" i="1"/>
  <c r="B295" i="1"/>
  <c r="Q294" i="1"/>
  <c r="I294" i="1"/>
  <c r="H294" i="1"/>
  <c r="G294" i="1"/>
  <c r="E294" i="1"/>
  <c r="D294" i="1"/>
  <c r="C294" i="1"/>
  <c r="B294" i="1"/>
  <c r="Q293" i="1"/>
  <c r="P293" i="1"/>
  <c r="O293" i="1"/>
  <c r="M293" i="1"/>
  <c r="I293" i="1"/>
  <c r="H293" i="1"/>
  <c r="G293" i="1"/>
  <c r="E293" i="1"/>
  <c r="D293" i="1"/>
  <c r="C293" i="1"/>
  <c r="B293" i="1"/>
  <c r="Q292" i="1"/>
  <c r="P292" i="1"/>
  <c r="M292" i="1"/>
  <c r="L292" i="1"/>
  <c r="K292" i="1"/>
  <c r="I292" i="1"/>
  <c r="H292" i="1"/>
  <c r="O292" i="1" s="1"/>
  <c r="G292" i="1"/>
  <c r="E292" i="1"/>
  <c r="D292" i="1"/>
  <c r="C292" i="1"/>
  <c r="B292" i="1"/>
  <c r="Q291" i="1"/>
  <c r="O291" i="1"/>
  <c r="K291" i="1"/>
  <c r="I291" i="1"/>
  <c r="H291" i="1"/>
  <c r="P291" i="1" s="1"/>
  <c r="G291" i="1"/>
  <c r="E291" i="1"/>
  <c r="D291" i="1"/>
  <c r="C291" i="1"/>
  <c r="B291" i="1"/>
  <c r="Q290" i="1"/>
  <c r="I290" i="1"/>
  <c r="H290" i="1"/>
  <c r="G290" i="1"/>
  <c r="E290" i="1"/>
  <c r="D290" i="1"/>
  <c r="C290" i="1"/>
  <c r="B290" i="1"/>
  <c r="Q289" i="1"/>
  <c r="P289" i="1"/>
  <c r="O289" i="1"/>
  <c r="M289" i="1"/>
  <c r="I289" i="1"/>
  <c r="H289" i="1"/>
  <c r="G289" i="1"/>
  <c r="E289" i="1"/>
  <c r="D289" i="1"/>
  <c r="C289" i="1"/>
  <c r="B289" i="1"/>
  <c r="Q288" i="1"/>
  <c r="P288" i="1"/>
  <c r="O288" i="1"/>
  <c r="M288" i="1"/>
  <c r="L288" i="1"/>
  <c r="K288" i="1"/>
  <c r="I288" i="1"/>
  <c r="H288" i="1"/>
  <c r="G288" i="1"/>
  <c r="E288" i="1"/>
  <c r="D288" i="1"/>
  <c r="C288" i="1"/>
  <c r="B288" i="1"/>
  <c r="Q287" i="1"/>
  <c r="O287" i="1"/>
  <c r="K287" i="1"/>
  <c r="I287" i="1"/>
  <c r="H287" i="1"/>
  <c r="P287" i="1" s="1"/>
  <c r="G287" i="1"/>
  <c r="E287" i="1"/>
  <c r="D287" i="1"/>
  <c r="C287" i="1"/>
  <c r="B287" i="1"/>
  <c r="Q286" i="1"/>
  <c r="I286" i="1"/>
  <c r="H286" i="1"/>
  <c r="G286" i="1"/>
  <c r="E286" i="1"/>
  <c r="D286" i="1"/>
  <c r="C286" i="1"/>
  <c r="B286" i="1"/>
  <c r="Q285" i="1"/>
  <c r="P285" i="1"/>
  <c r="O285" i="1"/>
  <c r="M285" i="1"/>
  <c r="I285" i="1"/>
  <c r="H285" i="1"/>
  <c r="G285" i="1"/>
  <c r="E285" i="1"/>
  <c r="D285" i="1"/>
  <c r="C285" i="1"/>
  <c r="B285" i="1"/>
  <c r="Q284" i="1"/>
  <c r="P284" i="1"/>
  <c r="O284" i="1"/>
  <c r="M284" i="1"/>
  <c r="L284" i="1"/>
  <c r="K284" i="1"/>
  <c r="I284" i="1"/>
  <c r="H284" i="1"/>
  <c r="G284" i="1"/>
  <c r="E284" i="1"/>
  <c r="D284" i="1"/>
  <c r="C284" i="1"/>
  <c r="B284" i="1"/>
  <c r="Q283" i="1"/>
  <c r="O283" i="1"/>
  <c r="K283" i="1"/>
  <c r="I283" i="1"/>
  <c r="H283" i="1"/>
  <c r="P283" i="1" s="1"/>
  <c r="G283" i="1"/>
  <c r="E283" i="1"/>
  <c r="D283" i="1"/>
  <c r="C283" i="1"/>
  <c r="B283" i="1"/>
  <c r="Q282" i="1"/>
  <c r="I282" i="1"/>
  <c r="H282" i="1"/>
  <c r="G282" i="1"/>
  <c r="E282" i="1"/>
  <c r="D282" i="1"/>
  <c r="C282" i="1"/>
  <c r="B282" i="1"/>
  <c r="Q281" i="1"/>
  <c r="P281" i="1"/>
  <c r="O281" i="1"/>
  <c r="M281" i="1"/>
  <c r="I281" i="1"/>
  <c r="H281" i="1"/>
  <c r="G281" i="1"/>
  <c r="E281" i="1"/>
  <c r="D281" i="1"/>
  <c r="C281" i="1"/>
  <c r="B281" i="1"/>
  <c r="Q280" i="1"/>
  <c r="P280" i="1"/>
  <c r="O280" i="1"/>
  <c r="M280" i="1"/>
  <c r="L280" i="1"/>
  <c r="K280" i="1"/>
  <c r="I280" i="1"/>
  <c r="H280" i="1"/>
  <c r="G280" i="1"/>
  <c r="E280" i="1"/>
  <c r="D280" i="1"/>
  <c r="C280" i="1"/>
  <c r="B280" i="1"/>
  <c r="Q279" i="1"/>
  <c r="O279" i="1"/>
  <c r="K279" i="1"/>
  <c r="I279" i="1"/>
  <c r="H279" i="1"/>
  <c r="P279" i="1" s="1"/>
  <c r="G279" i="1"/>
  <c r="E279" i="1"/>
  <c r="D279" i="1"/>
  <c r="C279" i="1"/>
  <c r="B279" i="1"/>
  <c r="Q278" i="1"/>
  <c r="I278" i="1"/>
  <c r="H278" i="1"/>
  <c r="G278" i="1"/>
  <c r="E278" i="1"/>
  <c r="D278" i="1"/>
  <c r="C278" i="1"/>
  <c r="B278" i="1"/>
  <c r="Q277" i="1"/>
  <c r="P277" i="1"/>
  <c r="O277" i="1"/>
  <c r="M277" i="1"/>
  <c r="I277" i="1"/>
  <c r="H277" i="1"/>
  <c r="G277" i="1"/>
  <c r="E277" i="1"/>
  <c r="D277" i="1"/>
  <c r="C277" i="1"/>
  <c r="B277" i="1"/>
  <c r="Q276" i="1"/>
  <c r="P276" i="1"/>
  <c r="O276" i="1"/>
  <c r="M276" i="1"/>
  <c r="L276" i="1"/>
  <c r="K276" i="1"/>
  <c r="I276" i="1"/>
  <c r="H276" i="1"/>
  <c r="G276" i="1"/>
  <c r="E276" i="1"/>
  <c r="D276" i="1"/>
  <c r="C276" i="1"/>
  <c r="B276" i="1"/>
  <c r="Q275" i="1"/>
  <c r="O275" i="1"/>
  <c r="K275" i="1"/>
  <c r="I275" i="1"/>
  <c r="H275" i="1"/>
  <c r="P275" i="1" s="1"/>
  <c r="G275" i="1"/>
  <c r="E275" i="1"/>
  <c r="D275" i="1"/>
  <c r="C275" i="1"/>
  <c r="B275" i="1"/>
  <c r="Q274" i="1"/>
  <c r="I274" i="1"/>
  <c r="H274" i="1"/>
  <c r="G274" i="1"/>
  <c r="E274" i="1"/>
  <c r="D274" i="1"/>
  <c r="C274" i="1"/>
  <c r="B274" i="1"/>
  <c r="Q273" i="1"/>
  <c r="P273" i="1"/>
  <c r="O273" i="1"/>
  <c r="M273" i="1"/>
  <c r="I273" i="1"/>
  <c r="H273" i="1"/>
  <c r="G273" i="1"/>
  <c r="E273" i="1"/>
  <c r="D273" i="1"/>
  <c r="C273" i="1"/>
  <c r="B273" i="1"/>
  <c r="Q272" i="1"/>
  <c r="P272" i="1"/>
  <c r="O272" i="1"/>
  <c r="M272" i="1"/>
  <c r="L272" i="1"/>
  <c r="K272" i="1"/>
  <c r="I272" i="1"/>
  <c r="H272" i="1"/>
  <c r="G272" i="1"/>
  <c r="E272" i="1"/>
  <c r="D272" i="1"/>
  <c r="C272" i="1"/>
  <c r="B272" i="1"/>
  <c r="Q271" i="1"/>
  <c r="O271" i="1"/>
  <c r="K271" i="1"/>
  <c r="I271" i="1"/>
  <c r="H271" i="1"/>
  <c r="P271" i="1" s="1"/>
  <c r="G271" i="1"/>
  <c r="E271" i="1"/>
  <c r="D271" i="1"/>
  <c r="C271" i="1"/>
  <c r="B271" i="1"/>
  <c r="Q270" i="1"/>
  <c r="I270" i="1"/>
  <c r="H270" i="1"/>
  <c r="G270" i="1"/>
  <c r="E270" i="1"/>
  <c r="D270" i="1"/>
  <c r="C270" i="1"/>
  <c r="B270" i="1"/>
  <c r="Q269" i="1"/>
  <c r="P269" i="1"/>
  <c r="O269" i="1"/>
  <c r="M269" i="1"/>
  <c r="I269" i="1"/>
  <c r="H269" i="1"/>
  <c r="G269" i="1"/>
  <c r="E269" i="1"/>
  <c r="D269" i="1"/>
  <c r="C269" i="1"/>
  <c r="B269" i="1"/>
  <c r="Q268" i="1"/>
  <c r="P268" i="1"/>
  <c r="O268" i="1"/>
  <c r="M268" i="1"/>
  <c r="L268" i="1"/>
  <c r="K268" i="1"/>
  <c r="I268" i="1"/>
  <c r="H268" i="1"/>
  <c r="G268" i="1"/>
  <c r="E268" i="1"/>
  <c r="D268" i="1"/>
  <c r="C268" i="1"/>
  <c r="B268" i="1"/>
  <c r="Q267" i="1"/>
  <c r="O267" i="1"/>
  <c r="K267" i="1"/>
  <c r="I267" i="1"/>
  <c r="H267" i="1"/>
  <c r="P267" i="1" s="1"/>
  <c r="G267" i="1"/>
  <c r="E267" i="1"/>
  <c r="D267" i="1"/>
  <c r="C267" i="1"/>
  <c r="B267" i="1"/>
  <c r="Q266" i="1"/>
  <c r="I266" i="1"/>
  <c r="H266" i="1"/>
  <c r="G266" i="1"/>
  <c r="E266" i="1"/>
  <c r="D266" i="1"/>
  <c r="C266" i="1"/>
  <c r="B266" i="1"/>
  <c r="Q265" i="1"/>
  <c r="P265" i="1"/>
  <c r="O265" i="1"/>
  <c r="M265" i="1"/>
  <c r="I265" i="1"/>
  <c r="H265" i="1"/>
  <c r="G265" i="1"/>
  <c r="E265" i="1"/>
  <c r="D265" i="1"/>
  <c r="C265" i="1"/>
  <c r="B265" i="1"/>
  <c r="Q264" i="1"/>
  <c r="P264" i="1"/>
  <c r="O264" i="1"/>
  <c r="M264" i="1"/>
  <c r="L264" i="1"/>
  <c r="K264" i="1"/>
  <c r="I264" i="1"/>
  <c r="H264" i="1"/>
  <c r="G264" i="1"/>
  <c r="E264" i="1"/>
  <c r="D264" i="1"/>
  <c r="C264" i="1"/>
  <c r="B264" i="1"/>
  <c r="Q263" i="1"/>
  <c r="O263" i="1"/>
  <c r="K263" i="1"/>
  <c r="I263" i="1"/>
  <c r="H263" i="1"/>
  <c r="P263" i="1" s="1"/>
  <c r="G263" i="1"/>
  <c r="E263" i="1"/>
  <c r="D263" i="1"/>
  <c r="C263" i="1"/>
  <c r="B263" i="1"/>
  <c r="Q262" i="1"/>
  <c r="I262" i="1"/>
  <c r="H262" i="1"/>
  <c r="G262" i="1"/>
  <c r="E262" i="1"/>
  <c r="D262" i="1"/>
  <c r="C262" i="1"/>
  <c r="B262" i="1"/>
  <c r="Q261" i="1"/>
  <c r="P261" i="1"/>
  <c r="O261" i="1"/>
  <c r="M261" i="1"/>
  <c r="L261" i="1"/>
  <c r="I261" i="1"/>
  <c r="H261" i="1"/>
  <c r="G261" i="1"/>
  <c r="E261" i="1"/>
  <c r="D261" i="1"/>
  <c r="C261" i="1"/>
  <c r="B261" i="1"/>
  <c r="Q260" i="1"/>
  <c r="P260" i="1"/>
  <c r="O260" i="1"/>
  <c r="M260" i="1"/>
  <c r="L260" i="1"/>
  <c r="K260" i="1"/>
  <c r="I260" i="1"/>
  <c r="H260" i="1"/>
  <c r="G260" i="1"/>
  <c r="E260" i="1"/>
  <c r="D260" i="1"/>
  <c r="C260" i="1"/>
  <c r="B260" i="1"/>
  <c r="Q259" i="1"/>
  <c r="O259" i="1"/>
  <c r="K259" i="1"/>
  <c r="I259" i="1"/>
  <c r="H259" i="1"/>
  <c r="P259" i="1" s="1"/>
  <c r="G259" i="1"/>
  <c r="E259" i="1"/>
  <c r="D259" i="1"/>
  <c r="C259" i="1"/>
  <c r="B259" i="1"/>
  <c r="Q258" i="1"/>
  <c r="I258" i="1"/>
  <c r="H258" i="1"/>
  <c r="G258" i="1"/>
  <c r="E258" i="1"/>
  <c r="D258" i="1"/>
  <c r="C258" i="1"/>
  <c r="B258" i="1"/>
  <c r="Q257" i="1"/>
  <c r="P257" i="1"/>
  <c r="O257" i="1"/>
  <c r="M257" i="1"/>
  <c r="L257" i="1"/>
  <c r="I257" i="1"/>
  <c r="H257" i="1"/>
  <c r="G257" i="1"/>
  <c r="E257" i="1"/>
  <c r="D257" i="1"/>
  <c r="C257" i="1"/>
  <c r="B257" i="1"/>
  <c r="Q256" i="1"/>
  <c r="P256" i="1"/>
  <c r="O256" i="1"/>
  <c r="M256" i="1"/>
  <c r="L256" i="1"/>
  <c r="K256" i="1"/>
  <c r="I256" i="1"/>
  <c r="H256" i="1"/>
  <c r="G256" i="1"/>
  <c r="E256" i="1"/>
  <c r="D256" i="1"/>
  <c r="C256" i="1"/>
  <c r="B256" i="1"/>
  <c r="Q255" i="1"/>
  <c r="O255" i="1"/>
  <c r="K255" i="1"/>
  <c r="I255" i="1"/>
  <c r="H255" i="1"/>
  <c r="P255" i="1" s="1"/>
  <c r="G255" i="1"/>
  <c r="E255" i="1"/>
  <c r="D255" i="1"/>
  <c r="C255" i="1"/>
  <c r="B255" i="1"/>
  <c r="Q254" i="1"/>
  <c r="L254" i="1"/>
  <c r="I254" i="1"/>
  <c r="H254" i="1"/>
  <c r="G254" i="1"/>
  <c r="E254" i="1"/>
  <c r="D254" i="1"/>
  <c r="C254" i="1"/>
  <c r="B254" i="1"/>
  <c r="Q253" i="1"/>
  <c r="P253" i="1"/>
  <c r="O253" i="1"/>
  <c r="M253" i="1"/>
  <c r="L253" i="1"/>
  <c r="I253" i="1"/>
  <c r="H253" i="1"/>
  <c r="G253" i="1"/>
  <c r="E253" i="1"/>
  <c r="D253" i="1"/>
  <c r="C253" i="1"/>
  <c r="B253" i="1"/>
  <c r="Q252" i="1"/>
  <c r="P252" i="1"/>
  <c r="O252" i="1"/>
  <c r="M252" i="1"/>
  <c r="L252" i="1"/>
  <c r="K252" i="1"/>
  <c r="I252" i="1"/>
  <c r="H252" i="1"/>
  <c r="G252" i="1"/>
  <c r="E252" i="1"/>
  <c r="D252" i="1"/>
  <c r="C252" i="1"/>
  <c r="B252" i="1"/>
  <c r="Q251" i="1"/>
  <c r="O251" i="1"/>
  <c r="K251" i="1"/>
  <c r="I251" i="1"/>
  <c r="H251" i="1"/>
  <c r="P251" i="1" s="1"/>
  <c r="G251" i="1"/>
  <c r="E251" i="1"/>
  <c r="D251" i="1"/>
  <c r="C251" i="1"/>
  <c r="B251" i="1"/>
  <c r="Q250" i="1"/>
  <c r="L250" i="1"/>
  <c r="I250" i="1"/>
  <c r="H250" i="1"/>
  <c r="G250" i="1"/>
  <c r="E250" i="1"/>
  <c r="D250" i="1"/>
  <c r="C250" i="1"/>
  <c r="B250" i="1"/>
  <c r="Q249" i="1"/>
  <c r="P249" i="1"/>
  <c r="O249" i="1"/>
  <c r="M249" i="1"/>
  <c r="L249" i="1"/>
  <c r="I249" i="1"/>
  <c r="H249" i="1"/>
  <c r="G249" i="1"/>
  <c r="E249" i="1"/>
  <c r="D249" i="1"/>
  <c r="C249" i="1"/>
  <c r="B249" i="1"/>
  <c r="Q248" i="1"/>
  <c r="P248" i="1"/>
  <c r="O248" i="1"/>
  <c r="M248" i="1"/>
  <c r="L248" i="1"/>
  <c r="K248" i="1"/>
  <c r="I248" i="1"/>
  <c r="H248" i="1"/>
  <c r="G248" i="1"/>
  <c r="E248" i="1"/>
  <c r="D248" i="1"/>
  <c r="C248" i="1"/>
  <c r="B248" i="1"/>
  <c r="Q247" i="1"/>
  <c r="O247" i="1"/>
  <c r="K247" i="1"/>
  <c r="I247" i="1"/>
  <c r="H247" i="1"/>
  <c r="P247" i="1" s="1"/>
  <c r="G247" i="1"/>
  <c r="E247" i="1"/>
  <c r="D247" i="1"/>
  <c r="C247" i="1"/>
  <c r="B247" i="1"/>
  <c r="Q246" i="1"/>
  <c r="M246" i="1"/>
  <c r="I246" i="1"/>
  <c r="H246" i="1"/>
  <c r="G246" i="1"/>
  <c r="E246" i="1"/>
  <c r="D246" i="1"/>
  <c r="C246" i="1"/>
  <c r="B246" i="1"/>
  <c r="Q245" i="1"/>
  <c r="P245" i="1"/>
  <c r="L245" i="1"/>
  <c r="I245" i="1"/>
  <c r="H245" i="1"/>
  <c r="G245" i="1"/>
  <c r="E245" i="1"/>
  <c r="D245" i="1"/>
  <c r="C245" i="1"/>
  <c r="B245" i="1"/>
  <c r="Q244" i="1"/>
  <c r="P244" i="1"/>
  <c r="O244" i="1"/>
  <c r="N244" i="1"/>
  <c r="K244" i="1"/>
  <c r="I244" i="1"/>
  <c r="H244" i="1"/>
  <c r="J244" i="1" s="1"/>
  <c r="G244" i="1"/>
  <c r="E244" i="1"/>
  <c r="D244" i="1"/>
  <c r="C244" i="1"/>
  <c r="B244" i="1"/>
  <c r="Q243" i="1"/>
  <c r="P243" i="1"/>
  <c r="O243" i="1"/>
  <c r="N243" i="1"/>
  <c r="M243" i="1"/>
  <c r="L243" i="1"/>
  <c r="I243" i="1"/>
  <c r="H243" i="1"/>
  <c r="J243" i="1" s="1"/>
  <c r="G243" i="1"/>
  <c r="E243" i="1"/>
  <c r="D243" i="1"/>
  <c r="C243" i="1"/>
  <c r="B243" i="1"/>
  <c r="Q242" i="1"/>
  <c r="N242" i="1"/>
  <c r="I242" i="1"/>
  <c r="H242" i="1"/>
  <c r="G242" i="1"/>
  <c r="E242" i="1"/>
  <c r="D242" i="1"/>
  <c r="C242" i="1"/>
  <c r="B242" i="1"/>
  <c r="Q241" i="1"/>
  <c r="P241" i="1"/>
  <c r="O241" i="1"/>
  <c r="N241" i="1"/>
  <c r="M241" i="1"/>
  <c r="L241" i="1"/>
  <c r="K241" i="1"/>
  <c r="I241" i="1"/>
  <c r="H241" i="1"/>
  <c r="J241" i="1" s="1"/>
  <c r="G241" i="1"/>
  <c r="E241" i="1"/>
  <c r="D241" i="1"/>
  <c r="C241" i="1"/>
  <c r="B241" i="1"/>
  <c r="Q240" i="1"/>
  <c r="O240" i="1"/>
  <c r="M240" i="1"/>
  <c r="L240" i="1"/>
  <c r="K240" i="1"/>
  <c r="I240" i="1"/>
  <c r="H240" i="1"/>
  <c r="J240" i="1" s="1"/>
  <c r="G240" i="1"/>
  <c r="E240" i="1"/>
  <c r="D240" i="1"/>
  <c r="C240" i="1"/>
  <c r="B240" i="1"/>
  <c r="Q239" i="1"/>
  <c r="N239" i="1"/>
  <c r="K239" i="1"/>
  <c r="I239" i="1"/>
  <c r="H239" i="1"/>
  <c r="J239" i="1" s="1"/>
  <c r="G239" i="1"/>
  <c r="E239" i="1"/>
  <c r="D239" i="1"/>
  <c r="C239" i="1"/>
  <c r="B239" i="1"/>
  <c r="Q238" i="1"/>
  <c r="M238" i="1"/>
  <c r="I238" i="1"/>
  <c r="H238" i="1"/>
  <c r="G238" i="1"/>
  <c r="E238" i="1"/>
  <c r="D238" i="1"/>
  <c r="C238" i="1"/>
  <c r="B238" i="1"/>
  <c r="Q237" i="1"/>
  <c r="P237" i="1"/>
  <c r="I237" i="1"/>
  <c r="H237" i="1"/>
  <c r="G237" i="1"/>
  <c r="E237" i="1"/>
  <c r="D237" i="1"/>
  <c r="C237" i="1"/>
  <c r="B237" i="1"/>
  <c r="Q236" i="1"/>
  <c r="P236" i="1"/>
  <c r="O236" i="1"/>
  <c r="N236" i="1"/>
  <c r="K236" i="1"/>
  <c r="I236" i="1"/>
  <c r="H236" i="1"/>
  <c r="J236" i="1" s="1"/>
  <c r="G236" i="1"/>
  <c r="E236" i="1"/>
  <c r="D236" i="1"/>
  <c r="C236" i="1"/>
  <c r="B236" i="1"/>
  <c r="Q235" i="1"/>
  <c r="P235" i="1"/>
  <c r="O235" i="1"/>
  <c r="N235" i="1"/>
  <c r="M235" i="1"/>
  <c r="L235" i="1"/>
  <c r="I235" i="1"/>
  <c r="H235" i="1"/>
  <c r="J235" i="1" s="1"/>
  <c r="G235" i="1"/>
  <c r="E235" i="1"/>
  <c r="D235" i="1"/>
  <c r="C235" i="1"/>
  <c r="B235" i="1"/>
  <c r="Q234" i="1"/>
  <c r="N234" i="1"/>
  <c r="M234" i="1"/>
  <c r="I234" i="1"/>
  <c r="H234" i="1"/>
  <c r="G234" i="1"/>
  <c r="E234" i="1"/>
  <c r="D234" i="1"/>
  <c r="C234" i="1"/>
  <c r="B234" i="1"/>
  <c r="Q233" i="1"/>
  <c r="P233" i="1"/>
  <c r="O233" i="1"/>
  <c r="N233" i="1"/>
  <c r="M233" i="1"/>
  <c r="L233" i="1"/>
  <c r="K233" i="1"/>
  <c r="I233" i="1"/>
  <c r="H233" i="1"/>
  <c r="J233" i="1" s="1"/>
  <c r="G233" i="1"/>
  <c r="E233" i="1"/>
  <c r="D233" i="1"/>
  <c r="C233" i="1"/>
  <c r="B233" i="1"/>
  <c r="Q232" i="1"/>
  <c r="O232" i="1"/>
  <c r="M232" i="1"/>
  <c r="L232" i="1"/>
  <c r="K232" i="1"/>
  <c r="I232" i="1"/>
  <c r="H232" i="1"/>
  <c r="J232" i="1" s="1"/>
  <c r="G232" i="1"/>
  <c r="E232" i="1"/>
  <c r="D232" i="1"/>
  <c r="C232" i="1"/>
  <c r="B232" i="1"/>
  <c r="Q231" i="1"/>
  <c r="N231" i="1"/>
  <c r="K231" i="1"/>
  <c r="I231" i="1"/>
  <c r="H231" i="1"/>
  <c r="J231" i="1" s="1"/>
  <c r="G231" i="1"/>
  <c r="E231" i="1"/>
  <c r="D231" i="1"/>
  <c r="C231" i="1"/>
  <c r="B231" i="1"/>
  <c r="Q230" i="1"/>
  <c r="I230" i="1"/>
  <c r="H230" i="1"/>
  <c r="G230" i="1"/>
  <c r="E230" i="1"/>
  <c r="D230" i="1"/>
  <c r="C230" i="1"/>
  <c r="B230" i="1"/>
  <c r="Q229" i="1"/>
  <c r="P229" i="1"/>
  <c r="L229" i="1"/>
  <c r="I229" i="1"/>
  <c r="H229" i="1"/>
  <c r="G229" i="1"/>
  <c r="E229" i="1"/>
  <c r="D229" i="1"/>
  <c r="C229" i="1"/>
  <c r="B229" i="1"/>
  <c r="Q228" i="1"/>
  <c r="P228" i="1"/>
  <c r="O228" i="1"/>
  <c r="N228" i="1"/>
  <c r="K228" i="1"/>
  <c r="I228" i="1"/>
  <c r="H228" i="1"/>
  <c r="J228" i="1" s="1"/>
  <c r="G228" i="1"/>
  <c r="E228" i="1"/>
  <c r="D228" i="1"/>
  <c r="C228" i="1"/>
  <c r="B228" i="1"/>
  <c r="Q227" i="1"/>
  <c r="P227" i="1"/>
  <c r="O227" i="1"/>
  <c r="N227" i="1"/>
  <c r="M227" i="1"/>
  <c r="L227" i="1"/>
  <c r="I227" i="1"/>
  <c r="H227" i="1"/>
  <c r="J227" i="1" s="1"/>
  <c r="G227" i="1"/>
  <c r="E227" i="1"/>
  <c r="D227" i="1"/>
  <c r="C227" i="1"/>
  <c r="B227" i="1"/>
  <c r="Q226" i="1"/>
  <c r="I226" i="1"/>
  <c r="H226" i="1"/>
  <c r="G226" i="1"/>
  <c r="E226" i="1"/>
  <c r="D226" i="1"/>
  <c r="C226" i="1"/>
  <c r="B226" i="1"/>
  <c r="Q225" i="1"/>
  <c r="P225" i="1"/>
  <c r="O225" i="1"/>
  <c r="N225" i="1"/>
  <c r="M225" i="1"/>
  <c r="L225" i="1"/>
  <c r="K225" i="1"/>
  <c r="I225" i="1"/>
  <c r="H225" i="1"/>
  <c r="J225" i="1" s="1"/>
  <c r="G225" i="1"/>
  <c r="E225" i="1"/>
  <c r="D225" i="1"/>
  <c r="C225" i="1"/>
  <c r="B225" i="1"/>
  <c r="Q224" i="1"/>
  <c r="O224" i="1"/>
  <c r="M224" i="1"/>
  <c r="L224" i="1"/>
  <c r="K224" i="1"/>
  <c r="I224" i="1"/>
  <c r="H224" i="1"/>
  <c r="J224" i="1" s="1"/>
  <c r="G224" i="1"/>
  <c r="E224" i="1"/>
  <c r="D224" i="1"/>
  <c r="C224" i="1"/>
  <c r="B224" i="1"/>
  <c r="Q223" i="1"/>
  <c r="I223" i="1"/>
  <c r="H223" i="1"/>
  <c r="G223" i="1"/>
  <c r="E223" i="1"/>
  <c r="D223" i="1"/>
  <c r="C223" i="1"/>
  <c r="B223" i="1"/>
  <c r="Q222" i="1"/>
  <c r="M222" i="1"/>
  <c r="I222" i="1"/>
  <c r="H222" i="1"/>
  <c r="P222" i="1" s="1"/>
  <c r="G222" i="1"/>
  <c r="E222" i="1"/>
  <c r="D222" i="1"/>
  <c r="C222" i="1"/>
  <c r="B222" i="1"/>
  <c r="Q221" i="1"/>
  <c r="I221" i="1"/>
  <c r="H221" i="1"/>
  <c r="G221" i="1"/>
  <c r="E221" i="1"/>
  <c r="D221" i="1"/>
  <c r="C221" i="1"/>
  <c r="B221" i="1"/>
  <c r="Q220" i="1"/>
  <c r="P220" i="1"/>
  <c r="O220" i="1"/>
  <c r="N220" i="1"/>
  <c r="K220" i="1"/>
  <c r="I220" i="1"/>
  <c r="H220" i="1"/>
  <c r="J220" i="1" s="1"/>
  <c r="G220" i="1"/>
  <c r="E220" i="1"/>
  <c r="D220" i="1"/>
  <c r="C220" i="1"/>
  <c r="B220" i="1"/>
  <c r="Q219" i="1"/>
  <c r="O219" i="1"/>
  <c r="N219" i="1"/>
  <c r="M219" i="1"/>
  <c r="J219" i="1"/>
  <c r="I219" i="1"/>
  <c r="H219" i="1"/>
  <c r="L219" i="1" s="1"/>
  <c r="G219" i="1"/>
  <c r="E219" i="1"/>
  <c r="D219" i="1"/>
  <c r="C219" i="1"/>
  <c r="B219" i="1"/>
  <c r="Q218" i="1"/>
  <c r="O218" i="1"/>
  <c r="N218" i="1"/>
  <c r="M218" i="1"/>
  <c r="J218" i="1"/>
  <c r="I218" i="1"/>
  <c r="H218" i="1"/>
  <c r="L218" i="1" s="1"/>
  <c r="G218" i="1"/>
  <c r="E218" i="1"/>
  <c r="D218" i="1"/>
  <c r="C218" i="1"/>
  <c r="B218" i="1"/>
  <c r="Q217" i="1"/>
  <c r="O217" i="1"/>
  <c r="N217" i="1"/>
  <c r="M217" i="1"/>
  <c r="J217" i="1"/>
  <c r="I217" i="1"/>
  <c r="H217" i="1"/>
  <c r="L217" i="1" s="1"/>
  <c r="G217" i="1"/>
  <c r="E217" i="1"/>
  <c r="D217" i="1"/>
  <c r="C217" i="1"/>
  <c r="B217" i="1"/>
  <c r="Q216" i="1"/>
  <c r="O216" i="1"/>
  <c r="N216" i="1"/>
  <c r="M216" i="1"/>
  <c r="J216" i="1"/>
  <c r="I216" i="1"/>
  <c r="H216" i="1"/>
  <c r="L216" i="1" s="1"/>
  <c r="G216" i="1"/>
  <c r="E216" i="1"/>
  <c r="D216" i="1"/>
  <c r="C216" i="1"/>
  <c r="B216" i="1"/>
  <c r="Q215" i="1"/>
  <c r="O215" i="1"/>
  <c r="N215" i="1"/>
  <c r="M215" i="1"/>
  <c r="J215" i="1"/>
  <c r="I215" i="1"/>
  <c r="H215" i="1"/>
  <c r="L215" i="1" s="1"/>
  <c r="G215" i="1"/>
  <c r="E215" i="1"/>
  <c r="D215" i="1"/>
  <c r="C215" i="1"/>
  <c r="B215" i="1"/>
  <c r="Q214" i="1"/>
  <c r="O214" i="1"/>
  <c r="N214" i="1"/>
  <c r="M214" i="1"/>
  <c r="J214" i="1"/>
  <c r="I214" i="1"/>
  <c r="H214" i="1"/>
  <c r="L214" i="1" s="1"/>
  <c r="G214" i="1"/>
  <c r="E214" i="1"/>
  <c r="D214" i="1"/>
  <c r="C214" i="1"/>
  <c r="B214" i="1"/>
  <c r="Q213" i="1"/>
  <c r="O213" i="1"/>
  <c r="N213" i="1"/>
  <c r="M213" i="1"/>
  <c r="J213" i="1"/>
  <c r="I213" i="1"/>
  <c r="H213" i="1"/>
  <c r="L213" i="1" s="1"/>
  <c r="G213" i="1"/>
  <c r="E213" i="1"/>
  <c r="D213" i="1"/>
  <c r="C213" i="1"/>
  <c r="B213" i="1"/>
  <c r="Q212" i="1"/>
  <c r="P212" i="1"/>
  <c r="O212" i="1"/>
  <c r="N212" i="1"/>
  <c r="J212" i="1"/>
  <c r="I212" i="1"/>
  <c r="H212" i="1"/>
  <c r="G212" i="1"/>
  <c r="E212" i="1"/>
  <c r="D212" i="1"/>
  <c r="C212" i="1"/>
  <c r="B212" i="1"/>
  <c r="Q211" i="1"/>
  <c r="N211" i="1"/>
  <c r="J211" i="1"/>
  <c r="I211" i="1"/>
  <c r="H211" i="1"/>
  <c r="P211" i="1" s="1"/>
  <c r="G211" i="1"/>
  <c r="E211" i="1"/>
  <c r="D211" i="1"/>
  <c r="C211" i="1"/>
  <c r="B211" i="1"/>
  <c r="Q210" i="1"/>
  <c r="I210" i="1"/>
  <c r="H210" i="1"/>
  <c r="G210" i="1"/>
  <c r="E210" i="1"/>
  <c r="D210" i="1"/>
  <c r="C210" i="1"/>
  <c r="B210" i="1"/>
  <c r="Q209" i="1"/>
  <c r="P209" i="1"/>
  <c r="I209" i="1"/>
  <c r="H209" i="1"/>
  <c r="G209" i="1"/>
  <c r="E209" i="1"/>
  <c r="D209" i="1"/>
  <c r="C209" i="1"/>
  <c r="B209" i="1"/>
  <c r="Q208" i="1"/>
  <c r="P208" i="1"/>
  <c r="O208" i="1"/>
  <c r="N208" i="1"/>
  <c r="J208" i="1"/>
  <c r="I208" i="1"/>
  <c r="H208" i="1"/>
  <c r="G208" i="1"/>
  <c r="E208" i="1"/>
  <c r="D208" i="1"/>
  <c r="C208" i="1"/>
  <c r="B208" i="1"/>
  <c r="Q207" i="1"/>
  <c r="N207" i="1"/>
  <c r="J207" i="1"/>
  <c r="I207" i="1"/>
  <c r="H207" i="1"/>
  <c r="P207" i="1" s="1"/>
  <c r="G207" i="1"/>
  <c r="E207" i="1"/>
  <c r="D207" i="1"/>
  <c r="C207" i="1"/>
  <c r="B207" i="1"/>
  <c r="Q206" i="1"/>
  <c r="I206" i="1"/>
  <c r="H206" i="1"/>
  <c r="G206" i="1"/>
  <c r="E206" i="1"/>
  <c r="D206" i="1"/>
  <c r="C206" i="1"/>
  <c r="B206" i="1"/>
  <c r="Q205" i="1"/>
  <c r="P205" i="1"/>
  <c r="I205" i="1"/>
  <c r="H205" i="1"/>
  <c r="G205" i="1"/>
  <c r="E205" i="1"/>
  <c r="D205" i="1"/>
  <c r="C205" i="1"/>
  <c r="B205" i="1"/>
  <c r="Q204" i="1"/>
  <c r="P204" i="1"/>
  <c r="O204" i="1"/>
  <c r="N204" i="1"/>
  <c r="J204" i="1"/>
  <c r="I204" i="1"/>
  <c r="H204" i="1"/>
  <c r="G204" i="1"/>
  <c r="E204" i="1"/>
  <c r="D204" i="1"/>
  <c r="C204" i="1"/>
  <c r="B204" i="1"/>
  <c r="Q203" i="1"/>
  <c r="N203" i="1"/>
  <c r="J203" i="1"/>
  <c r="I203" i="1"/>
  <c r="H203" i="1"/>
  <c r="P203" i="1" s="1"/>
  <c r="G203" i="1"/>
  <c r="E203" i="1"/>
  <c r="D203" i="1"/>
  <c r="C203" i="1"/>
  <c r="B203" i="1"/>
  <c r="Q202" i="1"/>
  <c r="I202" i="1"/>
  <c r="H202" i="1"/>
  <c r="G202" i="1"/>
  <c r="E202" i="1"/>
  <c r="D202" i="1"/>
  <c r="C202" i="1"/>
  <c r="B202" i="1"/>
  <c r="Q201" i="1"/>
  <c r="P201" i="1"/>
  <c r="I201" i="1"/>
  <c r="H201" i="1"/>
  <c r="G201" i="1"/>
  <c r="E201" i="1"/>
  <c r="D201" i="1"/>
  <c r="C201" i="1"/>
  <c r="B201" i="1"/>
  <c r="Q200" i="1"/>
  <c r="P200" i="1"/>
  <c r="O200" i="1"/>
  <c r="N200" i="1"/>
  <c r="J200" i="1"/>
  <c r="I200" i="1"/>
  <c r="H200" i="1"/>
  <c r="G200" i="1"/>
  <c r="E200" i="1"/>
  <c r="D200" i="1"/>
  <c r="C200" i="1"/>
  <c r="B200" i="1"/>
  <c r="Q199" i="1"/>
  <c r="N199" i="1"/>
  <c r="J199" i="1"/>
  <c r="I199" i="1"/>
  <c r="H199" i="1"/>
  <c r="P199" i="1" s="1"/>
  <c r="G199" i="1"/>
  <c r="E199" i="1"/>
  <c r="D199" i="1"/>
  <c r="C199" i="1"/>
  <c r="B199" i="1"/>
  <c r="Q198" i="1"/>
  <c r="I198" i="1"/>
  <c r="H198" i="1"/>
  <c r="G198" i="1"/>
  <c r="E198" i="1"/>
  <c r="D198" i="1"/>
  <c r="C198" i="1"/>
  <c r="B198" i="1"/>
  <c r="Q197" i="1"/>
  <c r="P197" i="1"/>
  <c r="I197" i="1"/>
  <c r="H197" i="1"/>
  <c r="G197" i="1"/>
  <c r="E197" i="1"/>
  <c r="D197" i="1"/>
  <c r="C197" i="1"/>
  <c r="B197" i="1"/>
  <c r="Q196" i="1"/>
  <c r="P196" i="1"/>
  <c r="O196" i="1"/>
  <c r="N196" i="1"/>
  <c r="J196" i="1"/>
  <c r="I196" i="1"/>
  <c r="H196" i="1"/>
  <c r="G196" i="1"/>
  <c r="E196" i="1"/>
  <c r="D196" i="1"/>
  <c r="C196" i="1"/>
  <c r="B196" i="1"/>
  <c r="Q195" i="1"/>
  <c r="N195" i="1"/>
  <c r="J195" i="1"/>
  <c r="I195" i="1"/>
  <c r="H195" i="1"/>
  <c r="P195" i="1" s="1"/>
  <c r="G195" i="1"/>
  <c r="E195" i="1"/>
  <c r="D195" i="1"/>
  <c r="C195" i="1"/>
  <c r="B195" i="1"/>
  <c r="Q194" i="1"/>
  <c r="I194" i="1"/>
  <c r="H194" i="1"/>
  <c r="G194" i="1"/>
  <c r="E194" i="1"/>
  <c r="D194" i="1"/>
  <c r="C194" i="1"/>
  <c r="B194" i="1"/>
  <c r="Q193" i="1"/>
  <c r="P193" i="1"/>
  <c r="I193" i="1"/>
  <c r="H193" i="1"/>
  <c r="G193" i="1"/>
  <c r="E193" i="1"/>
  <c r="D193" i="1"/>
  <c r="C193" i="1"/>
  <c r="B193" i="1"/>
  <c r="Q192" i="1"/>
  <c r="P192" i="1"/>
  <c r="O192" i="1"/>
  <c r="N192" i="1"/>
  <c r="J192" i="1"/>
  <c r="I192" i="1"/>
  <c r="H192" i="1"/>
  <c r="G192" i="1"/>
  <c r="E192" i="1"/>
  <c r="D192" i="1"/>
  <c r="C192" i="1"/>
  <c r="B192" i="1"/>
  <c r="Q191" i="1"/>
  <c r="N191" i="1"/>
  <c r="J191" i="1"/>
  <c r="I191" i="1"/>
  <c r="H191" i="1"/>
  <c r="P191" i="1" s="1"/>
  <c r="G191" i="1"/>
  <c r="E191" i="1"/>
  <c r="D191" i="1"/>
  <c r="C191" i="1"/>
  <c r="B191" i="1"/>
  <c r="Q190" i="1"/>
  <c r="I190" i="1"/>
  <c r="H190" i="1"/>
  <c r="G190" i="1"/>
  <c r="E190" i="1"/>
  <c r="D190" i="1"/>
  <c r="C190" i="1"/>
  <c r="B190" i="1"/>
  <c r="Q189" i="1"/>
  <c r="P189" i="1"/>
  <c r="I189" i="1"/>
  <c r="H189" i="1"/>
  <c r="G189" i="1"/>
  <c r="E189" i="1"/>
  <c r="D189" i="1"/>
  <c r="C189" i="1"/>
  <c r="B189" i="1"/>
  <c r="Q188" i="1"/>
  <c r="P188" i="1"/>
  <c r="O188" i="1"/>
  <c r="N188" i="1"/>
  <c r="J188" i="1"/>
  <c r="I188" i="1"/>
  <c r="H188" i="1"/>
  <c r="G188" i="1"/>
  <c r="E188" i="1"/>
  <c r="D188" i="1"/>
  <c r="C188" i="1"/>
  <c r="B188" i="1"/>
  <c r="Q187" i="1"/>
  <c r="N187" i="1"/>
  <c r="J187" i="1"/>
  <c r="I187" i="1"/>
  <c r="H187" i="1"/>
  <c r="P187" i="1" s="1"/>
  <c r="G187" i="1"/>
  <c r="E187" i="1"/>
  <c r="D187" i="1"/>
  <c r="C187" i="1"/>
  <c r="B187" i="1"/>
  <c r="Q186" i="1"/>
  <c r="I186" i="1"/>
  <c r="H186" i="1"/>
  <c r="G186" i="1"/>
  <c r="E186" i="1"/>
  <c r="D186" i="1"/>
  <c r="C186" i="1"/>
  <c r="B186" i="1"/>
  <c r="Q185" i="1"/>
  <c r="P185" i="1"/>
  <c r="N185" i="1"/>
  <c r="M185" i="1"/>
  <c r="I185" i="1"/>
  <c r="H185" i="1"/>
  <c r="K185" i="1" s="1"/>
  <c r="G185" i="1"/>
  <c r="E185" i="1"/>
  <c r="D185" i="1"/>
  <c r="C185" i="1"/>
  <c r="B185" i="1"/>
  <c r="Q184" i="1"/>
  <c r="O184" i="1"/>
  <c r="I184" i="1"/>
  <c r="H184" i="1"/>
  <c r="K184" i="1" s="1"/>
  <c r="G184" i="1"/>
  <c r="E184" i="1"/>
  <c r="D184" i="1"/>
  <c r="C184" i="1"/>
  <c r="B184" i="1"/>
  <c r="Q183" i="1"/>
  <c r="P183" i="1"/>
  <c r="O183" i="1"/>
  <c r="N183" i="1"/>
  <c r="L183" i="1"/>
  <c r="J183" i="1"/>
  <c r="I183" i="1"/>
  <c r="H183" i="1"/>
  <c r="K183" i="1" s="1"/>
  <c r="G183" i="1"/>
  <c r="E183" i="1"/>
  <c r="D183" i="1"/>
  <c r="C183" i="1"/>
  <c r="B183" i="1"/>
  <c r="Q182" i="1"/>
  <c r="O182" i="1"/>
  <c r="N182" i="1"/>
  <c r="M182" i="1"/>
  <c r="J182" i="1"/>
  <c r="I182" i="1"/>
  <c r="H182" i="1"/>
  <c r="K182" i="1" s="1"/>
  <c r="G182" i="1"/>
  <c r="E182" i="1"/>
  <c r="D182" i="1"/>
  <c r="C182" i="1"/>
  <c r="B182" i="1"/>
  <c r="Q181" i="1"/>
  <c r="N181" i="1"/>
  <c r="L181" i="1"/>
  <c r="I181" i="1"/>
  <c r="H181" i="1"/>
  <c r="K181" i="1" s="1"/>
  <c r="G181" i="1"/>
  <c r="E181" i="1"/>
  <c r="D181" i="1"/>
  <c r="C181" i="1"/>
  <c r="B181" i="1"/>
  <c r="Q180" i="1"/>
  <c r="M180" i="1"/>
  <c r="J180" i="1"/>
  <c r="I180" i="1"/>
  <c r="H180" i="1"/>
  <c r="K180" i="1" s="1"/>
  <c r="G180" i="1"/>
  <c r="E180" i="1"/>
  <c r="D180" i="1"/>
  <c r="C180" i="1"/>
  <c r="B180" i="1"/>
  <c r="Q179" i="1"/>
  <c r="P179" i="1"/>
  <c r="O179" i="1"/>
  <c r="N179" i="1"/>
  <c r="M179" i="1"/>
  <c r="L179" i="1"/>
  <c r="J179" i="1"/>
  <c r="I179" i="1"/>
  <c r="H179" i="1"/>
  <c r="K179" i="1" s="1"/>
  <c r="G179" i="1"/>
  <c r="E179" i="1"/>
  <c r="D179" i="1"/>
  <c r="C179" i="1"/>
  <c r="B179" i="1"/>
  <c r="Q178" i="1"/>
  <c r="I178" i="1"/>
  <c r="H178" i="1"/>
  <c r="G178" i="1"/>
  <c r="E178" i="1"/>
  <c r="D178" i="1"/>
  <c r="C178" i="1"/>
  <c r="B178" i="1"/>
  <c r="Q177" i="1"/>
  <c r="P177" i="1"/>
  <c r="N177" i="1"/>
  <c r="M177" i="1"/>
  <c r="I177" i="1"/>
  <c r="H177" i="1"/>
  <c r="K177" i="1" s="1"/>
  <c r="G177" i="1"/>
  <c r="E177" i="1"/>
  <c r="D177" i="1"/>
  <c r="C177" i="1"/>
  <c r="B177" i="1"/>
  <c r="Q176" i="1"/>
  <c r="O176" i="1"/>
  <c r="I176" i="1"/>
  <c r="H176" i="1"/>
  <c r="K176" i="1" s="1"/>
  <c r="G176" i="1"/>
  <c r="E176" i="1"/>
  <c r="D176" i="1"/>
  <c r="C176" i="1"/>
  <c r="B176" i="1"/>
  <c r="Q175" i="1"/>
  <c r="P175" i="1"/>
  <c r="O175" i="1"/>
  <c r="N175" i="1"/>
  <c r="L175" i="1"/>
  <c r="J175" i="1"/>
  <c r="I175" i="1"/>
  <c r="H175" i="1"/>
  <c r="K175" i="1" s="1"/>
  <c r="G175" i="1"/>
  <c r="E175" i="1"/>
  <c r="D175" i="1"/>
  <c r="C175" i="1"/>
  <c r="B175" i="1"/>
  <c r="Q174" i="1"/>
  <c r="P174" i="1"/>
  <c r="O174" i="1"/>
  <c r="N174" i="1"/>
  <c r="M174" i="1"/>
  <c r="J174" i="1"/>
  <c r="I174" i="1"/>
  <c r="H174" i="1"/>
  <c r="K174" i="1" s="1"/>
  <c r="G174" i="1"/>
  <c r="E174" i="1"/>
  <c r="D174" i="1"/>
  <c r="C174" i="1"/>
  <c r="B174" i="1"/>
  <c r="Q173" i="1"/>
  <c r="N173" i="1"/>
  <c r="L173" i="1"/>
  <c r="I173" i="1"/>
  <c r="H173" i="1"/>
  <c r="K173" i="1" s="1"/>
  <c r="G173" i="1"/>
  <c r="E173" i="1"/>
  <c r="D173" i="1"/>
  <c r="C173" i="1"/>
  <c r="B173" i="1"/>
  <c r="Q172" i="1"/>
  <c r="M172" i="1"/>
  <c r="J172" i="1"/>
  <c r="I172" i="1"/>
  <c r="H172" i="1"/>
  <c r="K172" i="1" s="1"/>
  <c r="G172" i="1"/>
  <c r="E172" i="1"/>
  <c r="D172" i="1"/>
  <c r="C172" i="1"/>
  <c r="B172" i="1"/>
  <c r="Q171" i="1"/>
  <c r="P171" i="1"/>
  <c r="O171" i="1"/>
  <c r="N171" i="1"/>
  <c r="M171" i="1"/>
  <c r="L171" i="1"/>
  <c r="J171" i="1"/>
  <c r="I171" i="1"/>
  <c r="H171" i="1"/>
  <c r="K171" i="1" s="1"/>
  <c r="G171" i="1"/>
  <c r="E171" i="1"/>
  <c r="D171" i="1"/>
  <c r="C171" i="1"/>
  <c r="B171" i="1"/>
  <c r="Q170" i="1"/>
  <c r="I170" i="1"/>
  <c r="H170" i="1"/>
  <c r="G170" i="1"/>
  <c r="E170" i="1"/>
  <c r="D170" i="1"/>
  <c r="C170" i="1"/>
  <c r="B170" i="1"/>
  <c r="Q169" i="1"/>
  <c r="P169" i="1"/>
  <c r="N169" i="1"/>
  <c r="M169" i="1"/>
  <c r="I169" i="1"/>
  <c r="H169" i="1"/>
  <c r="K169" i="1" s="1"/>
  <c r="G169" i="1"/>
  <c r="E169" i="1"/>
  <c r="D169" i="1"/>
  <c r="C169" i="1"/>
  <c r="B169" i="1"/>
  <c r="Q168" i="1"/>
  <c r="O168" i="1"/>
  <c r="I168" i="1"/>
  <c r="H168" i="1"/>
  <c r="K168" i="1" s="1"/>
  <c r="G168" i="1"/>
  <c r="E168" i="1"/>
  <c r="D168" i="1"/>
  <c r="C168" i="1"/>
  <c r="B168" i="1"/>
  <c r="Q167" i="1"/>
  <c r="P167" i="1"/>
  <c r="O167" i="1"/>
  <c r="N167" i="1"/>
  <c r="L167" i="1"/>
  <c r="J167" i="1"/>
  <c r="I167" i="1"/>
  <c r="H167" i="1"/>
  <c r="K167" i="1" s="1"/>
  <c r="G167" i="1"/>
  <c r="E167" i="1"/>
  <c r="D167" i="1"/>
  <c r="C167" i="1"/>
  <c r="B167" i="1"/>
  <c r="Q166" i="1"/>
  <c r="P166" i="1"/>
  <c r="O166" i="1"/>
  <c r="N166" i="1"/>
  <c r="M166" i="1"/>
  <c r="J166" i="1"/>
  <c r="I166" i="1"/>
  <c r="H166" i="1"/>
  <c r="K166" i="1" s="1"/>
  <c r="G166" i="1"/>
  <c r="E166" i="1"/>
  <c r="D166" i="1"/>
  <c r="C166" i="1"/>
  <c r="B166" i="1"/>
  <c r="Q165" i="1"/>
  <c r="N165" i="1"/>
  <c r="M165" i="1"/>
  <c r="L165" i="1"/>
  <c r="I165" i="1"/>
  <c r="H165" i="1"/>
  <c r="K165" i="1" s="1"/>
  <c r="G165" i="1"/>
  <c r="E165" i="1"/>
  <c r="D165" i="1"/>
  <c r="C165" i="1"/>
  <c r="B165" i="1"/>
  <c r="Q164" i="1"/>
  <c r="M164" i="1"/>
  <c r="J164" i="1"/>
  <c r="I164" i="1"/>
  <c r="H164" i="1"/>
  <c r="K164" i="1" s="1"/>
  <c r="G164" i="1"/>
  <c r="E164" i="1"/>
  <c r="D164" i="1"/>
  <c r="C164" i="1"/>
  <c r="B164" i="1"/>
  <c r="Q163" i="1"/>
  <c r="P163" i="1"/>
  <c r="O163" i="1"/>
  <c r="N163" i="1"/>
  <c r="M163" i="1"/>
  <c r="L163" i="1"/>
  <c r="J163" i="1"/>
  <c r="I163" i="1"/>
  <c r="H163" i="1"/>
  <c r="K163" i="1" s="1"/>
  <c r="G163" i="1"/>
  <c r="E163" i="1"/>
  <c r="D163" i="1"/>
  <c r="C163" i="1"/>
  <c r="B163" i="1"/>
  <c r="Q162" i="1"/>
  <c r="I162" i="1"/>
  <c r="H162" i="1"/>
  <c r="G162" i="1"/>
  <c r="E162" i="1"/>
  <c r="D162" i="1"/>
  <c r="C162" i="1"/>
  <c r="B162" i="1"/>
  <c r="Q161" i="1"/>
  <c r="P161" i="1"/>
  <c r="N161" i="1"/>
  <c r="I161" i="1"/>
  <c r="H161" i="1"/>
  <c r="K161" i="1" s="1"/>
  <c r="G161" i="1"/>
  <c r="E161" i="1"/>
  <c r="D161" i="1"/>
  <c r="C161" i="1"/>
  <c r="B161" i="1"/>
  <c r="Q160" i="1"/>
  <c r="O160" i="1"/>
  <c r="I160" i="1"/>
  <c r="H160" i="1"/>
  <c r="K160" i="1" s="1"/>
  <c r="G160" i="1"/>
  <c r="E160" i="1"/>
  <c r="D160" i="1"/>
  <c r="C160" i="1"/>
  <c r="B160" i="1"/>
  <c r="Q159" i="1"/>
  <c r="P159" i="1"/>
  <c r="O159" i="1"/>
  <c r="N159" i="1"/>
  <c r="L159" i="1"/>
  <c r="J159" i="1"/>
  <c r="I159" i="1"/>
  <c r="H159" i="1"/>
  <c r="K159" i="1" s="1"/>
  <c r="G159" i="1"/>
  <c r="E159" i="1"/>
  <c r="D159" i="1"/>
  <c r="C159" i="1"/>
  <c r="B159" i="1"/>
  <c r="Q158" i="1"/>
  <c r="P158" i="1"/>
  <c r="O158" i="1"/>
  <c r="N158" i="1"/>
  <c r="M158" i="1"/>
  <c r="J158" i="1"/>
  <c r="I158" i="1"/>
  <c r="H158" i="1"/>
  <c r="K158" i="1" s="1"/>
  <c r="G158" i="1"/>
  <c r="E158" i="1"/>
  <c r="D158" i="1"/>
  <c r="C158" i="1"/>
  <c r="B158" i="1"/>
  <c r="Q157" i="1"/>
  <c r="N157" i="1"/>
  <c r="M157" i="1"/>
  <c r="L157" i="1"/>
  <c r="I157" i="1"/>
  <c r="H157" i="1"/>
  <c r="K157" i="1" s="1"/>
  <c r="G157" i="1"/>
  <c r="E157" i="1"/>
  <c r="D157" i="1"/>
  <c r="C157" i="1"/>
  <c r="B157" i="1"/>
  <c r="Q156" i="1"/>
  <c r="M156" i="1"/>
  <c r="J156" i="1"/>
  <c r="I156" i="1"/>
  <c r="H156" i="1"/>
  <c r="K156" i="1" s="1"/>
  <c r="G156" i="1"/>
  <c r="E156" i="1"/>
  <c r="D156" i="1"/>
  <c r="C156" i="1"/>
  <c r="B156" i="1"/>
  <c r="Q155" i="1"/>
  <c r="P155" i="1"/>
  <c r="O155" i="1"/>
  <c r="N155" i="1"/>
  <c r="M155" i="1"/>
  <c r="L155" i="1"/>
  <c r="J155" i="1"/>
  <c r="I155" i="1"/>
  <c r="H155" i="1"/>
  <c r="K155" i="1" s="1"/>
  <c r="G155" i="1"/>
  <c r="E155" i="1"/>
  <c r="D155" i="1"/>
  <c r="C155" i="1"/>
  <c r="B155" i="1"/>
  <c r="Q154" i="1"/>
  <c r="I154" i="1"/>
  <c r="H154" i="1"/>
  <c r="G154" i="1"/>
  <c r="E154" i="1"/>
  <c r="D154" i="1"/>
  <c r="C154" i="1"/>
  <c r="B154" i="1"/>
  <c r="Q153" i="1"/>
  <c r="P153" i="1"/>
  <c r="N153" i="1"/>
  <c r="I153" i="1"/>
  <c r="H153" i="1"/>
  <c r="K153" i="1" s="1"/>
  <c r="G153" i="1"/>
  <c r="E153" i="1"/>
  <c r="D153" i="1"/>
  <c r="C153" i="1"/>
  <c r="B153" i="1"/>
  <c r="Q152" i="1"/>
  <c r="O152" i="1"/>
  <c r="I152" i="1"/>
  <c r="H152" i="1"/>
  <c r="K152" i="1" s="1"/>
  <c r="G152" i="1"/>
  <c r="E152" i="1"/>
  <c r="D152" i="1"/>
  <c r="C152" i="1"/>
  <c r="B152" i="1"/>
  <c r="Q151" i="1"/>
  <c r="P151" i="1"/>
  <c r="O151" i="1"/>
  <c r="N151" i="1"/>
  <c r="L151" i="1"/>
  <c r="J151" i="1"/>
  <c r="I151" i="1"/>
  <c r="H151" i="1"/>
  <c r="K151" i="1" s="1"/>
  <c r="G151" i="1"/>
  <c r="E151" i="1"/>
  <c r="D151" i="1"/>
  <c r="C151" i="1"/>
  <c r="B151" i="1"/>
  <c r="Q150" i="1"/>
  <c r="P150" i="1"/>
  <c r="O150" i="1"/>
  <c r="N150" i="1"/>
  <c r="M150" i="1"/>
  <c r="J150" i="1"/>
  <c r="I150" i="1"/>
  <c r="H150" i="1"/>
  <c r="K150" i="1" s="1"/>
  <c r="G150" i="1"/>
  <c r="E150" i="1"/>
  <c r="D150" i="1"/>
  <c r="C150" i="1"/>
  <c r="B150" i="1"/>
  <c r="Q149" i="1"/>
  <c r="N149" i="1"/>
  <c r="M149" i="1"/>
  <c r="L149" i="1"/>
  <c r="I149" i="1"/>
  <c r="H149" i="1"/>
  <c r="K149" i="1" s="1"/>
  <c r="G149" i="1"/>
  <c r="E149" i="1"/>
  <c r="D149" i="1"/>
  <c r="C149" i="1"/>
  <c r="B149" i="1"/>
  <c r="Q148" i="1"/>
  <c r="M148" i="1"/>
  <c r="J148" i="1"/>
  <c r="I148" i="1"/>
  <c r="H148" i="1"/>
  <c r="K148" i="1" s="1"/>
  <c r="G148" i="1"/>
  <c r="E148" i="1"/>
  <c r="D148" i="1"/>
  <c r="C148" i="1"/>
  <c r="B148" i="1"/>
  <c r="Q147" i="1"/>
  <c r="P147" i="1"/>
  <c r="O147" i="1"/>
  <c r="N147" i="1"/>
  <c r="M147" i="1"/>
  <c r="L147" i="1"/>
  <c r="J147" i="1"/>
  <c r="I147" i="1"/>
  <c r="H147" i="1"/>
  <c r="K147" i="1" s="1"/>
  <c r="G147" i="1"/>
  <c r="E147" i="1"/>
  <c r="D147" i="1"/>
  <c r="C147" i="1"/>
  <c r="B147" i="1"/>
  <c r="Q146" i="1"/>
  <c r="I146" i="1"/>
  <c r="H146" i="1"/>
  <c r="G146" i="1"/>
  <c r="E146" i="1"/>
  <c r="D146" i="1"/>
  <c r="C146" i="1"/>
  <c r="B146" i="1"/>
  <c r="Q145" i="1"/>
  <c r="P145" i="1"/>
  <c r="N145" i="1"/>
  <c r="I145" i="1"/>
  <c r="H145" i="1"/>
  <c r="K145" i="1" s="1"/>
  <c r="G145" i="1"/>
  <c r="E145" i="1"/>
  <c r="D145" i="1"/>
  <c r="C145" i="1"/>
  <c r="B145" i="1"/>
  <c r="Q144" i="1"/>
  <c r="O144" i="1"/>
  <c r="I144" i="1"/>
  <c r="H144" i="1"/>
  <c r="K144" i="1" s="1"/>
  <c r="G144" i="1"/>
  <c r="E144" i="1"/>
  <c r="D144" i="1"/>
  <c r="C144" i="1"/>
  <c r="B144" i="1"/>
  <c r="Q143" i="1"/>
  <c r="P143" i="1"/>
  <c r="O143" i="1"/>
  <c r="N143" i="1"/>
  <c r="L143" i="1"/>
  <c r="J143" i="1"/>
  <c r="I143" i="1"/>
  <c r="H143" i="1"/>
  <c r="K143" i="1" s="1"/>
  <c r="G143" i="1"/>
  <c r="E143" i="1"/>
  <c r="D143" i="1"/>
  <c r="C143" i="1"/>
  <c r="B143" i="1"/>
  <c r="Q142" i="1"/>
  <c r="P142" i="1"/>
  <c r="O142" i="1"/>
  <c r="N142" i="1"/>
  <c r="M142" i="1"/>
  <c r="J142" i="1"/>
  <c r="I142" i="1"/>
  <c r="H142" i="1"/>
  <c r="K142" i="1" s="1"/>
  <c r="G142" i="1"/>
  <c r="E142" i="1"/>
  <c r="D142" i="1"/>
  <c r="C142" i="1"/>
  <c r="B142" i="1"/>
  <c r="Q141" i="1"/>
  <c r="N141" i="1"/>
  <c r="M141" i="1"/>
  <c r="L141" i="1"/>
  <c r="I141" i="1"/>
  <c r="H141" i="1"/>
  <c r="K141" i="1" s="1"/>
  <c r="G141" i="1"/>
  <c r="E141" i="1"/>
  <c r="D141" i="1"/>
  <c r="C141" i="1"/>
  <c r="B141" i="1"/>
  <c r="Q140" i="1"/>
  <c r="M140" i="1"/>
  <c r="J140" i="1"/>
  <c r="I140" i="1"/>
  <c r="H140" i="1"/>
  <c r="K140" i="1" s="1"/>
  <c r="G140" i="1"/>
  <c r="E140" i="1"/>
  <c r="D140" i="1"/>
  <c r="C140" i="1"/>
  <c r="B140" i="1"/>
  <c r="Q139" i="1"/>
  <c r="L139" i="1"/>
  <c r="J139" i="1"/>
  <c r="I139" i="1"/>
  <c r="H139" i="1"/>
  <c r="P139" i="1" s="1"/>
  <c r="G139" i="1"/>
  <c r="E139" i="1"/>
  <c r="D139" i="1"/>
  <c r="C139" i="1"/>
  <c r="B139" i="1"/>
  <c r="Q138" i="1"/>
  <c r="L138" i="1"/>
  <c r="J138" i="1"/>
  <c r="I138" i="1"/>
  <c r="H138" i="1"/>
  <c r="P138" i="1" s="1"/>
  <c r="G138" i="1"/>
  <c r="E138" i="1"/>
  <c r="D138" i="1"/>
  <c r="C138" i="1"/>
  <c r="B138" i="1"/>
  <c r="Q137" i="1"/>
  <c r="L137" i="1"/>
  <c r="J137" i="1"/>
  <c r="I137" i="1"/>
  <c r="H137" i="1"/>
  <c r="P137" i="1" s="1"/>
  <c r="G137" i="1"/>
  <c r="E137" i="1"/>
  <c r="D137" i="1"/>
  <c r="C137" i="1"/>
  <c r="B137" i="1"/>
  <c r="Q136" i="1"/>
  <c r="L136" i="1"/>
  <c r="J136" i="1"/>
  <c r="I136" i="1"/>
  <c r="H136" i="1"/>
  <c r="P136" i="1" s="1"/>
  <c r="G136" i="1"/>
  <c r="E136" i="1"/>
  <c r="D136" i="1"/>
  <c r="C136" i="1"/>
  <c r="B136" i="1"/>
  <c r="Q135" i="1"/>
  <c r="L135" i="1"/>
  <c r="J135" i="1"/>
  <c r="I135" i="1"/>
  <c r="H135" i="1"/>
  <c r="P135" i="1" s="1"/>
  <c r="G135" i="1"/>
  <c r="E135" i="1"/>
  <c r="D135" i="1"/>
  <c r="C135" i="1"/>
  <c r="B135" i="1"/>
  <c r="Q134" i="1"/>
  <c r="L134" i="1"/>
  <c r="J134" i="1"/>
  <c r="I134" i="1"/>
  <c r="H134" i="1"/>
  <c r="P134" i="1" s="1"/>
  <c r="G134" i="1"/>
  <c r="E134" i="1"/>
  <c r="D134" i="1"/>
  <c r="C134" i="1"/>
  <c r="B134" i="1"/>
  <c r="Q133" i="1"/>
  <c r="L133" i="1"/>
  <c r="J133" i="1"/>
  <c r="I133" i="1"/>
  <c r="H133" i="1"/>
  <c r="P133" i="1" s="1"/>
  <c r="G133" i="1"/>
  <c r="E133" i="1"/>
  <c r="D133" i="1"/>
  <c r="C133" i="1"/>
  <c r="B133" i="1"/>
  <c r="Q132" i="1"/>
  <c r="L132" i="1"/>
  <c r="J132" i="1"/>
  <c r="I132" i="1"/>
  <c r="H132" i="1"/>
  <c r="P132" i="1" s="1"/>
  <c r="G132" i="1"/>
  <c r="E132" i="1"/>
  <c r="D132" i="1"/>
  <c r="C132" i="1"/>
  <c r="B132" i="1"/>
  <c r="Q131" i="1"/>
  <c r="L131" i="1"/>
  <c r="J131" i="1"/>
  <c r="I131" i="1"/>
  <c r="H131" i="1"/>
  <c r="P131" i="1" s="1"/>
  <c r="G131" i="1"/>
  <c r="E131" i="1"/>
  <c r="D131" i="1"/>
  <c r="C131" i="1"/>
  <c r="B131" i="1"/>
  <c r="Q130" i="1"/>
  <c r="L130" i="1"/>
  <c r="J130" i="1"/>
  <c r="I130" i="1"/>
  <c r="H130" i="1"/>
  <c r="P130" i="1" s="1"/>
  <c r="G130" i="1"/>
  <c r="E130" i="1"/>
  <c r="D130" i="1"/>
  <c r="C130" i="1"/>
  <c r="B130" i="1"/>
  <c r="Q129" i="1"/>
  <c r="L129" i="1"/>
  <c r="J129" i="1"/>
  <c r="I129" i="1"/>
  <c r="H129" i="1"/>
  <c r="P129" i="1" s="1"/>
  <c r="G129" i="1"/>
  <c r="E129" i="1"/>
  <c r="D129" i="1"/>
  <c r="C129" i="1"/>
  <c r="B129" i="1"/>
  <c r="Q128" i="1"/>
  <c r="L128" i="1"/>
  <c r="J128" i="1"/>
  <c r="I128" i="1"/>
  <c r="H128" i="1"/>
  <c r="P128" i="1" s="1"/>
  <c r="G128" i="1"/>
  <c r="E128" i="1"/>
  <c r="D128" i="1"/>
  <c r="C128" i="1"/>
  <c r="B128" i="1"/>
  <c r="Q127" i="1"/>
  <c r="L127" i="1"/>
  <c r="J127" i="1"/>
  <c r="I127" i="1"/>
  <c r="H127" i="1"/>
  <c r="P127" i="1" s="1"/>
  <c r="G127" i="1"/>
  <c r="E127" i="1"/>
  <c r="D127" i="1"/>
  <c r="C127" i="1"/>
  <c r="B127" i="1"/>
  <c r="Q126" i="1"/>
  <c r="L126" i="1"/>
  <c r="J126" i="1"/>
  <c r="I126" i="1"/>
  <c r="H126" i="1"/>
  <c r="P126" i="1" s="1"/>
  <c r="G126" i="1"/>
  <c r="E126" i="1"/>
  <c r="D126" i="1"/>
  <c r="C126" i="1"/>
  <c r="B126" i="1"/>
  <c r="Q125" i="1"/>
  <c r="L125" i="1"/>
  <c r="J125" i="1"/>
  <c r="I125" i="1"/>
  <c r="H125" i="1"/>
  <c r="P125" i="1" s="1"/>
  <c r="G125" i="1"/>
  <c r="E125" i="1"/>
  <c r="D125" i="1"/>
  <c r="C125" i="1"/>
  <c r="B125" i="1"/>
  <c r="Q124" i="1"/>
  <c r="L124" i="1"/>
  <c r="J124" i="1"/>
  <c r="I124" i="1"/>
  <c r="H124" i="1"/>
  <c r="P124" i="1" s="1"/>
  <c r="G124" i="1"/>
  <c r="E124" i="1"/>
  <c r="D124" i="1"/>
  <c r="C124" i="1"/>
  <c r="B124" i="1"/>
  <c r="Q123" i="1"/>
  <c r="L123" i="1"/>
  <c r="J123" i="1"/>
  <c r="I123" i="1"/>
  <c r="H123" i="1"/>
  <c r="P123" i="1" s="1"/>
  <c r="G123" i="1"/>
  <c r="E123" i="1"/>
  <c r="D123" i="1"/>
  <c r="C123" i="1"/>
  <c r="B123" i="1"/>
  <c r="Q122" i="1"/>
  <c r="L122" i="1"/>
  <c r="J122" i="1"/>
  <c r="I122" i="1"/>
  <c r="H122" i="1"/>
  <c r="P122" i="1" s="1"/>
  <c r="G122" i="1"/>
  <c r="E122" i="1"/>
  <c r="D122" i="1"/>
  <c r="C122" i="1"/>
  <c r="B122" i="1"/>
  <c r="Q121" i="1"/>
  <c r="L121" i="1"/>
  <c r="J121" i="1"/>
  <c r="I121" i="1"/>
  <c r="H121" i="1"/>
  <c r="P121" i="1" s="1"/>
  <c r="G121" i="1"/>
  <c r="E121" i="1"/>
  <c r="D121" i="1"/>
  <c r="C121" i="1"/>
  <c r="B121" i="1"/>
  <c r="Q120" i="1"/>
  <c r="L120" i="1"/>
  <c r="J120" i="1"/>
  <c r="I120" i="1"/>
  <c r="H120" i="1"/>
  <c r="P120" i="1" s="1"/>
  <c r="G120" i="1"/>
  <c r="E120" i="1"/>
  <c r="D120" i="1"/>
  <c r="C120" i="1"/>
  <c r="B120" i="1"/>
  <c r="Q119" i="1"/>
  <c r="L119" i="1"/>
  <c r="J119" i="1"/>
  <c r="I119" i="1"/>
  <c r="H119" i="1"/>
  <c r="P119" i="1" s="1"/>
  <c r="G119" i="1"/>
  <c r="E119" i="1"/>
  <c r="D119" i="1"/>
  <c r="C119" i="1"/>
  <c r="B119" i="1"/>
  <c r="Q118" i="1"/>
  <c r="I118" i="1"/>
  <c r="H118" i="1"/>
  <c r="J118" i="1" s="1"/>
  <c r="G118" i="1"/>
  <c r="E118" i="1"/>
  <c r="D118" i="1"/>
  <c r="C118" i="1"/>
  <c r="B118" i="1"/>
  <c r="Q117" i="1"/>
  <c r="P117" i="1"/>
  <c r="I117" i="1"/>
  <c r="H117" i="1"/>
  <c r="G117" i="1"/>
  <c r="E117" i="1"/>
  <c r="D117" i="1"/>
  <c r="C117" i="1"/>
  <c r="B117" i="1"/>
  <c r="Q116" i="1"/>
  <c r="I116" i="1"/>
  <c r="H116" i="1"/>
  <c r="G116" i="1"/>
  <c r="E116" i="1"/>
  <c r="D116" i="1"/>
  <c r="C116" i="1"/>
  <c r="B116" i="1"/>
  <c r="Q115" i="1"/>
  <c r="P115" i="1"/>
  <c r="I115" i="1"/>
  <c r="H115" i="1"/>
  <c r="G115" i="1"/>
  <c r="E115" i="1"/>
  <c r="D115" i="1"/>
  <c r="C115" i="1"/>
  <c r="B115" i="1"/>
  <c r="Q114" i="1"/>
  <c r="I114" i="1"/>
  <c r="H114" i="1"/>
  <c r="P114" i="1" s="1"/>
  <c r="G114" i="1"/>
  <c r="E114" i="1"/>
  <c r="D114" i="1"/>
  <c r="C114" i="1"/>
  <c r="B114" i="1"/>
  <c r="Q113" i="1"/>
  <c r="P113" i="1"/>
  <c r="I113" i="1"/>
  <c r="H113" i="1"/>
  <c r="G113" i="1"/>
  <c r="E113" i="1"/>
  <c r="D113" i="1"/>
  <c r="C113" i="1"/>
  <c r="B113" i="1"/>
  <c r="Q112" i="1"/>
  <c r="I112" i="1"/>
  <c r="H112" i="1"/>
  <c r="L112" i="1" s="1"/>
  <c r="G112" i="1"/>
  <c r="E112" i="1"/>
  <c r="D112" i="1"/>
  <c r="C112" i="1"/>
  <c r="B112" i="1"/>
  <c r="Q111" i="1"/>
  <c r="P111" i="1"/>
  <c r="J111" i="1"/>
  <c r="I111" i="1"/>
  <c r="H111" i="1"/>
  <c r="G111" i="1"/>
  <c r="E111" i="1"/>
  <c r="D111" i="1"/>
  <c r="C111" i="1"/>
  <c r="B111" i="1"/>
  <c r="Q110" i="1"/>
  <c r="P110" i="1"/>
  <c r="J110" i="1"/>
  <c r="I110" i="1"/>
  <c r="H110" i="1"/>
  <c r="O110" i="1" s="1"/>
  <c r="G110" i="1"/>
  <c r="E110" i="1"/>
  <c r="D110" i="1"/>
  <c r="C110" i="1"/>
  <c r="B110" i="1"/>
  <c r="Q109" i="1"/>
  <c r="P109" i="1"/>
  <c r="O109" i="1"/>
  <c r="L109" i="1"/>
  <c r="J109" i="1"/>
  <c r="I109" i="1"/>
  <c r="H109" i="1"/>
  <c r="G109" i="1"/>
  <c r="E109" i="1"/>
  <c r="D109" i="1"/>
  <c r="C109" i="1"/>
  <c r="B109" i="1"/>
  <c r="Q108" i="1"/>
  <c r="O108" i="1"/>
  <c r="I108" i="1"/>
  <c r="H108" i="1"/>
  <c r="P108" i="1" s="1"/>
  <c r="G108" i="1"/>
  <c r="E108" i="1"/>
  <c r="D108" i="1"/>
  <c r="C108" i="1"/>
  <c r="B108" i="1"/>
  <c r="Q107" i="1"/>
  <c r="P107" i="1"/>
  <c r="O107" i="1"/>
  <c r="L107" i="1"/>
  <c r="I107" i="1"/>
  <c r="H107" i="1"/>
  <c r="J107" i="1" s="1"/>
  <c r="G107" i="1"/>
  <c r="E107" i="1"/>
  <c r="D107" i="1"/>
  <c r="C107" i="1"/>
  <c r="B107" i="1"/>
  <c r="Q106" i="1"/>
  <c r="O106" i="1"/>
  <c r="L106" i="1"/>
  <c r="J106" i="1"/>
  <c r="I106" i="1"/>
  <c r="H106" i="1"/>
  <c r="G106" i="1"/>
  <c r="E106" i="1"/>
  <c r="D106" i="1"/>
  <c r="C106" i="1"/>
  <c r="B106" i="1"/>
  <c r="Q105" i="1"/>
  <c r="L105" i="1"/>
  <c r="I105" i="1"/>
  <c r="H105" i="1"/>
  <c r="P105" i="1" s="1"/>
  <c r="G105" i="1"/>
  <c r="E105" i="1"/>
  <c r="D105" i="1"/>
  <c r="C105" i="1"/>
  <c r="B105" i="1"/>
  <c r="Q104" i="1"/>
  <c r="I104" i="1"/>
  <c r="H104" i="1"/>
  <c r="O104" i="1" s="1"/>
  <c r="G104" i="1"/>
  <c r="E104" i="1"/>
  <c r="D104" i="1"/>
  <c r="C104" i="1"/>
  <c r="B104" i="1"/>
  <c r="Q103" i="1"/>
  <c r="P103" i="1"/>
  <c r="J103" i="1"/>
  <c r="I103" i="1"/>
  <c r="H103" i="1"/>
  <c r="G103" i="1"/>
  <c r="E103" i="1"/>
  <c r="D103" i="1"/>
  <c r="C103" i="1"/>
  <c r="B103" i="1"/>
  <c r="Q102" i="1"/>
  <c r="P102" i="1"/>
  <c r="J102" i="1"/>
  <c r="I102" i="1"/>
  <c r="H102" i="1"/>
  <c r="O102" i="1" s="1"/>
  <c r="G102" i="1"/>
  <c r="E102" i="1"/>
  <c r="D102" i="1"/>
  <c r="C102" i="1"/>
  <c r="B102" i="1"/>
  <c r="Q101" i="1"/>
  <c r="P101" i="1"/>
  <c r="O101" i="1"/>
  <c r="L101" i="1"/>
  <c r="J101" i="1"/>
  <c r="I101" i="1"/>
  <c r="H101" i="1"/>
  <c r="G101" i="1"/>
  <c r="E101" i="1"/>
  <c r="D101" i="1"/>
  <c r="C101" i="1"/>
  <c r="B101" i="1"/>
  <c r="Q100" i="1"/>
  <c r="O100" i="1"/>
  <c r="I100" i="1"/>
  <c r="H100" i="1"/>
  <c r="P100" i="1" s="1"/>
  <c r="G100" i="1"/>
  <c r="E100" i="1"/>
  <c r="D100" i="1"/>
  <c r="C100" i="1"/>
  <c r="B100" i="1"/>
  <c r="Q99" i="1"/>
  <c r="P99" i="1"/>
  <c r="O99" i="1"/>
  <c r="L99" i="1"/>
  <c r="I99" i="1"/>
  <c r="H99" i="1"/>
  <c r="J99" i="1" s="1"/>
  <c r="G99" i="1"/>
  <c r="E99" i="1"/>
  <c r="D99" i="1"/>
  <c r="C99" i="1"/>
  <c r="B99" i="1"/>
  <c r="Q98" i="1"/>
  <c r="O98" i="1"/>
  <c r="L98" i="1"/>
  <c r="J98" i="1"/>
  <c r="I98" i="1"/>
  <c r="H98" i="1"/>
  <c r="G98" i="1"/>
  <c r="E98" i="1"/>
  <c r="D98" i="1"/>
  <c r="C98" i="1"/>
  <c r="B98" i="1"/>
  <c r="Q97" i="1"/>
  <c r="L97" i="1"/>
  <c r="I97" i="1"/>
  <c r="H97" i="1"/>
  <c r="P97" i="1" s="1"/>
  <c r="G97" i="1"/>
  <c r="E97" i="1"/>
  <c r="D97" i="1"/>
  <c r="C97" i="1"/>
  <c r="B97" i="1"/>
  <c r="Q96" i="1"/>
  <c r="I96" i="1"/>
  <c r="H96" i="1"/>
  <c r="P96" i="1" s="1"/>
  <c r="G96" i="1"/>
  <c r="E96" i="1"/>
  <c r="D96" i="1"/>
  <c r="C96" i="1"/>
  <c r="B96" i="1"/>
  <c r="Q95" i="1"/>
  <c r="P95" i="1"/>
  <c r="J95" i="1"/>
  <c r="I95" i="1"/>
  <c r="H95" i="1"/>
  <c r="G95" i="1"/>
  <c r="E95" i="1"/>
  <c r="D95" i="1"/>
  <c r="C95" i="1"/>
  <c r="B95" i="1"/>
  <c r="Q94" i="1"/>
  <c r="P94" i="1"/>
  <c r="J94" i="1"/>
  <c r="I94" i="1"/>
  <c r="H94" i="1"/>
  <c r="O94" i="1" s="1"/>
  <c r="G94" i="1"/>
  <c r="E94" i="1"/>
  <c r="D94" i="1"/>
  <c r="C94" i="1"/>
  <c r="B94" i="1"/>
  <c r="Q93" i="1"/>
  <c r="P93" i="1"/>
  <c r="O93" i="1"/>
  <c r="L93" i="1"/>
  <c r="J93" i="1"/>
  <c r="I93" i="1"/>
  <c r="H93" i="1"/>
  <c r="G93" i="1"/>
  <c r="E93" i="1"/>
  <c r="D93" i="1"/>
  <c r="C93" i="1"/>
  <c r="B93" i="1"/>
  <c r="Q92" i="1"/>
  <c r="O92" i="1"/>
  <c r="I92" i="1"/>
  <c r="H92" i="1"/>
  <c r="P92" i="1" s="1"/>
  <c r="G92" i="1"/>
  <c r="E92" i="1"/>
  <c r="D92" i="1"/>
  <c r="C92" i="1"/>
  <c r="B92" i="1"/>
  <c r="Q91" i="1"/>
  <c r="P91" i="1"/>
  <c r="O91" i="1"/>
  <c r="L91" i="1"/>
  <c r="I91" i="1"/>
  <c r="H91" i="1"/>
  <c r="J91" i="1" s="1"/>
  <c r="G91" i="1"/>
  <c r="E91" i="1"/>
  <c r="D91" i="1"/>
  <c r="C91" i="1"/>
  <c r="B91" i="1"/>
  <c r="Q90" i="1"/>
  <c r="O90" i="1"/>
  <c r="L90" i="1"/>
  <c r="J90" i="1"/>
  <c r="I90" i="1"/>
  <c r="H90" i="1"/>
  <c r="G90" i="1"/>
  <c r="E90" i="1"/>
  <c r="D90" i="1"/>
  <c r="C90" i="1"/>
  <c r="B90" i="1"/>
  <c r="Q89" i="1"/>
  <c r="L89" i="1"/>
  <c r="I89" i="1"/>
  <c r="H89" i="1"/>
  <c r="P89" i="1" s="1"/>
  <c r="G89" i="1"/>
  <c r="E89" i="1"/>
  <c r="D89" i="1"/>
  <c r="C89" i="1"/>
  <c r="B89" i="1"/>
  <c r="Q88" i="1"/>
  <c r="I88" i="1"/>
  <c r="H88" i="1"/>
  <c r="G88" i="1"/>
  <c r="E88" i="1"/>
  <c r="D88" i="1"/>
  <c r="C88" i="1"/>
  <c r="B88" i="1"/>
  <c r="Q87" i="1"/>
  <c r="P87" i="1"/>
  <c r="J87" i="1"/>
  <c r="I87" i="1"/>
  <c r="H87" i="1"/>
  <c r="G87" i="1"/>
  <c r="E87" i="1"/>
  <c r="D87" i="1"/>
  <c r="C87" i="1"/>
  <c r="B87" i="1"/>
  <c r="Q86" i="1"/>
  <c r="L86" i="1"/>
  <c r="I86" i="1"/>
  <c r="H86" i="1"/>
  <c r="P86" i="1" s="1"/>
  <c r="G86" i="1"/>
  <c r="E86" i="1"/>
  <c r="D86" i="1"/>
  <c r="C86" i="1"/>
  <c r="B86" i="1"/>
  <c r="Q85" i="1"/>
  <c r="P85" i="1"/>
  <c r="O85" i="1"/>
  <c r="M85" i="1"/>
  <c r="L85" i="1"/>
  <c r="I85" i="1"/>
  <c r="H85" i="1"/>
  <c r="J85" i="1" s="1"/>
  <c r="G85" i="1"/>
  <c r="E85" i="1"/>
  <c r="D85" i="1"/>
  <c r="C85" i="1"/>
  <c r="B85" i="1"/>
  <c r="Q84" i="1"/>
  <c r="P84" i="1"/>
  <c r="O84" i="1"/>
  <c r="M84" i="1"/>
  <c r="L84" i="1"/>
  <c r="J84" i="1"/>
  <c r="I84" i="1"/>
  <c r="H84" i="1"/>
  <c r="G84" i="1"/>
  <c r="E84" i="1"/>
  <c r="D84" i="1"/>
  <c r="C84" i="1"/>
  <c r="B84" i="1"/>
  <c r="Q83" i="1"/>
  <c r="O83" i="1"/>
  <c r="J83" i="1"/>
  <c r="I83" i="1"/>
  <c r="H83" i="1"/>
  <c r="P83" i="1" s="1"/>
  <c r="G83" i="1"/>
  <c r="E83" i="1"/>
  <c r="D83" i="1"/>
  <c r="C83" i="1"/>
  <c r="B83" i="1"/>
  <c r="Q82" i="1"/>
  <c r="L82" i="1"/>
  <c r="I82" i="1"/>
  <c r="H82" i="1"/>
  <c r="P82" i="1" s="1"/>
  <c r="G82" i="1"/>
  <c r="E82" i="1"/>
  <c r="D82" i="1"/>
  <c r="C82" i="1"/>
  <c r="B82" i="1"/>
  <c r="Q81" i="1"/>
  <c r="P81" i="1"/>
  <c r="O81" i="1"/>
  <c r="M81" i="1"/>
  <c r="L81" i="1"/>
  <c r="I81" i="1"/>
  <c r="H81" i="1"/>
  <c r="J81" i="1" s="1"/>
  <c r="G81" i="1"/>
  <c r="E81" i="1"/>
  <c r="D81" i="1"/>
  <c r="C81" i="1"/>
  <c r="B81" i="1"/>
  <c r="Q80" i="1"/>
  <c r="P80" i="1"/>
  <c r="O80" i="1"/>
  <c r="M80" i="1"/>
  <c r="L80" i="1"/>
  <c r="J80" i="1"/>
  <c r="I80" i="1"/>
  <c r="H80" i="1"/>
  <c r="G80" i="1"/>
  <c r="E80" i="1"/>
  <c r="D80" i="1"/>
  <c r="C80" i="1"/>
  <c r="B80" i="1"/>
  <c r="Q79" i="1"/>
  <c r="O79" i="1"/>
  <c r="J79" i="1"/>
  <c r="I79" i="1"/>
  <c r="H79" i="1"/>
  <c r="P79" i="1" s="1"/>
  <c r="G79" i="1"/>
  <c r="E79" i="1"/>
  <c r="D79" i="1"/>
  <c r="C79" i="1"/>
  <c r="B79" i="1"/>
  <c r="Q78" i="1"/>
  <c r="L78" i="1"/>
  <c r="I78" i="1"/>
  <c r="H78" i="1"/>
  <c r="N78" i="1" s="1"/>
  <c r="G78" i="1"/>
  <c r="E78" i="1"/>
  <c r="D78" i="1"/>
  <c r="C78" i="1"/>
  <c r="B78" i="1"/>
  <c r="Q77" i="1"/>
  <c r="K77" i="1"/>
  <c r="I77" i="1"/>
  <c r="H77" i="1"/>
  <c r="N77" i="1" s="1"/>
  <c r="G77" i="1"/>
  <c r="E77" i="1"/>
  <c r="D77" i="1"/>
  <c r="C77" i="1"/>
  <c r="B77" i="1"/>
  <c r="Q76" i="1"/>
  <c r="P76" i="1"/>
  <c r="O76" i="1"/>
  <c r="M76" i="1"/>
  <c r="J76" i="1"/>
  <c r="I76" i="1"/>
  <c r="H76" i="1"/>
  <c r="N76" i="1" s="1"/>
  <c r="G76" i="1"/>
  <c r="E76" i="1"/>
  <c r="D76" i="1"/>
  <c r="C76" i="1"/>
  <c r="B76" i="1"/>
  <c r="Q75" i="1"/>
  <c r="P75" i="1"/>
  <c r="O75" i="1"/>
  <c r="M75" i="1"/>
  <c r="L75" i="1"/>
  <c r="K75" i="1"/>
  <c r="I75" i="1"/>
  <c r="H75" i="1"/>
  <c r="N75" i="1" s="1"/>
  <c r="G75" i="1"/>
  <c r="E75" i="1"/>
  <c r="D75" i="1"/>
  <c r="C75" i="1"/>
  <c r="B75" i="1"/>
  <c r="Q74" i="1"/>
  <c r="I74" i="1"/>
  <c r="H74" i="1"/>
  <c r="N74" i="1" s="1"/>
  <c r="G74" i="1"/>
  <c r="E74" i="1"/>
  <c r="D74" i="1"/>
  <c r="C74" i="1"/>
  <c r="B74" i="1"/>
  <c r="Q73" i="1"/>
  <c r="P73" i="1"/>
  <c r="O73" i="1"/>
  <c r="M73" i="1"/>
  <c r="L73" i="1"/>
  <c r="K73" i="1"/>
  <c r="J73" i="1"/>
  <c r="I73" i="1"/>
  <c r="H73" i="1"/>
  <c r="N73" i="1" s="1"/>
  <c r="G73" i="1"/>
  <c r="E73" i="1"/>
  <c r="D73" i="1"/>
  <c r="C73" i="1"/>
  <c r="B73" i="1"/>
  <c r="Q72" i="1"/>
  <c r="O72" i="1"/>
  <c r="L72" i="1"/>
  <c r="K72" i="1"/>
  <c r="J72" i="1"/>
  <c r="I72" i="1"/>
  <c r="H72" i="1"/>
  <c r="N72" i="1" s="1"/>
  <c r="G72" i="1"/>
  <c r="E72" i="1"/>
  <c r="D72" i="1"/>
  <c r="C72" i="1"/>
  <c r="B72" i="1"/>
  <c r="Q71" i="1"/>
  <c r="M71" i="1"/>
  <c r="J71" i="1"/>
  <c r="I71" i="1"/>
  <c r="H71" i="1"/>
  <c r="N71" i="1" s="1"/>
  <c r="G71" i="1"/>
  <c r="E71" i="1"/>
  <c r="D71" i="1"/>
  <c r="C71" i="1"/>
  <c r="B71" i="1"/>
  <c r="Q70" i="1"/>
  <c r="L70" i="1"/>
  <c r="I70" i="1"/>
  <c r="H70" i="1"/>
  <c r="N70" i="1" s="1"/>
  <c r="G70" i="1"/>
  <c r="E70" i="1"/>
  <c r="D70" i="1"/>
  <c r="C70" i="1"/>
  <c r="B70" i="1"/>
  <c r="Q69" i="1"/>
  <c r="K69" i="1"/>
  <c r="I69" i="1"/>
  <c r="H69" i="1"/>
  <c r="N69" i="1" s="1"/>
  <c r="G69" i="1"/>
  <c r="E69" i="1"/>
  <c r="D69" i="1"/>
  <c r="C69" i="1"/>
  <c r="B69" i="1"/>
  <c r="Q68" i="1"/>
  <c r="P68" i="1"/>
  <c r="O68" i="1"/>
  <c r="M68" i="1"/>
  <c r="J68" i="1"/>
  <c r="I68" i="1"/>
  <c r="H68" i="1"/>
  <c r="N68" i="1" s="1"/>
  <c r="G68" i="1"/>
  <c r="E68" i="1"/>
  <c r="D68" i="1"/>
  <c r="C68" i="1"/>
  <c r="B68" i="1"/>
  <c r="Q67" i="1"/>
  <c r="P67" i="1"/>
  <c r="O67" i="1"/>
  <c r="M67" i="1"/>
  <c r="L67" i="1"/>
  <c r="K67" i="1"/>
  <c r="I67" i="1"/>
  <c r="H67" i="1"/>
  <c r="N67" i="1" s="1"/>
  <c r="G67" i="1"/>
  <c r="E67" i="1"/>
  <c r="D67" i="1"/>
  <c r="C67" i="1"/>
  <c r="B67" i="1"/>
  <c r="Q66" i="1"/>
  <c r="I66" i="1"/>
  <c r="H66" i="1"/>
  <c r="N66" i="1" s="1"/>
  <c r="G66" i="1"/>
  <c r="E66" i="1"/>
  <c r="D66" i="1"/>
  <c r="C66" i="1"/>
  <c r="B66" i="1"/>
  <c r="Q65" i="1"/>
  <c r="I65" i="1"/>
  <c r="H65" i="1"/>
  <c r="O65" i="1" s="1"/>
  <c r="G65" i="1"/>
  <c r="E65" i="1"/>
  <c r="D65" i="1"/>
  <c r="C65" i="1"/>
  <c r="B65" i="1"/>
  <c r="Q64" i="1"/>
  <c r="I64" i="1"/>
  <c r="H64" i="1"/>
  <c r="O64" i="1" s="1"/>
  <c r="G64" i="1"/>
  <c r="E64" i="1"/>
  <c r="D64" i="1"/>
  <c r="C64" i="1"/>
  <c r="B64" i="1"/>
  <c r="Q63" i="1"/>
  <c r="I63" i="1"/>
  <c r="H63" i="1"/>
  <c r="O63" i="1" s="1"/>
  <c r="G63" i="1"/>
  <c r="E63" i="1"/>
  <c r="D63" i="1"/>
  <c r="C63" i="1"/>
  <c r="B63" i="1"/>
  <c r="Q62" i="1"/>
  <c r="I62" i="1"/>
  <c r="H62" i="1"/>
  <c r="O62" i="1" s="1"/>
  <c r="G62" i="1"/>
  <c r="E62" i="1"/>
  <c r="D62" i="1"/>
  <c r="C62" i="1"/>
  <c r="B62" i="1"/>
  <c r="Q61" i="1"/>
  <c r="I61" i="1"/>
  <c r="H61" i="1"/>
  <c r="O61" i="1" s="1"/>
  <c r="G61" i="1"/>
  <c r="E61" i="1"/>
  <c r="D61" i="1"/>
  <c r="C61" i="1"/>
  <c r="B61" i="1"/>
  <c r="Q60" i="1"/>
  <c r="I60" i="1"/>
  <c r="H60" i="1"/>
  <c r="O60" i="1" s="1"/>
  <c r="G60" i="1"/>
  <c r="E60" i="1"/>
  <c r="D60" i="1"/>
  <c r="C60" i="1"/>
  <c r="B60" i="1"/>
  <c r="Q59" i="1"/>
  <c r="I59" i="1"/>
  <c r="H59" i="1"/>
  <c r="O59" i="1" s="1"/>
  <c r="G59" i="1"/>
  <c r="E59" i="1"/>
  <c r="D59" i="1"/>
  <c r="C59" i="1"/>
  <c r="B59" i="1"/>
  <c r="Q58" i="1"/>
  <c r="I58" i="1"/>
  <c r="H58" i="1"/>
  <c r="O58" i="1" s="1"/>
  <c r="G58" i="1"/>
  <c r="E58" i="1"/>
  <c r="D58" i="1"/>
  <c r="C58" i="1"/>
  <c r="B58" i="1"/>
  <c r="Q57" i="1"/>
  <c r="I57" i="1"/>
  <c r="H57" i="1"/>
  <c r="O57" i="1" s="1"/>
  <c r="G57" i="1"/>
  <c r="E57" i="1"/>
  <c r="D57" i="1"/>
  <c r="C57" i="1"/>
  <c r="B57" i="1"/>
  <c r="Q56" i="1"/>
  <c r="I56" i="1"/>
  <c r="H56" i="1"/>
  <c r="O56" i="1" s="1"/>
  <c r="G56" i="1"/>
  <c r="E56" i="1"/>
  <c r="D56" i="1"/>
  <c r="C56" i="1"/>
  <c r="B56" i="1"/>
  <c r="Q55" i="1"/>
  <c r="I55" i="1"/>
  <c r="H55" i="1"/>
  <c r="O55" i="1" s="1"/>
  <c r="G55" i="1"/>
  <c r="E55" i="1"/>
  <c r="D55" i="1"/>
  <c r="C55" i="1"/>
  <c r="B55" i="1"/>
  <c r="Q54" i="1"/>
  <c r="I54" i="1"/>
  <c r="H54" i="1"/>
  <c r="O54" i="1" s="1"/>
  <c r="G54" i="1"/>
  <c r="E54" i="1"/>
  <c r="D54" i="1"/>
  <c r="C54" i="1"/>
  <c r="B54" i="1"/>
  <c r="Q53" i="1"/>
  <c r="I53" i="1"/>
  <c r="H53" i="1"/>
  <c r="O53" i="1" s="1"/>
  <c r="G53" i="1"/>
  <c r="E53" i="1"/>
  <c r="D53" i="1"/>
  <c r="C53" i="1"/>
  <c r="B53" i="1"/>
  <c r="Q52" i="1"/>
  <c r="I52" i="1"/>
  <c r="H52" i="1"/>
  <c r="O52" i="1" s="1"/>
  <c r="G52" i="1"/>
  <c r="E52" i="1"/>
  <c r="D52" i="1"/>
  <c r="C52" i="1"/>
  <c r="B52" i="1"/>
  <c r="Q51" i="1"/>
  <c r="I51" i="1"/>
  <c r="H51" i="1"/>
  <c r="O51" i="1" s="1"/>
  <c r="G51" i="1"/>
  <c r="E51" i="1"/>
  <c r="D51" i="1"/>
  <c r="C51" i="1"/>
  <c r="B51" i="1"/>
  <c r="Q50" i="1"/>
  <c r="I50" i="1"/>
  <c r="H50" i="1"/>
  <c r="O50" i="1" s="1"/>
  <c r="G50" i="1"/>
  <c r="E50" i="1"/>
  <c r="D50" i="1"/>
  <c r="C50" i="1"/>
  <c r="B50" i="1"/>
  <c r="Q49" i="1"/>
  <c r="I49" i="1"/>
  <c r="H49" i="1"/>
  <c r="O49" i="1" s="1"/>
  <c r="G49" i="1"/>
  <c r="E49" i="1"/>
  <c r="D49" i="1"/>
  <c r="C49" i="1"/>
  <c r="B49" i="1"/>
  <c r="Q48" i="1"/>
  <c r="I48" i="1"/>
  <c r="H48" i="1"/>
  <c r="O48" i="1" s="1"/>
  <c r="G48" i="1"/>
  <c r="E48" i="1"/>
  <c r="D48" i="1"/>
  <c r="C48" i="1"/>
  <c r="B48" i="1"/>
  <c r="Q47" i="1"/>
  <c r="I47" i="1"/>
  <c r="H47" i="1"/>
  <c r="O47" i="1" s="1"/>
  <c r="G47" i="1"/>
  <c r="E47" i="1"/>
  <c r="D47" i="1"/>
  <c r="C47" i="1"/>
  <c r="B47" i="1"/>
  <c r="Q46" i="1"/>
  <c r="I46" i="1"/>
  <c r="H46" i="1"/>
  <c r="O46" i="1" s="1"/>
  <c r="G46" i="1"/>
  <c r="E46" i="1"/>
  <c r="D46" i="1"/>
  <c r="C46" i="1"/>
  <c r="B46" i="1"/>
  <c r="Q45" i="1"/>
  <c r="I45" i="1"/>
  <c r="H45" i="1"/>
  <c r="O45" i="1" s="1"/>
  <c r="G45" i="1"/>
  <c r="E45" i="1"/>
  <c r="D45" i="1"/>
  <c r="C45" i="1"/>
  <c r="B45" i="1"/>
  <c r="Q44" i="1"/>
  <c r="I44" i="1"/>
  <c r="H44" i="1"/>
  <c r="O44" i="1" s="1"/>
  <c r="G44" i="1"/>
  <c r="E44" i="1"/>
  <c r="D44" i="1"/>
  <c r="C44" i="1"/>
  <c r="B44" i="1"/>
  <c r="Q43" i="1"/>
  <c r="I43" i="1"/>
  <c r="H43" i="1"/>
  <c r="O43" i="1" s="1"/>
  <c r="G43" i="1"/>
  <c r="E43" i="1"/>
  <c r="D43" i="1"/>
  <c r="C43" i="1"/>
  <c r="B43" i="1"/>
  <c r="Q42" i="1"/>
  <c r="I42" i="1"/>
  <c r="H42" i="1"/>
  <c r="O42" i="1" s="1"/>
  <c r="G42" i="1"/>
  <c r="E42" i="1"/>
  <c r="D42" i="1"/>
  <c r="C42" i="1"/>
  <c r="B42" i="1"/>
  <c r="Q41" i="1"/>
  <c r="I41" i="1"/>
  <c r="H41" i="1"/>
  <c r="O41" i="1" s="1"/>
  <c r="G41" i="1"/>
  <c r="E41" i="1"/>
  <c r="D41" i="1"/>
  <c r="C41" i="1"/>
  <c r="B41" i="1"/>
  <c r="Q40" i="1"/>
  <c r="I40" i="1"/>
  <c r="H40" i="1"/>
  <c r="O40" i="1" s="1"/>
  <c r="G40" i="1"/>
  <c r="E40" i="1"/>
  <c r="D40" i="1"/>
  <c r="C40" i="1"/>
  <c r="B40" i="1"/>
  <c r="Q39" i="1"/>
  <c r="I39" i="1"/>
  <c r="H39" i="1"/>
  <c r="O39" i="1" s="1"/>
  <c r="G39" i="1"/>
  <c r="E39" i="1"/>
  <c r="D39" i="1"/>
  <c r="C39" i="1"/>
  <c r="B39" i="1"/>
  <c r="Q38" i="1"/>
  <c r="I38" i="1"/>
  <c r="H38" i="1"/>
  <c r="O38" i="1" s="1"/>
  <c r="G38" i="1"/>
  <c r="E38" i="1"/>
  <c r="D38" i="1"/>
  <c r="C38" i="1"/>
  <c r="B38" i="1"/>
  <c r="Q37" i="1"/>
  <c r="I37" i="1"/>
  <c r="H37" i="1"/>
  <c r="O37" i="1" s="1"/>
  <c r="G37" i="1"/>
  <c r="E37" i="1"/>
  <c r="D37" i="1"/>
  <c r="C37" i="1"/>
  <c r="B37" i="1"/>
  <c r="Q36" i="1"/>
  <c r="I36" i="1"/>
  <c r="H36" i="1"/>
  <c r="O36" i="1" s="1"/>
  <c r="G36" i="1"/>
  <c r="E36" i="1"/>
  <c r="D36" i="1"/>
  <c r="C36" i="1"/>
  <c r="B36" i="1"/>
  <c r="Q35" i="1"/>
  <c r="I35" i="1"/>
  <c r="H35" i="1"/>
  <c r="O35" i="1" s="1"/>
  <c r="G35" i="1"/>
  <c r="E35" i="1"/>
  <c r="D35" i="1"/>
  <c r="C35" i="1"/>
  <c r="B35" i="1"/>
  <c r="Q34" i="1"/>
  <c r="I34" i="1"/>
  <c r="H34" i="1"/>
  <c r="O34" i="1" s="1"/>
  <c r="G34" i="1"/>
  <c r="E34" i="1"/>
  <c r="D34" i="1"/>
  <c r="C34" i="1"/>
  <c r="B34" i="1"/>
  <c r="Q33" i="1"/>
  <c r="I33" i="1"/>
  <c r="H33" i="1"/>
  <c r="O33" i="1" s="1"/>
  <c r="G33" i="1"/>
  <c r="E33" i="1"/>
  <c r="D33" i="1"/>
  <c r="C33" i="1"/>
  <c r="B33" i="1"/>
  <c r="Q32" i="1"/>
  <c r="I32" i="1"/>
  <c r="H32" i="1"/>
  <c r="O32" i="1" s="1"/>
  <c r="G32" i="1"/>
  <c r="E32" i="1"/>
  <c r="D32" i="1"/>
  <c r="C32" i="1"/>
  <c r="B32" i="1"/>
  <c r="Q31" i="1"/>
  <c r="I31" i="1"/>
  <c r="H31" i="1"/>
  <c r="O31" i="1" s="1"/>
  <c r="G31" i="1"/>
  <c r="E31" i="1"/>
  <c r="D31" i="1"/>
  <c r="C31" i="1"/>
  <c r="B31" i="1"/>
  <c r="Q30" i="1"/>
  <c r="I30" i="1"/>
  <c r="H30" i="1"/>
  <c r="O30" i="1" s="1"/>
  <c r="G30" i="1"/>
  <c r="E30" i="1"/>
  <c r="D30" i="1"/>
  <c r="C30" i="1"/>
  <c r="B30" i="1"/>
  <c r="Q29" i="1"/>
  <c r="I29" i="1"/>
  <c r="H29" i="1"/>
  <c r="O29" i="1" s="1"/>
  <c r="G29" i="1"/>
  <c r="E29" i="1"/>
  <c r="D29" i="1"/>
  <c r="C29" i="1"/>
  <c r="B29" i="1"/>
  <c r="Q28" i="1"/>
  <c r="I28" i="1"/>
  <c r="H28" i="1"/>
  <c r="O28" i="1" s="1"/>
  <c r="G28" i="1"/>
  <c r="E28" i="1"/>
  <c r="D28" i="1"/>
  <c r="C28" i="1"/>
  <c r="B28" i="1"/>
  <c r="Q27" i="1"/>
  <c r="I27" i="1"/>
  <c r="H27" i="1"/>
  <c r="O27" i="1" s="1"/>
  <c r="G27" i="1"/>
  <c r="E27" i="1"/>
  <c r="D27" i="1"/>
  <c r="C27" i="1"/>
  <c r="B27" i="1"/>
  <c r="Q26" i="1"/>
  <c r="I26" i="1"/>
  <c r="H26" i="1"/>
  <c r="O26" i="1" s="1"/>
  <c r="G26" i="1"/>
  <c r="E26" i="1"/>
  <c r="D26" i="1"/>
  <c r="C26" i="1"/>
  <c r="B26" i="1"/>
  <c r="Q25" i="1"/>
  <c r="I25" i="1"/>
  <c r="H25" i="1"/>
  <c r="O25" i="1" s="1"/>
  <c r="G25" i="1"/>
  <c r="E25" i="1"/>
  <c r="D25" i="1"/>
  <c r="C25" i="1"/>
  <c r="B25" i="1"/>
  <c r="Q24" i="1"/>
  <c r="I24" i="1"/>
  <c r="H24" i="1"/>
  <c r="O24" i="1" s="1"/>
  <c r="G24" i="1"/>
  <c r="E24" i="1"/>
  <c r="D24" i="1"/>
  <c r="C24" i="1"/>
  <c r="B24" i="1"/>
  <c r="Q23" i="1"/>
  <c r="I23" i="1"/>
  <c r="H23" i="1"/>
  <c r="O23" i="1" s="1"/>
  <c r="G23" i="1"/>
  <c r="E23" i="1"/>
  <c r="D23" i="1"/>
  <c r="C23" i="1"/>
  <c r="B23" i="1"/>
  <c r="Q22" i="1"/>
  <c r="I22" i="1"/>
  <c r="H22" i="1"/>
  <c r="O22" i="1" s="1"/>
  <c r="G22" i="1"/>
  <c r="E22" i="1"/>
  <c r="D22" i="1"/>
  <c r="C22" i="1"/>
  <c r="B22" i="1"/>
  <c r="Q21" i="1"/>
  <c r="I21" i="1"/>
  <c r="H21" i="1"/>
  <c r="O21" i="1" s="1"/>
  <c r="G21" i="1"/>
  <c r="E21" i="1"/>
  <c r="D21" i="1"/>
  <c r="C21" i="1"/>
  <c r="B21" i="1"/>
  <c r="Q20" i="1"/>
  <c r="I20" i="1"/>
  <c r="H20" i="1"/>
  <c r="O20" i="1" s="1"/>
  <c r="G20" i="1"/>
  <c r="E20" i="1"/>
  <c r="D20" i="1"/>
  <c r="C20" i="1"/>
  <c r="B20" i="1"/>
  <c r="Q19" i="1"/>
  <c r="I19" i="1"/>
  <c r="H19" i="1"/>
  <c r="O19" i="1" s="1"/>
  <c r="G19" i="1"/>
  <c r="E19" i="1"/>
  <c r="D19" i="1"/>
  <c r="C19" i="1"/>
  <c r="B19" i="1"/>
  <c r="Q18" i="1"/>
  <c r="I18" i="1"/>
  <c r="H18" i="1"/>
  <c r="O18" i="1" s="1"/>
  <c r="G18" i="1"/>
  <c r="E18" i="1"/>
  <c r="D18" i="1"/>
  <c r="C18" i="1"/>
  <c r="B18" i="1"/>
  <c r="Q17" i="1"/>
  <c r="I17" i="1"/>
  <c r="H17" i="1"/>
  <c r="O17" i="1" s="1"/>
  <c r="G17" i="1"/>
  <c r="E17" i="1"/>
  <c r="D17" i="1"/>
  <c r="C17" i="1"/>
  <c r="B17" i="1"/>
  <c r="Q16" i="1"/>
  <c r="I16" i="1"/>
  <c r="H16" i="1"/>
  <c r="O16" i="1" s="1"/>
  <c r="G16" i="1"/>
  <c r="E16" i="1"/>
  <c r="D16" i="1"/>
  <c r="C16" i="1"/>
  <c r="B16" i="1"/>
  <c r="Q15" i="1"/>
  <c r="I15" i="1"/>
  <c r="H15" i="1"/>
  <c r="O15" i="1" s="1"/>
  <c r="G15" i="1"/>
  <c r="E15" i="1"/>
  <c r="D15" i="1"/>
  <c r="C15" i="1"/>
  <c r="B15" i="1"/>
  <c r="Q14" i="1"/>
  <c r="I14" i="1"/>
  <c r="H14" i="1"/>
  <c r="O14" i="1" s="1"/>
  <c r="G14" i="1"/>
  <c r="E14" i="1"/>
  <c r="D14" i="1"/>
  <c r="C14" i="1"/>
  <c r="B14" i="1"/>
  <c r="Q13" i="1"/>
  <c r="I13" i="1"/>
  <c r="H13" i="1"/>
  <c r="O13" i="1" s="1"/>
  <c r="G13" i="1"/>
  <c r="E13" i="1"/>
  <c r="D13" i="1"/>
  <c r="C13" i="1"/>
  <c r="B13" i="1"/>
  <c r="Q12" i="1"/>
  <c r="I12" i="1"/>
  <c r="H12" i="1"/>
  <c r="O12" i="1" s="1"/>
  <c r="G12" i="1"/>
  <c r="E12" i="1"/>
  <c r="D12" i="1"/>
  <c r="C12" i="1"/>
  <c r="B12" i="1"/>
  <c r="Q11" i="1"/>
  <c r="I11" i="1"/>
  <c r="H11" i="1"/>
  <c r="O11" i="1" s="1"/>
  <c r="G11" i="1"/>
  <c r="E11" i="1"/>
  <c r="D11" i="1"/>
  <c r="C11" i="1"/>
  <c r="B11" i="1"/>
  <c r="Q10" i="1"/>
  <c r="I10" i="1"/>
  <c r="H10" i="1"/>
  <c r="O10" i="1" s="1"/>
  <c r="G10" i="1"/>
  <c r="E10" i="1"/>
  <c r="D10" i="1"/>
  <c r="C10" i="1"/>
  <c r="B10" i="1"/>
  <c r="Q9" i="1"/>
  <c r="I9" i="1"/>
  <c r="H9" i="1"/>
  <c r="O9" i="1" s="1"/>
  <c r="G9" i="1"/>
  <c r="E9" i="1"/>
  <c r="D9" i="1"/>
  <c r="C9" i="1"/>
  <c r="B9" i="1"/>
  <c r="Q8" i="1"/>
  <c r="I8" i="1"/>
  <c r="H8" i="1"/>
  <c r="O8" i="1" s="1"/>
  <c r="G8" i="1"/>
  <c r="E8" i="1"/>
  <c r="D8" i="1"/>
  <c r="C8" i="1"/>
  <c r="B8" i="1"/>
  <c r="Q7" i="1"/>
  <c r="I7" i="1"/>
  <c r="H7" i="1"/>
  <c r="O7" i="1" s="1"/>
  <c r="G7" i="1"/>
  <c r="E7" i="1"/>
  <c r="D7" i="1"/>
  <c r="C7" i="1"/>
  <c r="B7" i="1"/>
  <c r="Q6" i="1"/>
  <c r="I6" i="1"/>
  <c r="H6" i="1"/>
  <c r="O6" i="1" s="1"/>
  <c r="G6" i="1"/>
  <c r="E6" i="1"/>
  <c r="D6" i="1"/>
  <c r="C6" i="1"/>
  <c r="B6" i="1"/>
  <c r="Q5" i="1"/>
  <c r="I5" i="1"/>
  <c r="H5" i="1"/>
  <c r="O5" i="1" s="1"/>
  <c r="G5" i="1"/>
  <c r="E5" i="1"/>
  <c r="D5" i="1"/>
  <c r="C5" i="1"/>
  <c r="B5" i="1"/>
  <c r="Q4" i="1"/>
  <c r="I4" i="1"/>
  <c r="H4" i="1"/>
  <c r="O4" i="1" s="1"/>
  <c r="G4" i="1"/>
  <c r="E4" i="1"/>
  <c r="D4" i="1"/>
  <c r="C4" i="1"/>
  <c r="B4" i="1"/>
  <c r="Q3" i="1"/>
  <c r="I3" i="1"/>
  <c r="H3" i="1"/>
  <c r="O3" i="1" s="1"/>
  <c r="G3" i="1"/>
  <c r="E3" i="1"/>
  <c r="D3" i="1"/>
  <c r="C3" i="1"/>
  <c r="B3" i="1"/>
  <c r="Q2" i="1"/>
  <c r="I2" i="1"/>
  <c r="H2" i="1"/>
  <c r="O2" i="1" s="1"/>
  <c r="G2" i="1"/>
  <c r="E2" i="1"/>
  <c r="D2" i="1"/>
  <c r="C2" i="1"/>
  <c r="B2" i="1"/>
  <c r="P28" i="1" l="1"/>
  <c r="P36" i="1"/>
  <c r="P48" i="1"/>
  <c r="P50" i="1"/>
  <c r="P63" i="1"/>
  <c r="O116" i="1"/>
  <c r="N116" i="1"/>
  <c r="M116" i="1"/>
  <c r="K116" i="1"/>
  <c r="N399" i="1"/>
  <c r="L399" i="1"/>
  <c r="K399" i="1"/>
  <c r="J399" i="1"/>
  <c r="P399" i="1"/>
  <c r="O399" i="1"/>
  <c r="M399" i="1"/>
  <c r="J67" i="1"/>
  <c r="K68" i="1"/>
  <c r="L69" i="1"/>
  <c r="M70" i="1"/>
  <c r="O71" i="1"/>
  <c r="P72" i="1"/>
  <c r="J75" i="1"/>
  <c r="K76" i="1"/>
  <c r="L77" i="1"/>
  <c r="M78" i="1"/>
  <c r="N80" i="1"/>
  <c r="K80" i="1"/>
  <c r="M82" i="1"/>
  <c r="N84" i="1"/>
  <c r="K84" i="1"/>
  <c r="M86" i="1"/>
  <c r="O89" i="1"/>
  <c r="N93" i="1"/>
  <c r="M93" i="1"/>
  <c r="K93" i="1"/>
  <c r="L94" i="1"/>
  <c r="O97" i="1"/>
  <c r="N101" i="1"/>
  <c r="M101" i="1"/>
  <c r="K101" i="1"/>
  <c r="L102" i="1"/>
  <c r="O105" i="1"/>
  <c r="N109" i="1"/>
  <c r="M109" i="1"/>
  <c r="K109" i="1"/>
  <c r="L110" i="1"/>
  <c r="L194" i="1"/>
  <c r="K194" i="1"/>
  <c r="P194" i="1"/>
  <c r="O194" i="1"/>
  <c r="N194" i="1"/>
  <c r="M194" i="1"/>
  <c r="J194" i="1"/>
  <c r="P12" i="1"/>
  <c r="P37" i="1"/>
  <c r="P60" i="1"/>
  <c r="P61" i="1"/>
  <c r="P62" i="1"/>
  <c r="P64" i="1"/>
  <c r="N88" i="1"/>
  <c r="M88" i="1"/>
  <c r="K8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L68" i="1"/>
  <c r="M69" i="1"/>
  <c r="O70" i="1"/>
  <c r="P71" i="1"/>
  <c r="J74" i="1"/>
  <c r="L76" i="1"/>
  <c r="M77" i="1"/>
  <c r="O78" i="1"/>
  <c r="O82" i="1"/>
  <c r="O86" i="1"/>
  <c r="J88" i="1"/>
  <c r="N90" i="1"/>
  <c r="M90" i="1"/>
  <c r="K90" i="1"/>
  <c r="J96" i="1"/>
  <c r="N98" i="1"/>
  <c r="M98" i="1"/>
  <c r="K98" i="1"/>
  <c r="J104" i="1"/>
  <c r="N106" i="1"/>
  <c r="M106" i="1"/>
  <c r="K106" i="1"/>
  <c r="J112" i="1"/>
  <c r="J114" i="1"/>
  <c r="J116" i="1"/>
  <c r="L206" i="1"/>
  <c r="K206" i="1"/>
  <c r="P206" i="1"/>
  <c r="O206" i="1"/>
  <c r="N206" i="1"/>
  <c r="M206" i="1"/>
  <c r="J206" i="1"/>
  <c r="P35" i="1"/>
  <c r="P46" i="1"/>
  <c r="P49" i="1"/>
  <c r="P55" i="1"/>
  <c r="P57" i="1"/>
  <c r="O118" i="1"/>
  <c r="N118" i="1"/>
  <c r="M118" i="1"/>
  <c r="K11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O69" i="1"/>
  <c r="P70" i="1"/>
  <c r="K74" i="1"/>
  <c r="O77" i="1"/>
  <c r="P78" i="1"/>
  <c r="N79" i="1"/>
  <c r="K79" i="1"/>
  <c r="N83" i="1"/>
  <c r="K83" i="1"/>
  <c r="N87" i="1"/>
  <c r="M87" i="1"/>
  <c r="K87" i="1"/>
  <c r="L88" i="1"/>
  <c r="N95" i="1"/>
  <c r="M95" i="1"/>
  <c r="K95" i="1"/>
  <c r="L96" i="1"/>
  <c r="N103" i="1"/>
  <c r="M103" i="1"/>
  <c r="K103" i="1"/>
  <c r="L104" i="1"/>
  <c r="N111" i="1"/>
  <c r="M111" i="1"/>
  <c r="K111" i="1"/>
  <c r="L114" i="1"/>
  <c r="L116" i="1"/>
  <c r="L118" i="1"/>
  <c r="K146" i="1"/>
  <c r="P146" i="1"/>
  <c r="O146" i="1"/>
  <c r="N146" i="1"/>
  <c r="M146" i="1"/>
  <c r="L146" i="1"/>
  <c r="J146" i="1"/>
  <c r="K154" i="1"/>
  <c r="P154" i="1"/>
  <c r="O154" i="1"/>
  <c r="N154" i="1"/>
  <c r="M154" i="1"/>
  <c r="L154" i="1"/>
  <c r="J154" i="1"/>
  <c r="K162" i="1"/>
  <c r="P162" i="1"/>
  <c r="O162" i="1"/>
  <c r="N162" i="1"/>
  <c r="M162" i="1"/>
  <c r="L162" i="1"/>
  <c r="J162" i="1"/>
  <c r="L186" i="1"/>
  <c r="K186" i="1"/>
  <c r="P186" i="1"/>
  <c r="O186" i="1"/>
  <c r="N186" i="1"/>
  <c r="M186" i="1"/>
  <c r="J186" i="1"/>
  <c r="P8" i="1"/>
  <c r="P15" i="1"/>
  <c r="P16" i="1"/>
  <c r="P17" i="1"/>
  <c r="P18" i="1"/>
  <c r="P19" i="1"/>
  <c r="P20" i="1"/>
  <c r="P21" i="1"/>
  <c r="P23" i="1"/>
  <c r="P25" i="1"/>
  <c r="P43" i="1"/>
  <c r="P44" i="1"/>
  <c r="P45" i="1"/>
  <c r="P51" i="1"/>
  <c r="P53" i="1"/>
  <c r="P65" i="1"/>
  <c r="O112" i="1"/>
  <c r="N112" i="1"/>
  <c r="M112" i="1"/>
  <c r="K112" i="1"/>
  <c r="N352" i="1"/>
  <c r="P352" i="1"/>
  <c r="O352" i="1"/>
  <c r="M352" i="1"/>
  <c r="L352" i="1"/>
  <c r="K352" i="1"/>
  <c r="J352" i="1"/>
  <c r="N391" i="1"/>
  <c r="L391" i="1"/>
  <c r="K391" i="1"/>
  <c r="J391" i="1"/>
  <c r="P391" i="1"/>
  <c r="O391" i="1"/>
  <c r="M391" i="1"/>
  <c r="N403" i="1"/>
  <c r="L403" i="1"/>
  <c r="K403" i="1"/>
  <c r="J403" i="1"/>
  <c r="P403" i="1"/>
  <c r="O403" i="1"/>
  <c r="M403" i="1"/>
  <c r="N415" i="1"/>
  <c r="L415" i="1"/>
  <c r="K415" i="1"/>
  <c r="J415" i="1"/>
  <c r="P415" i="1"/>
  <c r="O415" i="1"/>
  <c r="M41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P69" i="1"/>
  <c r="L74" i="1"/>
  <c r="P77" i="1"/>
  <c r="O88" i="1"/>
  <c r="N92" i="1"/>
  <c r="M92" i="1"/>
  <c r="K92" i="1"/>
  <c r="O96" i="1"/>
  <c r="N100" i="1"/>
  <c r="M100" i="1"/>
  <c r="K100" i="1"/>
  <c r="N108" i="1"/>
  <c r="M108" i="1"/>
  <c r="K108" i="1"/>
  <c r="P112" i="1"/>
  <c r="O113" i="1"/>
  <c r="N113" i="1"/>
  <c r="M113" i="1"/>
  <c r="K113" i="1"/>
  <c r="O115" i="1"/>
  <c r="N115" i="1"/>
  <c r="M115" i="1"/>
  <c r="K115" i="1"/>
  <c r="P116" i="1"/>
  <c r="O117" i="1"/>
  <c r="N117" i="1"/>
  <c r="M117" i="1"/>
  <c r="K117" i="1"/>
  <c r="P118" i="1"/>
  <c r="K170" i="1"/>
  <c r="P170" i="1"/>
  <c r="O170" i="1"/>
  <c r="N170" i="1"/>
  <c r="M170" i="1"/>
  <c r="L170" i="1"/>
  <c r="J170" i="1"/>
  <c r="K178" i="1"/>
  <c r="P178" i="1"/>
  <c r="O178" i="1"/>
  <c r="N178" i="1"/>
  <c r="M178" i="1"/>
  <c r="L178" i="1"/>
  <c r="J178" i="1"/>
  <c r="L198" i="1"/>
  <c r="K198" i="1"/>
  <c r="P198" i="1"/>
  <c r="O198" i="1"/>
  <c r="N198" i="1"/>
  <c r="M198" i="1"/>
  <c r="J198" i="1"/>
  <c r="P4" i="1"/>
  <c r="P5" i="1"/>
  <c r="P6" i="1"/>
  <c r="P7" i="1"/>
  <c r="P27" i="1"/>
  <c r="P34" i="1"/>
  <c r="P42" i="1"/>
  <c r="N104" i="1"/>
  <c r="M104" i="1"/>
  <c r="K104" i="1"/>
  <c r="N411" i="1"/>
  <c r="L411" i="1"/>
  <c r="K411" i="1"/>
  <c r="J411" i="1"/>
  <c r="P411" i="1"/>
  <c r="O411" i="1"/>
  <c r="M411" i="1"/>
  <c r="M3" i="1"/>
  <c r="M5" i="1"/>
  <c r="M8" i="1"/>
  <c r="M9" i="1"/>
  <c r="M12" i="1"/>
  <c r="M14" i="1"/>
  <c r="M16" i="1"/>
  <c r="M18" i="1"/>
  <c r="M20" i="1"/>
  <c r="M22" i="1"/>
  <c r="M24" i="1"/>
  <c r="M26" i="1"/>
  <c r="M28" i="1"/>
  <c r="M30" i="1"/>
  <c r="M32" i="1"/>
  <c r="M34" i="1"/>
  <c r="M36" i="1"/>
  <c r="M37" i="1"/>
  <c r="M39" i="1"/>
  <c r="M41" i="1"/>
  <c r="M43" i="1"/>
  <c r="M45" i="1"/>
  <c r="M47" i="1"/>
  <c r="M49" i="1"/>
  <c r="M51" i="1"/>
  <c r="M53" i="1"/>
  <c r="M55" i="1"/>
  <c r="M58" i="1"/>
  <c r="M59" i="1"/>
  <c r="M60" i="1"/>
  <c r="M61" i="1"/>
  <c r="M62" i="1"/>
  <c r="M63" i="1"/>
  <c r="M64" i="1"/>
  <c r="M65" i="1"/>
  <c r="M66" i="1"/>
  <c r="M74" i="1"/>
  <c r="N82" i="1"/>
  <c r="K82" i="1"/>
  <c r="N86" i="1"/>
  <c r="K86" i="1"/>
  <c r="P88" i="1"/>
  <c r="N89" i="1"/>
  <c r="M89" i="1"/>
  <c r="K89" i="1"/>
  <c r="N97" i="1"/>
  <c r="M97" i="1"/>
  <c r="K97" i="1"/>
  <c r="P104" i="1"/>
  <c r="N105" i="1"/>
  <c r="M105" i="1"/>
  <c r="K105" i="1"/>
  <c r="L210" i="1"/>
  <c r="K210" i="1"/>
  <c r="P210" i="1"/>
  <c r="O210" i="1"/>
  <c r="N210" i="1"/>
  <c r="M210" i="1"/>
  <c r="J210" i="1"/>
  <c r="P3" i="1"/>
  <c r="P9" i="1"/>
  <c r="P10" i="1"/>
  <c r="P11" i="1"/>
  <c r="P13" i="1"/>
  <c r="P26" i="1"/>
  <c r="P38" i="1"/>
  <c r="P40" i="1"/>
  <c r="P47" i="1"/>
  <c r="P52" i="1"/>
  <c r="P54" i="1"/>
  <c r="P56" i="1"/>
  <c r="N96" i="1"/>
  <c r="M96" i="1"/>
  <c r="K96" i="1"/>
  <c r="O114" i="1"/>
  <c r="N114" i="1"/>
  <c r="M114" i="1"/>
  <c r="K114" i="1"/>
  <c r="N387" i="1"/>
  <c r="L387" i="1"/>
  <c r="K387" i="1"/>
  <c r="J387" i="1"/>
  <c r="P387" i="1"/>
  <c r="O387" i="1"/>
  <c r="M387" i="1"/>
  <c r="M2" i="1"/>
  <c r="M4" i="1"/>
  <c r="M6" i="1"/>
  <c r="M7" i="1"/>
  <c r="M10" i="1"/>
  <c r="M11" i="1"/>
  <c r="M13" i="1"/>
  <c r="M15" i="1"/>
  <c r="M17" i="1"/>
  <c r="M19" i="1"/>
  <c r="M21" i="1"/>
  <c r="M23" i="1"/>
  <c r="M25" i="1"/>
  <c r="M27" i="1"/>
  <c r="M29" i="1"/>
  <c r="M31" i="1"/>
  <c r="M33" i="1"/>
  <c r="M35" i="1"/>
  <c r="M38" i="1"/>
  <c r="M40" i="1"/>
  <c r="M42" i="1"/>
  <c r="M44" i="1"/>
  <c r="M46" i="1"/>
  <c r="M48" i="1"/>
  <c r="M50" i="1"/>
  <c r="M52" i="1"/>
  <c r="M54" i="1"/>
  <c r="M56" i="1"/>
  <c r="M5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O66" i="1"/>
  <c r="J70" i="1"/>
  <c r="K71" i="1"/>
  <c r="O74" i="1"/>
  <c r="J78" i="1"/>
  <c r="L79" i="1"/>
  <c r="L83" i="1"/>
  <c r="L87" i="1"/>
  <c r="J92" i="1"/>
  <c r="N94" i="1"/>
  <c r="M94" i="1"/>
  <c r="K94" i="1"/>
  <c r="L95" i="1"/>
  <c r="J100" i="1"/>
  <c r="N102" i="1"/>
  <c r="M102" i="1"/>
  <c r="K102" i="1"/>
  <c r="L103" i="1"/>
  <c r="J108" i="1"/>
  <c r="N110" i="1"/>
  <c r="M110" i="1"/>
  <c r="K110" i="1"/>
  <c r="L111" i="1"/>
  <c r="J113" i="1"/>
  <c r="J115" i="1"/>
  <c r="J117" i="1"/>
  <c r="L190" i="1"/>
  <c r="K190" i="1"/>
  <c r="P190" i="1"/>
  <c r="O190" i="1"/>
  <c r="N190" i="1"/>
  <c r="M190" i="1"/>
  <c r="J190" i="1"/>
  <c r="J226" i="1"/>
  <c r="K226" i="1"/>
  <c r="P226" i="1"/>
  <c r="O226" i="1"/>
  <c r="N226" i="1"/>
  <c r="M226" i="1"/>
  <c r="L226" i="1"/>
  <c r="P2" i="1"/>
  <c r="P14" i="1"/>
  <c r="P22" i="1"/>
  <c r="P24" i="1"/>
  <c r="P29" i="1"/>
  <c r="P30" i="1"/>
  <c r="P31" i="1"/>
  <c r="P32" i="1"/>
  <c r="P33" i="1"/>
  <c r="P39" i="1"/>
  <c r="P41" i="1"/>
  <c r="P58" i="1"/>
  <c r="P59" i="1"/>
  <c r="N395" i="1"/>
  <c r="L395" i="1"/>
  <c r="K395" i="1"/>
  <c r="J395" i="1"/>
  <c r="P395" i="1"/>
  <c r="O395" i="1"/>
  <c r="M395" i="1"/>
  <c r="N407" i="1"/>
  <c r="L407" i="1"/>
  <c r="K407" i="1"/>
  <c r="J407" i="1"/>
  <c r="P407" i="1"/>
  <c r="O407" i="1"/>
  <c r="M407" i="1"/>
  <c r="K444" i="1"/>
  <c r="J444" i="1"/>
  <c r="L444" i="1"/>
  <c r="P444" i="1"/>
  <c r="O444" i="1"/>
  <c r="N444" i="1"/>
  <c r="M444" i="1"/>
  <c r="P66" i="1"/>
  <c r="J69" i="1"/>
  <c r="K70" i="1"/>
  <c r="L71" i="1"/>
  <c r="M72" i="1"/>
  <c r="P74" i="1"/>
  <c r="J77" i="1"/>
  <c r="K78" i="1"/>
  <c r="M79" i="1"/>
  <c r="N81" i="1"/>
  <c r="K81" i="1"/>
  <c r="J82" i="1"/>
  <c r="M83" i="1"/>
  <c r="N85" i="1"/>
  <c r="K85" i="1"/>
  <c r="J86" i="1"/>
  <c r="O87" i="1"/>
  <c r="J89" i="1"/>
  <c r="P90" i="1"/>
  <c r="N91" i="1"/>
  <c r="M91" i="1"/>
  <c r="K91" i="1"/>
  <c r="L92" i="1"/>
  <c r="O95" i="1"/>
  <c r="J97" i="1"/>
  <c r="P98" i="1"/>
  <c r="N99" i="1"/>
  <c r="M99" i="1"/>
  <c r="K99" i="1"/>
  <c r="L100" i="1"/>
  <c r="O103" i="1"/>
  <c r="J105" i="1"/>
  <c r="P106" i="1"/>
  <c r="N107" i="1"/>
  <c r="M107" i="1"/>
  <c r="K107" i="1"/>
  <c r="L108" i="1"/>
  <c r="O111" i="1"/>
  <c r="L113" i="1"/>
  <c r="L115" i="1"/>
  <c r="L117" i="1"/>
  <c r="L202" i="1"/>
  <c r="K202" i="1"/>
  <c r="P202" i="1"/>
  <c r="O202" i="1"/>
  <c r="N202" i="1"/>
  <c r="M202" i="1"/>
  <c r="J202" i="1"/>
  <c r="N953" i="1"/>
  <c r="L953" i="1"/>
  <c r="J953" i="1"/>
  <c r="P953" i="1"/>
  <c r="O953" i="1"/>
  <c r="M953" i="1"/>
  <c r="K953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L140" i="1"/>
  <c r="P144" i="1"/>
  <c r="L148" i="1"/>
  <c r="P152" i="1"/>
  <c r="L156" i="1"/>
  <c r="P160" i="1"/>
  <c r="L164" i="1"/>
  <c r="P168" i="1"/>
  <c r="L172" i="1"/>
  <c r="M173" i="1"/>
  <c r="P176" i="1"/>
  <c r="L180" i="1"/>
  <c r="M181" i="1"/>
  <c r="P184" i="1"/>
  <c r="M187" i="1"/>
  <c r="M191" i="1"/>
  <c r="M195" i="1"/>
  <c r="M199" i="1"/>
  <c r="M203" i="1"/>
  <c r="M207" i="1"/>
  <c r="M211" i="1"/>
  <c r="J223" i="1"/>
  <c r="P223" i="1"/>
  <c r="O223" i="1"/>
  <c r="M223" i="1"/>
  <c r="L223" i="1"/>
  <c r="J237" i="1"/>
  <c r="O237" i="1"/>
  <c r="N237" i="1"/>
  <c r="M237" i="1"/>
  <c r="K237" i="1"/>
  <c r="J270" i="1"/>
  <c r="N270" i="1"/>
  <c r="P270" i="1"/>
  <c r="O270" i="1"/>
  <c r="M270" i="1"/>
  <c r="L270" i="1"/>
  <c r="K270" i="1"/>
  <c r="J286" i="1"/>
  <c r="N286" i="1"/>
  <c r="P286" i="1"/>
  <c r="O286" i="1"/>
  <c r="M286" i="1"/>
  <c r="L286" i="1"/>
  <c r="K286" i="1"/>
  <c r="J298" i="1"/>
  <c r="N298" i="1"/>
  <c r="P298" i="1"/>
  <c r="O298" i="1"/>
  <c r="M298" i="1"/>
  <c r="L298" i="1"/>
  <c r="K298" i="1"/>
  <c r="J318" i="1"/>
  <c r="N318" i="1"/>
  <c r="M318" i="1"/>
  <c r="P318" i="1"/>
  <c r="O318" i="1"/>
  <c r="L318" i="1"/>
  <c r="K318" i="1"/>
  <c r="L189" i="1"/>
  <c r="K189" i="1"/>
  <c r="L193" i="1"/>
  <c r="K193" i="1"/>
  <c r="L197" i="1"/>
  <c r="K197" i="1"/>
  <c r="L201" i="1"/>
  <c r="K201" i="1"/>
  <c r="L205" i="1"/>
  <c r="K205" i="1"/>
  <c r="L209" i="1"/>
  <c r="K209" i="1"/>
  <c r="J221" i="1"/>
  <c r="N221" i="1"/>
  <c r="M221" i="1"/>
  <c r="K221" i="1"/>
  <c r="J230" i="1"/>
  <c r="P230" i="1"/>
  <c r="O230" i="1"/>
  <c r="N230" i="1"/>
  <c r="L230" i="1"/>
  <c r="K230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N140" i="1"/>
  <c r="O141" i="1"/>
  <c r="J145" i="1"/>
  <c r="N148" i="1"/>
  <c r="O149" i="1"/>
  <c r="J153" i="1"/>
  <c r="N156" i="1"/>
  <c r="O157" i="1"/>
  <c r="J161" i="1"/>
  <c r="N164" i="1"/>
  <c r="O165" i="1"/>
  <c r="J169" i="1"/>
  <c r="N172" i="1"/>
  <c r="O173" i="1"/>
  <c r="J177" i="1"/>
  <c r="N180" i="1"/>
  <c r="O181" i="1"/>
  <c r="P182" i="1"/>
  <c r="J185" i="1"/>
  <c r="O187" i="1"/>
  <c r="O191" i="1"/>
  <c r="O195" i="1"/>
  <c r="O199" i="1"/>
  <c r="O203" i="1"/>
  <c r="O207" i="1"/>
  <c r="O211" i="1"/>
  <c r="K223" i="1"/>
  <c r="J234" i="1"/>
  <c r="L234" i="1"/>
  <c r="K234" i="1"/>
  <c r="P234" i="1"/>
  <c r="O234" i="1"/>
  <c r="L237" i="1"/>
  <c r="J245" i="1"/>
  <c r="O245" i="1"/>
  <c r="N245" i="1"/>
  <c r="M245" i="1"/>
  <c r="K245" i="1"/>
  <c r="J266" i="1"/>
  <c r="N266" i="1"/>
  <c r="P266" i="1"/>
  <c r="O266" i="1"/>
  <c r="M266" i="1"/>
  <c r="L266" i="1"/>
  <c r="K266" i="1"/>
  <c r="J282" i="1"/>
  <c r="N282" i="1"/>
  <c r="P282" i="1"/>
  <c r="O282" i="1"/>
  <c r="M282" i="1"/>
  <c r="L282" i="1"/>
  <c r="K282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O140" i="1"/>
  <c r="P141" i="1"/>
  <c r="J144" i="1"/>
  <c r="L145" i="1"/>
  <c r="O148" i="1"/>
  <c r="P149" i="1"/>
  <c r="J152" i="1"/>
  <c r="L153" i="1"/>
  <c r="O156" i="1"/>
  <c r="P157" i="1"/>
  <c r="J160" i="1"/>
  <c r="L161" i="1"/>
  <c r="O164" i="1"/>
  <c r="P165" i="1"/>
  <c r="J168" i="1"/>
  <c r="L169" i="1"/>
  <c r="O172" i="1"/>
  <c r="P173" i="1"/>
  <c r="J176" i="1"/>
  <c r="L177" i="1"/>
  <c r="O180" i="1"/>
  <c r="P181" i="1"/>
  <c r="J184" i="1"/>
  <c r="L185" i="1"/>
  <c r="L188" i="1"/>
  <c r="K188" i="1"/>
  <c r="J189" i="1"/>
  <c r="L192" i="1"/>
  <c r="K192" i="1"/>
  <c r="J193" i="1"/>
  <c r="L196" i="1"/>
  <c r="K196" i="1"/>
  <c r="J197" i="1"/>
  <c r="L200" i="1"/>
  <c r="K200" i="1"/>
  <c r="J201" i="1"/>
  <c r="L204" i="1"/>
  <c r="K204" i="1"/>
  <c r="J205" i="1"/>
  <c r="L208" i="1"/>
  <c r="K208" i="1"/>
  <c r="J209" i="1"/>
  <c r="L212" i="1"/>
  <c r="K212" i="1"/>
  <c r="L221" i="1"/>
  <c r="N223" i="1"/>
  <c r="M230" i="1"/>
  <c r="J238" i="1"/>
  <c r="P238" i="1"/>
  <c r="O238" i="1"/>
  <c r="N238" i="1"/>
  <c r="L238" i="1"/>
  <c r="K238" i="1"/>
  <c r="J294" i="1"/>
  <c r="N294" i="1"/>
  <c r="P294" i="1"/>
  <c r="O294" i="1"/>
  <c r="M294" i="1"/>
  <c r="L294" i="1"/>
  <c r="K294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P140" i="1"/>
  <c r="L144" i="1"/>
  <c r="M145" i="1"/>
  <c r="P148" i="1"/>
  <c r="L152" i="1"/>
  <c r="M153" i="1"/>
  <c r="P156" i="1"/>
  <c r="L160" i="1"/>
  <c r="M161" i="1"/>
  <c r="P164" i="1"/>
  <c r="L168" i="1"/>
  <c r="P172" i="1"/>
  <c r="L176" i="1"/>
  <c r="P180" i="1"/>
  <c r="L184" i="1"/>
  <c r="M189" i="1"/>
  <c r="M193" i="1"/>
  <c r="M197" i="1"/>
  <c r="M201" i="1"/>
  <c r="M205" i="1"/>
  <c r="M209" i="1"/>
  <c r="O221" i="1"/>
  <c r="J242" i="1"/>
  <c r="L242" i="1"/>
  <c r="K242" i="1"/>
  <c r="P242" i="1"/>
  <c r="O242" i="1"/>
  <c r="J262" i="1"/>
  <c r="N262" i="1"/>
  <c r="P262" i="1"/>
  <c r="O262" i="1"/>
  <c r="M262" i="1"/>
  <c r="L262" i="1"/>
  <c r="K262" i="1"/>
  <c r="J278" i="1"/>
  <c r="N278" i="1"/>
  <c r="P278" i="1"/>
  <c r="O278" i="1"/>
  <c r="M278" i="1"/>
  <c r="L278" i="1"/>
  <c r="K278" i="1"/>
  <c r="M144" i="1"/>
  <c r="M152" i="1"/>
  <c r="M160" i="1"/>
  <c r="M168" i="1"/>
  <c r="M176" i="1"/>
  <c r="M184" i="1"/>
  <c r="L187" i="1"/>
  <c r="K187" i="1"/>
  <c r="N189" i="1"/>
  <c r="L191" i="1"/>
  <c r="K191" i="1"/>
  <c r="N193" i="1"/>
  <c r="L195" i="1"/>
  <c r="K195" i="1"/>
  <c r="N197" i="1"/>
  <c r="L199" i="1"/>
  <c r="K199" i="1"/>
  <c r="N201" i="1"/>
  <c r="L203" i="1"/>
  <c r="K203" i="1"/>
  <c r="N205" i="1"/>
  <c r="L207" i="1"/>
  <c r="K207" i="1"/>
  <c r="N209" i="1"/>
  <c r="L211" i="1"/>
  <c r="K211" i="1"/>
  <c r="P221" i="1"/>
  <c r="J222" i="1"/>
  <c r="O222" i="1"/>
  <c r="N222" i="1"/>
  <c r="L222" i="1"/>
  <c r="K222" i="1"/>
  <c r="J246" i="1"/>
  <c r="P246" i="1"/>
  <c r="O246" i="1"/>
  <c r="N246" i="1"/>
  <c r="L246" i="1"/>
  <c r="K246" i="1"/>
  <c r="J250" i="1"/>
  <c r="N250" i="1"/>
  <c r="P250" i="1"/>
  <c r="O250" i="1"/>
  <c r="M250" i="1"/>
  <c r="K250" i="1"/>
  <c r="J254" i="1"/>
  <c r="N254" i="1"/>
  <c r="P254" i="1"/>
  <c r="O254" i="1"/>
  <c r="M254" i="1"/>
  <c r="K254" i="1"/>
  <c r="J258" i="1"/>
  <c r="N258" i="1"/>
  <c r="P258" i="1"/>
  <c r="O258" i="1"/>
  <c r="M258" i="1"/>
  <c r="L258" i="1"/>
  <c r="K258" i="1"/>
  <c r="J141" i="1"/>
  <c r="L142" i="1"/>
  <c r="M143" i="1"/>
  <c r="N144" i="1"/>
  <c r="O145" i="1"/>
  <c r="J149" i="1"/>
  <c r="L150" i="1"/>
  <c r="M151" i="1"/>
  <c r="N152" i="1"/>
  <c r="O153" i="1"/>
  <c r="J157" i="1"/>
  <c r="L158" i="1"/>
  <c r="M159" i="1"/>
  <c r="N160" i="1"/>
  <c r="O161" i="1"/>
  <c r="J165" i="1"/>
  <c r="L166" i="1"/>
  <c r="M167" i="1"/>
  <c r="N168" i="1"/>
  <c r="O169" i="1"/>
  <c r="J173" i="1"/>
  <c r="L174" i="1"/>
  <c r="M175" i="1"/>
  <c r="N176" i="1"/>
  <c r="O177" i="1"/>
  <c r="J181" i="1"/>
  <c r="L182" i="1"/>
  <c r="M183" i="1"/>
  <c r="N184" i="1"/>
  <c r="O185" i="1"/>
  <c r="M188" i="1"/>
  <c r="O189" i="1"/>
  <c r="M192" i="1"/>
  <c r="O193" i="1"/>
  <c r="M196" i="1"/>
  <c r="O197" i="1"/>
  <c r="M200" i="1"/>
  <c r="O201" i="1"/>
  <c r="M204" i="1"/>
  <c r="O205" i="1"/>
  <c r="M208" i="1"/>
  <c r="O209" i="1"/>
  <c r="M212" i="1"/>
  <c r="J229" i="1"/>
  <c r="O229" i="1"/>
  <c r="N229" i="1"/>
  <c r="M229" i="1"/>
  <c r="K229" i="1"/>
  <c r="M242" i="1"/>
  <c r="J274" i="1"/>
  <c r="N274" i="1"/>
  <c r="P274" i="1"/>
  <c r="O274" i="1"/>
  <c r="M274" i="1"/>
  <c r="L274" i="1"/>
  <c r="K274" i="1"/>
  <c r="J290" i="1"/>
  <c r="N290" i="1"/>
  <c r="P290" i="1"/>
  <c r="O290" i="1"/>
  <c r="M290" i="1"/>
  <c r="L290" i="1"/>
  <c r="K290" i="1"/>
  <c r="J302" i="1"/>
  <c r="N302" i="1"/>
  <c r="J306" i="1"/>
  <c r="N306" i="1"/>
  <c r="J310" i="1"/>
  <c r="N310" i="1"/>
  <c r="J314" i="1"/>
  <c r="N314" i="1"/>
  <c r="K518" i="1"/>
  <c r="J518" i="1"/>
  <c r="P518" i="1"/>
  <c r="O518" i="1"/>
  <c r="N518" i="1"/>
  <c r="M518" i="1"/>
  <c r="L518" i="1"/>
  <c r="P213" i="1"/>
  <c r="P214" i="1"/>
  <c r="P215" i="1"/>
  <c r="P216" i="1"/>
  <c r="P217" i="1"/>
  <c r="P218" i="1"/>
  <c r="P219" i="1"/>
  <c r="L231" i="1"/>
  <c r="L239" i="1"/>
  <c r="L247" i="1"/>
  <c r="L251" i="1"/>
  <c r="L255" i="1"/>
  <c r="L259" i="1"/>
  <c r="L263" i="1"/>
  <c r="L267" i="1"/>
  <c r="L271" i="1"/>
  <c r="L275" i="1"/>
  <c r="L279" i="1"/>
  <c r="L283" i="1"/>
  <c r="L287" i="1"/>
  <c r="L291" i="1"/>
  <c r="L295" i="1"/>
  <c r="L299" i="1"/>
  <c r="L303" i="1"/>
  <c r="L307" i="1"/>
  <c r="L311" i="1"/>
  <c r="L315" i="1"/>
  <c r="J320" i="1"/>
  <c r="N320" i="1"/>
  <c r="M320" i="1"/>
  <c r="L321" i="1"/>
  <c r="N224" i="1"/>
  <c r="M231" i="1"/>
  <c r="N232" i="1"/>
  <c r="M239" i="1"/>
  <c r="N240" i="1"/>
  <c r="M247" i="1"/>
  <c r="J249" i="1"/>
  <c r="N249" i="1"/>
  <c r="M251" i="1"/>
  <c r="J253" i="1"/>
  <c r="N253" i="1"/>
  <c r="M255" i="1"/>
  <c r="J257" i="1"/>
  <c r="N257" i="1"/>
  <c r="M259" i="1"/>
  <c r="J261" i="1"/>
  <c r="N261" i="1"/>
  <c r="M263" i="1"/>
  <c r="J265" i="1"/>
  <c r="N265" i="1"/>
  <c r="M267" i="1"/>
  <c r="J269" i="1"/>
  <c r="N269" i="1"/>
  <c r="M271" i="1"/>
  <c r="J273" i="1"/>
  <c r="N273" i="1"/>
  <c r="M275" i="1"/>
  <c r="J277" i="1"/>
  <c r="N277" i="1"/>
  <c r="M279" i="1"/>
  <c r="J281" i="1"/>
  <c r="N281" i="1"/>
  <c r="M283" i="1"/>
  <c r="J285" i="1"/>
  <c r="N285" i="1"/>
  <c r="M287" i="1"/>
  <c r="J289" i="1"/>
  <c r="N289" i="1"/>
  <c r="M291" i="1"/>
  <c r="J293" i="1"/>
  <c r="N293" i="1"/>
  <c r="M295" i="1"/>
  <c r="J297" i="1"/>
  <c r="N297" i="1"/>
  <c r="M299" i="1"/>
  <c r="J301" i="1"/>
  <c r="N301" i="1"/>
  <c r="K302" i="1"/>
  <c r="M303" i="1"/>
  <c r="J305" i="1"/>
  <c r="N305" i="1"/>
  <c r="K306" i="1"/>
  <c r="M307" i="1"/>
  <c r="J309" i="1"/>
  <c r="N309" i="1"/>
  <c r="K310" i="1"/>
  <c r="M311" i="1"/>
  <c r="J313" i="1"/>
  <c r="N313" i="1"/>
  <c r="K314" i="1"/>
  <c r="M315" i="1"/>
  <c r="J317" i="1"/>
  <c r="N317" i="1"/>
  <c r="M317" i="1"/>
  <c r="L302" i="1"/>
  <c r="L306" i="1"/>
  <c r="L310" i="1"/>
  <c r="L314" i="1"/>
  <c r="J322" i="1"/>
  <c r="N322" i="1"/>
  <c r="M322" i="1"/>
  <c r="N368" i="1"/>
  <c r="J368" i="1"/>
  <c r="P368" i="1"/>
  <c r="O368" i="1"/>
  <c r="M368" i="1"/>
  <c r="L368" i="1"/>
  <c r="K368" i="1"/>
  <c r="N389" i="1"/>
  <c r="L389" i="1"/>
  <c r="K389" i="1"/>
  <c r="J389" i="1"/>
  <c r="P389" i="1"/>
  <c r="O389" i="1"/>
  <c r="M389" i="1"/>
  <c r="N393" i="1"/>
  <c r="L393" i="1"/>
  <c r="K393" i="1"/>
  <c r="J393" i="1"/>
  <c r="P393" i="1"/>
  <c r="O393" i="1"/>
  <c r="M393" i="1"/>
  <c r="N397" i="1"/>
  <c r="L397" i="1"/>
  <c r="K397" i="1"/>
  <c r="J397" i="1"/>
  <c r="P397" i="1"/>
  <c r="O397" i="1"/>
  <c r="M397" i="1"/>
  <c r="N401" i="1"/>
  <c r="L401" i="1"/>
  <c r="K401" i="1"/>
  <c r="J401" i="1"/>
  <c r="P401" i="1"/>
  <c r="O401" i="1"/>
  <c r="M401" i="1"/>
  <c r="N405" i="1"/>
  <c r="L405" i="1"/>
  <c r="K405" i="1"/>
  <c r="J405" i="1"/>
  <c r="P405" i="1"/>
  <c r="O405" i="1"/>
  <c r="M405" i="1"/>
  <c r="N409" i="1"/>
  <c r="L409" i="1"/>
  <c r="K409" i="1"/>
  <c r="J409" i="1"/>
  <c r="P409" i="1"/>
  <c r="O409" i="1"/>
  <c r="M409" i="1"/>
  <c r="N413" i="1"/>
  <c r="L413" i="1"/>
  <c r="K413" i="1"/>
  <c r="J413" i="1"/>
  <c r="P413" i="1"/>
  <c r="O413" i="1"/>
  <c r="M413" i="1"/>
  <c r="J417" i="1"/>
  <c r="O417" i="1"/>
  <c r="M417" i="1"/>
  <c r="L417" i="1"/>
  <c r="K417" i="1"/>
  <c r="P417" i="1"/>
  <c r="N417" i="1"/>
  <c r="K213" i="1"/>
  <c r="K214" i="1"/>
  <c r="K215" i="1"/>
  <c r="K216" i="1"/>
  <c r="K217" i="1"/>
  <c r="K218" i="1"/>
  <c r="K219" i="1"/>
  <c r="L220" i="1"/>
  <c r="P224" i="1"/>
  <c r="K227" i="1"/>
  <c r="L228" i="1"/>
  <c r="O231" i="1"/>
  <c r="P232" i="1"/>
  <c r="K235" i="1"/>
  <c r="L236" i="1"/>
  <c r="O239" i="1"/>
  <c r="P240" i="1"/>
  <c r="K243" i="1"/>
  <c r="L244" i="1"/>
  <c r="J248" i="1"/>
  <c r="N248" i="1"/>
  <c r="K249" i="1"/>
  <c r="J252" i="1"/>
  <c r="N252" i="1"/>
  <c r="K253" i="1"/>
  <c r="J256" i="1"/>
  <c r="N256" i="1"/>
  <c r="K257" i="1"/>
  <c r="J260" i="1"/>
  <c r="N260" i="1"/>
  <c r="K261" i="1"/>
  <c r="J264" i="1"/>
  <c r="N264" i="1"/>
  <c r="K265" i="1"/>
  <c r="J268" i="1"/>
  <c r="N268" i="1"/>
  <c r="K269" i="1"/>
  <c r="J272" i="1"/>
  <c r="N272" i="1"/>
  <c r="K273" i="1"/>
  <c r="J276" i="1"/>
  <c r="N276" i="1"/>
  <c r="K277" i="1"/>
  <c r="J280" i="1"/>
  <c r="N280" i="1"/>
  <c r="K281" i="1"/>
  <c r="J284" i="1"/>
  <c r="N284" i="1"/>
  <c r="K285" i="1"/>
  <c r="J288" i="1"/>
  <c r="N288" i="1"/>
  <c r="K289" i="1"/>
  <c r="J292" i="1"/>
  <c r="N292" i="1"/>
  <c r="K293" i="1"/>
  <c r="J296" i="1"/>
  <c r="N296" i="1"/>
  <c r="K297" i="1"/>
  <c r="J300" i="1"/>
  <c r="N300" i="1"/>
  <c r="K301" i="1"/>
  <c r="M302" i="1"/>
  <c r="J304" i="1"/>
  <c r="N304" i="1"/>
  <c r="K305" i="1"/>
  <c r="M306" i="1"/>
  <c r="J308" i="1"/>
  <c r="N308" i="1"/>
  <c r="K309" i="1"/>
  <c r="M310" i="1"/>
  <c r="J312" i="1"/>
  <c r="N312" i="1"/>
  <c r="K313" i="1"/>
  <c r="M314" i="1"/>
  <c r="J316" i="1"/>
  <c r="N316" i="1"/>
  <c r="K317" i="1"/>
  <c r="J319" i="1"/>
  <c r="N319" i="1"/>
  <c r="M319" i="1"/>
  <c r="N343" i="1"/>
  <c r="O343" i="1"/>
  <c r="M343" i="1"/>
  <c r="L343" i="1"/>
  <c r="K343" i="1"/>
  <c r="J343" i="1"/>
  <c r="N364" i="1"/>
  <c r="J364" i="1"/>
  <c r="P364" i="1"/>
  <c r="O364" i="1"/>
  <c r="M364" i="1"/>
  <c r="L364" i="1"/>
  <c r="K364" i="1"/>
  <c r="M220" i="1"/>
  <c r="M228" i="1"/>
  <c r="P231" i="1"/>
  <c r="M236" i="1"/>
  <c r="P239" i="1"/>
  <c r="M244" i="1"/>
  <c r="L265" i="1"/>
  <c r="L269" i="1"/>
  <c r="L273" i="1"/>
  <c r="L277" i="1"/>
  <c r="L281" i="1"/>
  <c r="L285" i="1"/>
  <c r="L289" i="1"/>
  <c r="L293" i="1"/>
  <c r="L297" i="1"/>
  <c r="L301" i="1"/>
  <c r="O302" i="1"/>
  <c r="L305" i="1"/>
  <c r="O306" i="1"/>
  <c r="L309" i="1"/>
  <c r="O310" i="1"/>
  <c r="L313" i="1"/>
  <c r="O314" i="1"/>
  <c r="L317" i="1"/>
  <c r="K322" i="1"/>
  <c r="N351" i="1"/>
  <c r="O351" i="1"/>
  <c r="M351" i="1"/>
  <c r="L351" i="1"/>
  <c r="K351" i="1"/>
  <c r="J351" i="1"/>
  <c r="N360" i="1"/>
  <c r="J360" i="1"/>
  <c r="P360" i="1"/>
  <c r="O360" i="1"/>
  <c r="M360" i="1"/>
  <c r="L360" i="1"/>
  <c r="K360" i="1"/>
  <c r="N371" i="1"/>
  <c r="L371" i="1"/>
  <c r="J371" i="1"/>
  <c r="P371" i="1"/>
  <c r="O371" i="1"/>
  <c r="M371" i="1"/>
  <c r="K371" i="1"/>
  <c r="N374" i="1"/>
  <c r="L374" i="1"/>
  <c r="J374" i="1"/>
  <c r="P374" i="1"/>
  <c r="O374" i="1"/>
  <c r="M374" i="1"/>
  <c r="K374" i="1"/>
  <c r="J247" i="1"/>
  <c r="N247" i="1"/>
  <c r="J251" i="1"/>
  <c r="N251" i="1"/>
  <c r="J255" i="1"/>
  <c r="N255" i="1"/>
  <c r="J259" i="1"/>
  <c r="N259" i="1"/>
  <c r="J263" i="1"/>
  <c r="N263" i="1"/>
  <c r="J267" i="1"/>
  <c r="N267" i="1"/>
  <c r="J271" i="1"/>
  <c r="N271" i="1"/>
  <c r="J275" i="1"/>
  <c r="N275" i="1"/>
  <c r="J279" i="1"/>
  <c r="N279" i="1"/>
  <c r="J283" i="1"/>
  <c r="N283" i="1"/>
  <c r="J287" i="1"/>
  <c r="N287" i="1"/>
  <c r="J291" i="1"/>
  <c r="N291" i="1"/>
  <c r="J295" i="1"/>
  <c r="N295" i="1"/>
  <c r="J299" i="1"/>
  <c r="N299" i="1"/>
  <c r="P302" i="1"/>
  <c r="J303" i="1"/>
  <c r="N303" i="1"/>
  <c r="P306" i="1"/>
  <c r="J307" i="1"/>
  <c r="N307" i="1"/>
  <c r="P310" i="1"/>
  <c r="J311" i="1"/>
  <c r="N311" i="1"/>
  <c r="P314" i="1"/>
  <c r="J315" i="1"/>
  <c r="N315" i="1"/>
  <c r="J321" i="1"/>
  <c r="N321" i="1"/>
  <c r="M321" i="1"/>
  <c r="L322" i="1"/>
  <c r="N344" i="1"/>
  <c r="P344" i="1"/>
  <c r="O344" i="1"/>
  <c r="M344" i="1"/>
  <c r="L344" i="1"/>
  <c r="K344" i="1"/>
  <c r="J344" i="1"/>
  <c r="N356" i="1"/>
  <c r="J356" i="1"/>
  <c r="P356" i="1"/>
  <c r="O356" i="1"/>
  <c r="M356" i="1"/>
  <c r="L356" i="1"/>
  <c r="K356" i="1"/>
  <c r="N379" i="1"/>
  <c r="L379" i="1"/>
  <c r="J379" i="1"/>
  <c r="P379" i="1"/>
  <c r="O379" i="1"/>
  <c r="M379" i="1"/>
  <c r="K379" i="1"/>
  <c r="N382" i="1"/>
  <c r="L382" i="1"/>
  <c r="J382" i="1"/>
  <c r="P382" i="1"/>
  <c r="O382" i="1"/>
  <c r="M382" i="1"/>
  <c r="K38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O340" i="1"/>
  <c r="L346" i="1"/>
  <c r="M347" i="1"/>
  <c r="O348" i="1"/>
  <c r="O354" i="1"/>
  <c r="O358" i="1"/>
  <c r="O362" i="1"/>
  <c r="O366" i="1"/>
  <c r="O372" i="1"/>
  <c r="N376" i="1"/>
  <c r="L376" i="1"/>
  <c r="J376" i="1"/>
  <c r="O380" i="1"/>
  <c r="N384" i="1"/>
  <c r="L384" i="1"/>
  <c r="J384" i="1"/>
  <c r="K449" i="1"/>
  <c r="J449" i="1"/>
  <c r="N449" i="1"/>
  <c r="M449" i="1"/>
  <c r="P449" i="1"/>
  <c r="O449" i="1"/>
  <c r="L449" i="1"/>
  <c r="K500" i="1"/>
  <c r="J500" i="1"/>
  <c r="L500" i="1"/>
  <c r="P500" i="1"/>
  <c r="O500" i="1"/>
  <c r="N500" i="1"/>
  <c r="M500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O339" i="1"/>
  <c r="P340" i="1"/>
  <c r="M346" i="1"/>
  <c r="O347" i="1"/>
  <c r="P348" i="1"/>
  <c r="N355" i="1"/>
  <c r="J355" i="1"/>
  <c r="N359" i="1"/>
  <c r="J359" i="1"/>
  <c r="N363" i="1"/>
  <c r="J363" i="1"/>
  <c r="N367" i="1"/>
  <c r="J367" i="1"/>
  <c r="N373" i="1"/>
  <c r="L373" i="1"/>
  <c r="J373" i="1"/>
  <c r="N381" i="1"/>
  <c r="L381" i="1"/>
  <c r="J381" i="1"/>
  <c r="K438" i="1"/>
  <c r="J438" i="1"/>
  <c r="P438" i="1"/>
  <c r="O438" i="1"/>
  <c r="N438" i="1"/>
  <c r="M438" i="1"/>
  <c r="L438" i="1"/>
  <c r="K498" i="1"/>
  <c r="J498" i="1"/>
  <c r="P498" i="1"/>
  <c r="O498" i="1"/>
  <c r="M498" i="1"/>
  <c r="L498" i="1"/>
  <c r="N498" i="1"/>
  <c r="O346" i="1"/>
  <c r="N370" i="1"/>
  <c r="L370" i="1"/>
  <c r="J370" i="1"/>
  <c r="N378" i="1"/>
  <c r="L378" i="1"/>
  <c r="J378" i="1"/>
  <c r="N386" i="1"/>
  <c r="L386" i="1"/>
  <c r="J386" i="1"/>
  <c r="J418" i="1"/>
  <c r="P418" i="1"/>
  <c r="N418" i="1"/>
  <c r="M418" i="1"/>
  <c r="L418" i="1"/>
  <c r="K418" i="1"/>
  <c r="J425" i="1"/>
  <c r="O425" i="1"/>
  <c r="N425" i="1"/>
  <c r="M425" i="1"/>
  <c r="L425" i="1"/>
  <c r="K425" i="1"/>
  <c r="K454" i="1"/>
  <c r="J454" i="1"/>
  <c r="P454" i="1"/>
  <c r="O454" i="1"/>
  <c r="N454" i="1"/>
  <c r="M454" i="1"/>
  <c r="L454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46" i="1"/>
  <c r="N354" i="1"/>
  <c r="J354" i="1"/>
  <c r="N358" i="1"/>
  <c r="J358" i="1"/>
  <c r="N362" i="1"/>
  <c r="J362" i="1"/>
  <c r="N366" i="1"/>
  <c r="J366" i="1"/>
  <c r="N375" i="1"/>
  <c r="L375" i="1"/>
  <c r="J375" i="1"/>
  <c r="N383" i="1"/>
  <c r="L383" i="1"/>
  <c r="J383" i="1"/>
  <c r="N388" i="1"/>
  <c r="L388" i="1"/>
  <c r="K388" i="1"/>
  <c r="J388" i="1"/>
  <c r="N390" i="1"/>
  <c r="L390" i="1"/>
  <c r="K390" i="1"/>
  <c r="J390" i="1"/>
  <c r="N392" i="1"/>
  <c r="L392" i="1"/>
  <c r="K392" i="1"/>
  <c r="J392" i="1"/>
  <c r="N394" i="1"/>
  <c r="L394" i="1"/>
  <c r="K394" i="1"/>
  <c r="J394" i="1"/>
  <c r="N396" i="1"/>
  <c r="L396" i="1"/>
  <c r="K396" i="1"/>
  <c r="J396" i="1"/>
  <c r="N398" i="1"/>
  <c r="L398" i="1"/>
  <c r="K398" i="1"/>
  <c r="J398" i="1"/>
  <c r="N400" i="1"/>
  <c r="L400" i="1"/>
  <c r="K400" i="1"/>
  <c r="J400" i="1"/>
  <c r="N402" i="1"/>
  <c r="L402" i="1"/>
  <c r="K402" i="1"/>
  <c r="J402" i="1"/>
  <c r="N404" i="1"/>
  <c r="L404" i="1"/>
  <c r="K404" i="1"/>
  <c r="J404" i="1"/>
  <c r="N406" i="1"/>
  <c r="L406" i="1"/>
  <c r="K406" i="1"/>
  <c r="J406" i="1"/>
  <c r="N408" i="1"/>
  <c r="L408" i="1"/>
  <c r="K408" i="1"/>
  <c r="J408" i="1"/>
  <c r="N410" i="1"/>
  <c r="L410" i="1"/>
  <c r="K410" i="1"/>
  <c r="J410" i="1"/>
  <c r="N412" i="1"/>
  <c r="L412" i="1"/>
  <c r="K412" i="1"/>
  <c r="J412" i="1"/>
  <c r="N414" i="1"/>
  <c r="L414" i="1"/>
  <c r="K414" i="1"/>
  <c r="J414" i="1"/>
  <c r="N416" i="1"/>
  <c r="L416" i="1"/>
  <c r="K416" i="1"/>
  <c r="J416" i="1"/>
  <c r="J420" i="1"/>
  <c r="P420" i="1"/>
  <c r="O420" i="1"/>
  <c r="N420" i="1"/>
  <c r="M420" i="1"/>
  <c r="N372" i="1"/>
  <c r="L372" i="1"/>
  <c r="J372" i="1"/>
  <c r="N380" i="1"/>
  <c r="L380" i="1"/>
  <c r="J380" i="1"/>
  <c r="J426" i="1"/>
  <c r="P426" i="1"/>
  <c r="O426" i="1"/>
  <c r="N426" i="1"/>
  <c r="M426" i="1"/>
  <c r="L426" i="1"/>
  <c r="K426" i="1"/>
  <c r="K441" i="1"/>
  <c r="J441" i="1"/>
  <c r="N441" i="1"/>
  <c r="P441" i="1"/>
  <c r="O441" i="1"/>
  <c r="M441" i="1"/>
  <c r="L441" i="1"/>
  <c r="K496" i="1"/>
  <c r="J496" i="1"/>
  <c r="L496" i="1"/>
  <c r="P496" i="1"/>
  <c r="O496" i="1"/>
  <c r="N496" i="1"/>
  <c r="M496" i="1"/>
  <c r="J339" i="1"/>
  <c r="K340" i="1"/>
  <c r="L341" i="1"/>
  <c r="M342" i="1"/>
  <c r="J347" i="1"/>
  <c r="K348" i="1"/>
  <c r="L349" i="1"/>
  <c r="M350" i="1"/>
  <c r="N353" i="1"/>
  <c r="J353" i="1"/>
  <c r="K354" i="1"/>
  <c r="M355" i="1"/>
  <c r="N357" i="1"/>
  <c r="J357" i="1"/>
  <c r="K358" i="1"/>
  <c r="M359" i="1"/>
  <c r="N361" i="1"/>
  <c r="J361" i="1"/>
  <c r="K362" i="1"/>
  <c r="M363" i="1"/>
  <c r="N365" i="1"/>
  <c r="J365" i="1"/>
  <c r="K366" i="1"/>
  <c r="M367" i="1"/>
  <c r="N369" i="1"/>
  <c r="L369" i="1"/>
  <c r="J369" i="1"/>
  <c r="M370" i="1"/>
  <c r="O373" i="1"/>
  <c r="K375" i="1"/>
  <c r="P376" i="1"/>
  <c r="N377" i="1"/>
  <c r="L377" i="1"/>
  <c r="J377" i="1"/>
  <c r="M378" i="1"/>
  <c r="O381" i="1"/>
  <c r="K383" i="1"/>
  <c r="P384" i="1"/>
  <c r="N385" i="1"/>
  <c r="L385" i="1"/>
  <c r="J385" i="1"/>
  <c r="M386" i="1"/>
  <c r="M388" i="1"/>
  <c r="M390" i="1"/>
  <c r="M392" i="1"/>
  <c r="M394" i="1"/>
  <c r="M396" i="1"/>
  <c r="M398" i="1"/>
  <c r="M400" i="1"/>
  <c r="M402" i="1"/>
  <c r="M404" i="1"/>
  <c r="M406" i="1"/>
  <c r="M408" i="1"/>
  <c r="M410" i="1"/>
  <c r="M412" i="1"/>
  <c r="M414" i="1"/>
  <c r="M416" i="1"/>
  <c r="K420" i="1"/>
  <c r="K494" i="1"/>
  <c r="J494" i="1"/>
  <c r="P494" i="1"/>
  <c r="O494" i="1"/>
  <c r="M494" i="1"/>
  <c r="L494" i="1"/>
  <c r="N494" i="1"/>
  <c r="N421" i="1"/>
  <c r="O422" i="1"/>
  <c r="M428" i="1"/>
  <c r="N429" i="1"/>
  <c r="O430" i="1"/>
  <c r="K432" i="1"/>
  <c r="J432" i="1"/>
  <c r="L432" i="1"/>
  <c r="N442" i="1"/>
  <c r="K446" i="1"/>
  <c r="J446" i="1"/>
  <c r="P446" i="1"/>
  <c r="O446" i="1"/>
  <c r="K456" i="1"/>
  <c r="J456" i="1"/>
  <c r="L456" i="1"/>
  <c r="K490" i="1"/>
  <c r="J490" i="1"/>
  <c r="P490" i="1"/>
  <c r="O490" i="1"/>
  <c r="M490" i="1"/>
  <c r="L490" i="1"/>
  <c r="K492" i="1"/>
  <c r="J492" i="1"/>
  <c r="L492" i="1"/>
  <c r="P492" i="1"/>
  <c r="O492" i="1"/>
  <c r="O421" i="1"/>
  <c r="P422" i="1"/>
  <c r="N428" i="1"/>
  <c r="O429" i="1"/>
  <c r="P430" i="1"/>
  <c r="K458" i="1"/>
  <c r="J458" i="1"/>
  <c r="P458" i="1"/>
  <c r="O458" i="1"/>
  <c r="K486" i="1"/>
  <c r="J486" i="1"/>
  <c r="P486" i="1"/>
  <c r="O486" i="1"/>
  <c r="M486" i="1"/>
  <c r="L486" i="1"/>
  <c r="K488" i="1"/>
  <c r="J488" i="1"/>
  <c r="L488" i="1"/>
  <c r="P488" i="1"/>
  <c r="O488" i="1"/>
  <c r="K514" i="1"/>
  <c r="J514" i="1"/>
  <c r="P514" i="1"/>
  <c r="O514" i="1"/>
  <c r="N514" i="1"/>
  <c r="M514" i="1"/>
  <c r="L514" i="1"/>
  <c r="K530" i="1"/>
  <c r="J530" i="1"/>
  <c r="P530" i="1"/>
  <c r="O530" i="1"/>
  <c r="N530" i="1"/>
  <c r="M530" i="1"/>
  <c r="L530" i="1"/>
  <c r="O428" i="1"/>
  <c r="K434" i="1"/>
  <c r="J434" i="1"/>
  <c r="P434" i="1"/>
  <c r="K437" i="1"/>
  <c r="J437" i="1"/>
  <c r="N437" i="1"/>
  <c r="K440" i="1"/>
  <c r="J440" i="1"/>
  <c r="L440" i="1"/>
  <c r="K448" i="1"/>
  <c r="J448" i="1"/>
  <c r="L448" i="1"/>
  <c r="K453" i="1"/>
  <c r="J453" i="1"/>
  <c r="N453" i="1"/>
  <c r="M453" i="1"/>
  <c r="K482" i="1"/>
  <c r="J482" i="1"/>
  <c r="P482" i="1"/>
  <c r="O482" i="1"/>
  <c r="M482" i="1"/>
  <c r="L482" i="1"/>
  <c r="K484" i="1"/>
  <c r="J484" i="1"/>
  <c r="L484" i="1"/>
  <c r="P484" i="1"/>
  <c r="O484" i="1"/>
  <c r="N490" i="1"/>
  <c r="M492" i="1"/>
  <c r="P428" i="1"/>
  <c r="K450" i="1"/>
  <c r="J450" i="1"/>
  <c r="P450" i="1"/>
  <c r="O450" i="1"/>
  <c r="K460" i="1"/>
  <c r="J460" i="1"/>
  <c r="L460" i="1"/>
  <c r="P460" i="1"/>
  <c r="K462" i="1"/>
  <c r="J462" i="1"/>
  <c r="P462" i="1"/>
  <c r="O462" i="1"/>
  <c r="L462" i="1"/>
  <c r="K478" i="1"/>
  <c r="J478" i="1"/>
  <c r="P478" i="1"/>
  <c r="O478" i="1"/>
  <c r="M478" i="1"/>
  <c r="L478" i="1"/>
  <c r="K480" i="1"/>
  <c r="J480" i="1"/>
  <c r="L480" i="1"/>
  <c r="P480" i="1"/>
  <c r="O480" i="1"/>
  <c r="N492" i="1"/>
  <c r="K510" i="1"/>
  <c r="J510" i="1"/>
  <c r="P510" i="1"/>
  <c r="O510" i="1"/>
  <c r="N510" i="1"/>
  <c r="M510" i="1"/>
  <c r="L510" i="1"/>
  <c r="K526" i="1"/>
  <c r="J526" i="1"/>
  <c r="P526" i="1"/>
  <c r="O526" i="1"/>
  <c r="N526" i="1"/>
  <c r="M526" i="1"/>
  <c r="L526" i="1"/>
  <c r="K442" i="1"/>
  <c r="J442" i="1"/>
  <c r="P442" i="1"/>
  <c r="K445" i="1"/>
  <c r="J445" i="1"/>
  <c r="N445" i="1"/>
  <c r="M445" i="1"/>
  <c r="K464" i="1"/>
  <c r="J464" i="1"/>
  <c r="L464" i="1"/>
  <c r="P464" i="1"/>
  <c r="K466" i="1"/>
  <c r="J466" i="1"/>
  <c r="P466" i="1"/>
  <c r="O466" i="1"/>
  <c r="L466" i="1"/>
  <c r="K474" i="1"/>
  <c r="J474" i="1"/>
  <c r="P474" i="1"/>
  <c r="O474" i="1"/>
  <c r="M474" i="1"/>
  <c r="L474" i="1"/>
  <c r="K476" i="1"/>
  <c r="J476" i="1"/>
  <c r="L476" i="1"/>
  <c r="P476" i="1"/>
  <c r="O476" i="1"/>
  <c r="K506" i="1"/>
  <c r="J506" i="1"/>
  <c r="P506" i="1"/>
  <c r="O506" i="1"/>
  <c r="M506" i="1"/>
  <c r="L506" i="1"/>
  <c r="K508" i="1"/>
  <c r="J508" i="1"/>
  <c r="L508" i="1"/>
  <c r="P508" i="1"/>
  <c r="O508" i="1"/>
  <c r="K421" i="1"/>
  <c r="L422" i="1"/>
  <c r="M423" i="1"/>
  <c r="N424" i="1"/>
  <c r="K429" i="1"/>
  <c r="L430" i="1"/>
  <c r="M431" i="1"/>
  <c r="P432" i="1"/>
  <c r="K433" i="1"/>
  <c r="J433" i="1"/>
  <c r="N433" i="1"/>
  <c r="M434" i="1"/>
  <c r="K436" i="1"/>
  <c r="J436" i="1"/>
  <c r="L436" i="1"/>
  <c r="M437" i="1"/>
  <c r="N440" i="1"/>
  <c r="N448" i="1"/>
  <c r="L450" i="1"/>
  <c r="K452" i="1"/>
  <c r="J452" i="1"/>
  <c r="L452" i="1"/>
  <c r="O453" i="1"/>
  <c r="P456" i="1"/>
  <c r="K457" i="1"/>
  <c r="J457" i="1"/>
  <c r="N457" i="1"/>
  <c r="M457" i="1"/>
  <c r="N458" i="1"/>
  <c r="M460" i="1"/>
  <c r="M462" i="1"/>
  <c r="K468" i="1"/>
  <c r="J468" i="1"/>
  <c r="L468" i="1"/>
  <c r="P468" i="1"/>
  <c r="K470" i="1"/>
  <c r="J470" i="1"/>
  <c r="P470" i="1"/>
  <c r="O470" i="1"/>
  <c r="M470" i="1"/>
  <c r="L470" i="1"/>
  <c r="K472" i="1"/>
  <c r="J472" i="1"/>
  <c r="L472" i="1"/>
  <c r="P472" i="1"/>
  <c r="O472" i="1"/>
  <c r="N478" i="1"/>
  <c r="M480" i="1"/>
  <c r="N484" i="1"/>
  <c r="K502" i="1"/>
  <c r="J502" i="1"/>
  <c r="P502" i="1"/>
  <c r="O502" i="1"/>
  <c r="M502" i="1"/>
  <c r="L502" i="1"/>
  <c r="K504" i="1"/>
  <c r="J504" i="1"/>
  <c r="L504" i="1"/>
  <c r="P504" i="1"/>
  <c r="O504" i="1"/>
  <c r="K522" i="1"/>
  <c r="J522" i="1"/>
  <c r="P522" i="1"/>
  <c r="O522" i="1"/>
  <c r="N522" i="1"/>
  <c r="M522" i="1"/>
  <c r="L522" i="1"/>
  <c r="O512" i="1"/>
  <c r="O516" i="1"/>
  <c r="O520" i="1"/>
  <c r="O524" i="1"/>
  <c r="O528" i="1"/>
  <c r="O532" i="1"/>
  <c r="K461" i="1"/>
  <c r="J461" i="1"/>
  <c r="K465" i="1"/>
  <c r="J465" i="1"/>
  <c r="K469" i="1"/>
  <c r="J469" i="1"/>
  <c r="K473" i="1"/>
  <c r="J473" i="1"/>
  <c r="K477" i="1"/>
  <c r="J477" i="1"/>
  <c r="K481" i="1"/>
  <c r="J481" i="1"/>
  <c r="K485" i="1"/>
  <c r="J485" i="1"/>
  <c r="K489" i="1"/>
  <c r="J489" i="1"/>
  <c r="K493" i="1"/>
  <c r="J493" i="1"/>
  <c r="K497" i="1"/>
  <c r="J497" i="1"/>
  <c r="K501" i="1"/>
  <c r="J501" i="1"/>
  <c r="K505" i="1"/>
  <c r="J505" i="1"/>
  <c r="K509" i="1"/>
  <c r="J509" i="1"/>
  <c r="K513" i="1"/>
  <c r="J513" i="1"/>
  <c r="K517" i="1"/>
  <c r="J517" i="1"/>
  <c r="K521" i="1"/>
  <c r="J521" i="1"/>
  <c r="K525" i="1"/>
  <c r="J525" i="1"/>
  <c r="K529" i="1"/>
  <c r="J529" i="1"/>
  <c r="K533" i="1"/>
  <c r="J533" i="1"/>
  <c r="P533" i="1"/>
  <c r="K512" i="1"/>
  <c r="J512" i="1"/>
  <c r="K516" i="1"/>
  <c r="J516" i="1"/>
  <c r="K520" i="1"/>
  <c r="J520" i="1"/>
  <c r="K524" i="1"/>
  <c r="J524" i="1"/>
  <c r="K528" i="1"/>
  <c r="J528" i="1"/>
  <c r="K532" i="1"/>
  <c r="J532" i="1"/>
  <c r="M461" i="1"/>
  <c r="M465" i="1"/>
  <c r="M469" i="1"/>
  <c r="M473" i="1"/>
  <c r="M477" i="1"/>
  <c r="M481" i="1"/>
  <c r="M485" i="1"/>
  <c r="M489" i="1"/>
  <c r="M493" i="1"/>
  <c r="M497" i="1"/>
  <c r="M501" i="1"/>
  <c r="M505" i="1"/>
  <c r="M509" i="1"/>
  <c r="M513" i="1"/>
  <c r="M517" i="1"/>
  <c r="M521" i="1"/>
  <c r="M525" i="1"/>
  <c r="M529" i="1"/>
  <c r="M533" i="1"/>
  <c r="K435" i="1"/>
  <c r="J435" i="1"/>
  <c r="K439" i="1"/>
  <c r="J439" i="1"/>
  <c r="K443" i="1"/>
  <c r="J443" i="1"/>
  <c r="K447" i="1"/>
  <c r="J447" i="1"/>
  <c r="K451" i="1"/>
  <c r="J451" i="1"/>
  <c r="K455" i="1"/>
  <c r="J455" i="1"/>
  <c r="K459" i="1"/>
  <c r="J459" i="1"/>
  <c r="N461" i="1"/>
  <c r="K463" i="1"/>
  <c r="J463" i="1"/>
  <c r="N465" i="1"/>
  <c r="K467" i="1"/>
  <c r="J467" i="1"/>
  <c r="N469" i="1"/>
  <c r="K471" i="1"/>
  <c r="J471" i="1"/>
  <c r="N473" i="1"/>
  <c r="K475" i="1"/>
  <c r="J475" i="1"/>
  <c r="N477" i="1"/>
  <c r="K479" i="1"/>
  <c r="J479" i="1"/>
  <c r="N481" i="1"/>
  <c r="K483" i="1"/>
  <c r="J483" i="1"/>
  <c r="N485" i="1"/>
  <c r="K487" i="1"/>
  <c r="J487" i="1"/>
  <c r="N489" i="1"/>
  <c r="K491" i="1"/>
  <c r="J491" i="1"/>
  <c r="N493" i="1"/>
  <c r="K495" i="1"/>
  <c r="J495" i="1"/>
  <c r="N497" i="1"/>
  <c r="K499" i="1"/>
  <c r="J499" i="1"/>
  <c r="N501" i="1"/>
  <c r="K503" i="1"/>
  <c r="J503" i="1"/>
  <c r="N505" i="1"/>
  <c r="K507" i="1"/>
  <c r="J507" i="1"/>
  <c r="N509" i="1"/>
  <c r="K511" i="1"/>
  <c r="J511" i="1"/>
  <c r="L512" i="1"/>
  <c r="N513" i="1"/>
  <c r="K515" i="1"/>
  <c r="J515" i="1"/>
  <c r="L516" i="1"/>
  <c r="N517" i="1"/>
  <c r="K519" i="1"/>
  <c r="J519" i="1"/>
  <c r="L520" i="1"/>
  <c r="N521" i="1"/>
  <c r="K523" i="1"/>
  <c r="J523" i="1"/>
  <c r="L524" i="1"/>
  <c r="N525" i="1"/>
  <c r="K527" i="1"/>
  <c r="J527" i="1"/>
  <c r="L528" i="1"/>
  <c r="N529" i="1"/>
  <c r="K531" i="1"/>
  <c r="J531" i="1"/>
  <c r="L532" i="1"/>
  <c r="N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K618" i="1"/>
  <c r="J868" i="1"/>
  <c r="P868" i="1"/>
  <c r="O868" i="1"/>
  <c r="N868" i="1"/>
  <c r="M868" i="1"/>
  <c r="L868" i="1"/>
  <c r="K868" i="1"/>
  <c r="J860" i="1"/>
  <c r="P860" i="1"/>
  <c r="O860" i="1"/>
  <c r="N860" i="1"/>
  <c r="M860" i="1"/>
  <c r="L860" i="1"/>
  <c r="K860" i="1"/>
  <c r="L723" i="1"/>
  <c r="K723" i="1"/>
  <c r="J724" i="1"/>
  <c r="L727" i="1"/>
  <c r="K727" i="1"/>
  <c r="J728" i="1"/>
  <c r="L731" i="1"/>
  <c r="K731" i="1"/>
  <c r="J732" i="1"/>
  <c r="L735" i="1"/>
  <c r="K735" i="1"/>
  <c r="J736" i="1"/>
  <c r="L739" i="1"/>
  <c r="K739" i="1"/>
  <c r="J740" i="1"/>
  <c r="L743" i="1"/>
  <c r="K743" i="1"/>
  <c r="J744" i="1"/>
  <c r="L747" i="1"/>
  <c r="K747" i="1"/>
  <c r="J748" i="1"/>
  <c r="L751" i="1"/>
  <c r="K751" i="1"/>
  <c r="J752" i="1"/>
  <c r="L755" i="1"/>
  <c r="K755" i="1"/>
  <c r="J756" i="1"/>
  <c r="L759" i="1"/>
  <c r="K759" i="1"/>
  <c r="J760" i="1"/>
  <c r="L763" i="1"/>
  <c r="K763" i="1"/>
  <c r="J764" i="1"/>
  <c r="L767" i="1"/>
  <c r="K767" i="1"/>
  <c r="J768" i="1"/>
  <c r="L771" i="1"/>
  <c r="K771" i="1"/>
  <c r="J772" i="1"/>
  <c r="L775" i="1"/>
  <c r="K775" i="1"/>
  <c r="J776" i="1"/>
  <c r="L779" i="1"/>
  <c r="K779" i="1"/>
  <c r="J780" i="1"/>
  <c r="L783" i="1"/>
  <c r="K783" i="1"/>
  <c r="J784" i="1"/>
  <c r="L787" i="1"/>
  <c r="K787" i="1"/>
  <c r="J788" i="1"/>
  <c r="L791" i="1"/>
  <c r="K791" i="1"/>
  <c r="J792" i="1"/>
  <c r="L795" i="1"/>
  <c r="K795" i="1"/>
  <c r="J796" i="1"/>
  <c r="J866" i="1"/>
  <c r="N866" i="1"/>
  <c r="M866" i="1"/>
  <c r="L866" i="1"/>
  <c r="K866" i="1"/>
  <c r="P866" i="1"/>
  <c r="K873" i="1"/>
  <c r="J873" i="1"/>
  <c r="P873" i="1"/>
  <c r="O873" i="1"/>
  <c r="N873" i="1"/>
  <c r="M873" i="1"/>
  <c r="K884" i="1"/>
  <c r="J884" i="1"/>
  <c r="O884" i="1"/>
  <c r="N884" i="1"/>
  <c r="M884" i="1"/>
  <c r="L884" i="1"/>
  <c r="K889" i="1"/>
  <c r="J889" i="1"/>
  <c r="P889" i="1"/>
  <c r="O889" i="1"/>
  <c r="N889" i="1"/>
  <c r="M889" i="1"/>
  <c r="N929" i="1"/>
  <c r="L929" i="1"/>
  <c r="J929" i="1"/>
  <c r="P929" i="1"/>
  <c r="O929" i="1"/>
  <c r="M929" i="1"/>
  <c r="K929" i="1"/>
  <c r="L722" i="1"/>
  <c r="K722" i="1"/>
  <c r="L726" i="1"/>
  <c r="K726" i="1"/>
  <c r="L730" i="1"/>
  <c r="K730" i="1"/>
  <c r="L734" i="1"/>
  <c r="K734" i="1"/>
  <c r="L738" i="1"/>
  <c r="K738" i="1"/>
  <c r="L742" i="1"/>
  <c r="K742" i="1"/>
  <c r="L746" i="1"/>
  <c r="K746" i="1"/>
  <c r="L750" i="1"/>
  <c r="K750" i="1"/>
  <c r="L754" i="1"/>
  <c r="K754" i="1"/>
  <c r="L758" i="1"/>
  <c r="K758" i="1"/>
  <c r="L762" i="1"/>
  <c r="K762" i="1"/>
  <c r="L766" i="1"/>
  <c r="K766" i="1"/>
  <c r="L770" i="1"/>
  <c r="K770" i="1"/>
  <c r="L774" i="1"/>
  <c r="K774" i="1"/>
  <c r="L778" i="1"/>
  <c r="K778" i="1"/>
  <c r="L782" i="1"/>
  <c r="K782" i="1"/>
  <c r="L786" i="1"/>
  <c r="K786" i="1"/>
  <c r="L790" i="1"/>
  <c r="K790" i="1"/>
  <c r="L794" i="1"/>
  <c r="K794" i="1"/>
  <c r="K880" i="1"/>
  <c r="J880" i="1"/>
  <c r="O880" i="1"/>
  <c r="N880" i="1"/>
  <c r="M880" i="1"/>
  <c r="L880" i="1"/>
  <c r="K885" i="1"/>
  <c r="J885" i="1"/>
  <c r="P885" i="1"/>
  <c r="O885" i="1"/>
  <c r="N885" i="1"/>
  <c r="M885" i="1"/>
  <c r="K896" i="1"/>
  <c r="J896" i="1"/>
  <c r="O896" i="1"/>
  <c r="N896" i="1"/>
  <c r="M896" i="1"/>
  <c r="L896" i="1"/>
  <c r="M723" i="1"/>
  <c r="O724" i="1"/>
  <c r="M727" i="1"/>
  <c r="O728" i="1"/>
  <c r="M731" i="1"/>
  <c r="O732" i="1"/>
  <c r="M735" i="1"/>
  <c r="O736" i="1"/>
  <c r="M739" i="1"/>
  <c r="O740" i="1"/>
  <c r="M743" i="1"/>
  <c r="O744" i="1"/>
  <c r="M747" i="1"/>
  <c r="O748" i="1"/>
  <c r="M751" i="1"/>
  <c r="O752" i="1"/>
  <c r="M755" i="1"/>
  <c r="O756" i="1"/>
  <c r="M759" i="1"/>
  <c r="O760" i="1"/>
  <c r="M763" i="1"/>
  <c r="O764" i="1"/>
  <c r="M767" i="1"/>
  <c r="O768" i="1"/>
  <c r="M771" i="1"/>
  <c r="O772" i="1"/>
  <c r="M775" i="1"/>
  <c r="O776" i="1"/>
  <c r="M779" i="1"/>
  <c r="O780" i="1"/>
  <c r="M783" i="1"/>
  <c r="O784" i="1"/>
  <c r="M787" i="1"/>
  <c r="O788" i="1"/>
  <c r="M791" i="1"/>
  <c r="O792" i="1"/>
  <c r="M795" i="1"/>
  <c r="O796" i="1"/>
  <c r="L721" i="1"/>
  <c r="K721" i="1"/>
  <c r="J722" i="1"/>
  <c r="N723" i="1"/>
  <c r="L725" i="1"/>
  <c r="K725" i="1"/>
  <c r="J726" i="1"/>
  <c r="N727" i="1"/>
  <c r="L729" i="1"/>
  <c r="K729" i="1"/>
  <c r="J730" i="1"/>
  <c r="N731" i="1"/>
  <c r="L733" i="1"/>
  <c r="K733" i="1"/>
  <c r="J734" i="1"/>
  <c r="N735" i="1"/>
  <c r="L737" i="1"/>
  <c r="K737" i="1"/>
  <c r="J738" i="1"/>
  <c r="N739" i="1"/>
  <c r="L741" i="1"/>
  <c r="K741" i="1"/>
  <c r="J742" i="1"/>
  <c r="N743" i="1"/>
  <c r="L745" i="1"/>
  <c r="K745" i="1"/>
  <c r="J746" i="1"/>
  <c r="N747" i="1"/>
  <c r="L749" i="1"/>
  <c r="K749" i="1"/>
  <c r="J750" i="1"/>
  <c r="N751" i="1"/>
  <c r="L753" i="1"/>
  <c r="K753" i="1"/>
  <c r="J754" i="1"/>
  <c r="N755" i="1"/>
  <c r="L757" i="1"/>
  <c r="K757" i="1"/>
  <c r="J758" i="1"/>
  <c r="N759" i="1"/>
  <c r="L761" i="1"/>
  <c r="K761" i="1"/>
  <c r="J762" i="1"/>
  <c r="N763" i="1"/>
  <c r="L765" i="1"/>
  <c r="K765" i="1"/>
  <c r="J766" i="1"/>
  <c r="N767" i="1"/>
  <c r="L769" i="1"/>
  <c r="K769" i="1"/>
  <c r="J770" i="1"/>
  <c r="N771" i="1"/>
  <c r="L773" i="1"/>
  <c r="K773" i="1"/>
  <c r="J774" i="1"/>
  <c r="N775" i="1"/>
  <c r="L777" i="1"/>
  <c r="K777" i="1"/>
  <c r="J778" i="1"/>
  <c r="N779" i="1"/>
  <c r="L781" i="1"/>
  <c r="K781" i="1"/>
  <c r="J782" i="1"/>
  <c r="N783" i="1"/>
  <c r="L785" i="1"/>
  <c r="K785" i="1"/>
  <c r="J786" i="1"/>
  <c r="N787" i="1"/>
  <c r="L789" i="1"/>
  <c r="K789" i="1"/>
  <c r="J790" i="1"/>
  <c r="N791" i="1"/>
  <c r="L793" i="1"/>
  <c r="K793" i="1"/>
  <c r="J794" i="1"/>
  <c r="N795" i="1"/>
  <c r="K876" i="1"/>
  <c r="J876" i="1"/>
  <c r="O876" i="1"/>
  <c r="N876" i="1"/>
  <c r="M876" i="1"/>
  <c r="L876" i="1"/>
  <c r="P880" i="1"/>
  <c r="K881" i="1"/>
  <c r="J881" i="1"/>
  <c r="P881" i="1"/>
  <c r="O881" i="1"/>
  <c r="N881" i="1"/>
  <c r="M881" i="1"/>
  <c r="L885" i="1"/>
  <c r="K892" i="1"/>
  <c r="J892" i="1"/>
  <c r="O892" i="1"/>
  <c r="N892" i="1"/>
  <c r="M892" i="1"/>
  <c r="L892" i="1"/>
  <c r="P896" i="1"/>
  <c r="K897" i="1"/>
  <c r="J897" i="1"/>
  <c r="P897" i="1"/>
  <c r="O897" i="1"/>
  <c r="N897" i="1"/>
  <c r="M897" i="1"/>
  <c r="M722" i="1"/>
  <c r="M726" i="1"/>
  <c r="M730" i="1"/>
  <c r="M734" i="1"/>
  <c r="M738" i="1"/>
  <c r="M742" i="1"/>
  <c r="M746" i="1"/>
  <c r="M750" i="1"/>
  <c r="M754" i="1"/>
  <c r="M758" i="1"/>
  <c r="M762" i="1"/>
  <c r="M766" i="1"/>
  <c r="M770" i="1"/>
  <c r="M774" i="1"/>
  <c r="M778" i="1"/>
  <c r="M782" i="1"/>
  <c r="O783" i="1"/>
  <c r="M786" i="1"/>
  <c r="O787" i="1"/>
  <c r="M790" i="1"/>
  <c r="O791" i="1"/>
  <c r="M794" i="1"/>
  <c r="O795" i="1"/>
  <c r="N722" i="1"/>
  <c r="L724" i="1"/>
  <c r="K724" i="1"/>
  <c r="N726" i="1"/>
  <c r="L728" i="1"/>
  <c r="K728" i="1"/>
  <c r="N730" i="1"/>
  <c r="L732" i="1"/>
  <c r="K732" i="1"/>
  <c r="N734" i="1"/>
  <c r="L736" i="1"/>
  <c r="K736" i="1"/>
  <c r="N738" i="1"/>
  <c r="L740" i="1"/>
  <c r="K740" i="1"/>
  <c r="N742" i="1"/>
  <c r="L744" i="1"/>
  <c r="K744" i="1"/>
  <c r="N746" i="1"/>
  <c r="L748" i="1"/>
  <c r="K748" i="1"/>
  <c r="N750" i="1"/>
  <c r="L752" i="1"/>
  <c r="K752" i="1"/>
  <c r="N754" i="1"/>
  <c r="L756" i="1"/>
  <c r="K756" i="1"/>
  <c r="N758" i="1"/>
  <c r="L760" i="1"/>
  <c r="K760" i="1"/>
  <c r="N762" i="1"/>
  <c r="L764" i="1"/>
  <c r="K764" i="1"/>
  <c r="N766" i="1"/>
  <c r="L768" i="1"/>
  <c r="K768" i="1"/>
  <c r="N770" i="1"/>
  <c r="L772" i="1"/>
  <c r="K772" i="1"/>
  <c r="N774" i="1"/>
  <c r="L776" i="1"/>
  <c r="K776" i="1"/>
  <c r="N778" i="1"/>
  <c r="L780" i="1"/>
  <c r="K780" i="1"/>
  <c r="N782" i="1"/>
  <c r="L784" i="1"/>
  <c r="K784" i="1"/>
  <c r="N786" i="1"/>
  <c r="L788" i="1"/>
  <c r="K788" i="1"/>
  <c r="N790" i="1"/>
  <c r="L792" i="1"/>
  <c r="K792" i="1"/>
  <c r="N794" i="1"/>
  <c r="L796" i="1"/>
  <c r="K796" i="1"/>
  <c r="K872" i="1"/>
  <c r="J872" i="1"/>
  <c r="O872" i="1"/>
  <c r="N872" i="1"/>
  <c r="M872" i="1"/>
  <c r="L872" i="1"/>
  <c r="K877" i="1"/>
  <c r="J877" i="1"/>
  <c r="P877" i="1"/>
  <c r="O877" i="1"/>
  <c r="N877" i="1"/>
  <c r="M877" i="1"/>
  <c r="K888" i="1"/>
  <c r="J888" i="1"/>
  <c r="O888" i="1"/>
  <c r="N888" i="1"/>
  <c r="M888" i="1"/>
  <c r="L888" i="1"/>
  <c r="P892" i="1"/>
  <c r="K893" i="1"/>
  <c r="J893" i="1"/>
  <c r="P893" i="1"/>
  <c r="O893" i="1"/>
  <c r="N893" i="1"/>
  <c r="M893" i="1"/>
  <c r="L897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K861" i="1"/>
  <c r="L862" i="1"/>
  <c r="O865" i="1"/>
  <c r="K869" i="1"/>
  <c r="M870" i="1"/>
  <c r="M874" i="1"/>
  <c r="M878" i="1"/>
  <c r="M882" i="1"/>
  <c r="M886" i="1"/>
  <c r="M890" i="1"/>
  <c r="M894" i="1"/>
  <c r="N937" i="1"/>
  <c r="L937" i="1"/>
  <c r="J937" i="1"/>
  <c r="P937" i="1"/>
  <c r="O937" i="1"/>
  <c r="M937" i="1"/>
  <c r="K937" i="1"/>
  <c r="N945" i="1"/>
  <c r="L945" i="1"/>
  <c r="J945" i="1"/>
  <c r="P945" i="1"/>
  <c r="O945" i="1"/>
  <c r="M945" i="1"/>
  <c r="K945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L859" i="1"/>
  <c r="N861" i="1"/>
  <c r="O862" i="1"/>
  <c r="P863" i="1"/>
  <c r="L867" i="1"/>
  <c r="N869" i="1"/>
  <c r="K871" i="1"/>
  <c r="J871" i="1"/>
  <c r="K875" i="1"/>
  <c r="J875" i="1"/>
  <c r="K879" i="1"/>
  <c r="J879" i="1"/>
  <c r="K883" i="1"/>
  <c r="J883" i="1"/>
  <c r="K887" i="1"/>
  <c r="J887" i="1"/>
  <c r="K891" i="1"/>
  <c r="J891" i="1"/>
  <c r="K895" i="1"/>
  <c r="J895" i="1"/>
  <c r="M859" i="1"/>
  <c r="O861" i="1"/>
  <c r="P862" i="1"/>
  <c r="K865" i="1"/>
  <c r="M867" i="1"/>
  <c r="O869" i="1"/>
  <c r="N969" i="1"/>
  <c r="L969" i="1"/>
  <c r="J969" i="1"/>
  <c r="P969" i="1"/>
  <c r="O969" i="1"/>
  <c r="M969" i="1"/>
  <c r="K969" i="1"/>
  <c r="P861" i="1"/>
  <c r="L865" i="1"/>
  <c r="P869" i="1"/>
  <c r="K870" i="1"/>
  <c r="J870" i="1"/>
  <c r="K874" i="1"/>
  <c r="J874" i="1"/>
  <c r="K878" i="1"/>
  <c r="J878" i="1"/>
  <c r="K882" i="1"/>
  <c r="J882" i="1"/>
  <c r="K886" i="1"/>
  <c r="J886" i="1"/>
  <c r="K890" i="1"/>
  <c r="J890" i="1"/>
  <c r="K894" i="1"/>
  <c r="J894" i="1"/>
  <c r="K898" i="1"/>
  <c r="J898" i="1"/>
  <c r="P898" i="1"/>
  <c r="N961" i="1"/>
  <c r="L961" i="1"/>
  <c r="J961" i="1"/>
  <c r="P961" i="1"/>
  <c r="O961" i="1"/>
  <c r="M961" i="1"/>
  <c r="K961" i="1"/>
  <c r="M865" i="1"/>
  <c r="N920" i="1"/>
  <c r="L920" i="1"/>
  <c r="P920" i="1"/>
  <c r="O920" i="1"/>
  <c r="M920" i="1"/>
  <c r="K920" i="1"/>
  <c r="J920" i="1"/>
  <c r="N913" i="1"/>
  <c r="N914" i="1"/>
  <c r="P918" i="1"/>
  <c r="K924" i="1"/>
  <c r="N926" i="1"/>
  <c r="L926" i="1"/>
  <c r="J926" i="1"/>
  <c r="K932" i="1"/>
  <c r="N934" i="1"/>
  <c r="L934" i="1"/>
  <c r="J934" i="1"/>
  <c r="K940" i="1"/>
  <c r="N942" i="1"/>
  <c r="L942" i="1"/>
  <c r="J942" i="1"/>
  <c r="K948" i="1"/>
  <c r="N950" i="1"/>
  <c r="L950" i="1"/>
  <c r="J950" i="1"/>
  <c r="K956" i="1"/>
  <c r="N958" i="1"/>
  <c r="L958" i="1"/>
  <c r="J958" i="1"/>
  <c r="K964" i="1"/>
  <c r="N966" i="1"/>
  <c r="L966" i="1"/>
  <c r="J966" i="1"/>
  <c r="N923" i="1"/>
  <c r="L923" i="1"/>
  <c r="J923" i="1"/>
  <c r="M924" i="1"/>
  <c r="N931" i="1"/>
  <c r="L931" i="1"/>
  <c r="J931" i="1"/>
  <c r="M932" i="1"/>
  <c r="N939" i="1"/>
  <c r="L939" i="1"/>
  <c r="J939" i="1"/>
  <c r="M940" i="1"/>
  <c r="N947" i="1"/>
  <c r="L947" i="1"/>
  <c r="J947" i="1"/>
  <c r="M948" i="1"/>
  <c r="N955" i="1"/>
  <c r="L955" i="1"/>
  <c r="J955" i="1"/>
  <c r="M956" i="1"/>
  <c r="N963" i="1"/>
  <c r="L963" i="1"/>
  <c r="J963" i="1"/>
  <c r="M964" i="1"/>
  <c r="N971" i="1"/>
  <c r="L971" i="1"/>
  <c r="J971" i="1"/>
  <c r="M972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J919" i="1"/>
  <c r="O924" i="1"/>
  <c r="K926" i="1"/>
  <c r="N928" i="1"/>
  <c r="L928" i="1"/>
  <c r="J928" i="1"/>
  <c r="O932" i="1"/>
  <c r="K934" i="1"/>
  <c r="N936" i="1"/>
  <c r="L936" i="1"/>
  <c r="J936" i="1"/>
  <c r="O940" i="1"/>
  <c r="K942" i="1"/>
  <c r="N944" i="1"/>
  <c r="L944" i="1"/>
  <c r="J944" i="1"/>
  <c r="O948" i="1"/>
  <c r="K950" i="1"/>
  <c r="N952" i="1"/>
  <c r="L952" i="1"/>
  <c r="J952" i="1"/>
  <c r="O956" i="1"/>
  <c r="K958" i="1"/>
  <c r="N960" i="1"/>
  <c r="L960" i="1"/>
  <c r="J960" i="1"/>
  <c r="K966" i="1"/>
  <c r="N968" i="1"/>
  <c r="L968" i="1"/>
  <c r="J968" i="1"/>
  <c r="J918" i="1"/>
  <c r="N922" i="1"/>
  <c r="L922" i="1"/>
  <c r="K923" i="1"/>
  <c r="N925" i="1"/>
  <c r="L925" i="1"/>
  <c r="J925" i="1"/>
  <c r="N933" i="1"/>
  <c r="L933" i="1"/>
  <c r="J933" i="1"/>
  <c r="N941" i="1"/>
  <c r="L941" i="1"/>
  <c r="J941" i="1"/>
  <c r="N949" i="1"/>
  <c r="L949" i="1"/>
  <c r="J949" i="1"/>
  <c r="N957" i="1"/>
  <c r="L957" i="1"/>
  <c r="J957" i="1"/>
  <c r="N965" i="1"/>
  <c r="L965" i="1"/>
  <c r="J965" i="1"/>
  <c r="N973" i="1"/>
  <c r="L973" i="1"/>
  <c r="J973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K918" i="1"/>
  <c r="L919" i="1"/>
  <c r="M923" i="1"/>
  <c r="O926" i="1"/>
  <c r="K928" i="1"/>
  <c r="N930" i="1"/>
  <c r="L930" i="1"/>
  <c r="J930" i="1"/>
  <c r="M931" i="1"/>
  <c r="O934" i="1"/>
  <c r="K936" i="1"/>
  <c r="N938" i="1"/>
  <c r="L938" i="1"/>
  <c r="J938" i="1"/>
  <c r="M939" i="1"/>
  <c r="O942" i="1"/>
  <c r="N946" i="1"/>
  <c r="L946" i="1"/>
  <c r="J946" i="1"/>
  <c r="M947" i="1"/>
  <c r="O950" i="1"/>
  <c r="N954" i="1"/>
  <c r="L954" i="1"/>
  <c r="J954" i="1"/>
  <c r="M955" i="1"/>
  <c r="O958" i="1"/>
  <c r="N962" i="1"/>
  <c r="L962" i="1"/>
  <c r="J962" i="1"/>
  <c r="M963" i="1"/>
  <c r="O966" i="1"/>
  <c r="N970" i="1"/>
  <c r="L970" i="1"/>
  <c r="J970" i="1"/>
  <c r="M971" i="1"/>
  <c r="K917" i="1"/>
  <c r="L918" i="1"/>
  <c r="M919" i="1"/>
  <c r="N921" i="1"/>
  <c r="L921" i="1"/>
  <c r="J922" i="1"/>
  <c r="O923" i="1"/>
  <c r="K925" i="1"/>
  <c r="P926" i="1"/>
  <c r="N927" i="1"/>
  <c r="L927" i="1"/>
  <c r="J927" i="1"/>
  <c r="M928" i="1"/>
  <c r="O931" i="1"/>
  <c r="K933" i="1"/>
  <c r="P934" i="1"/>
  <c r="N935" i="1"/>
  <c r="L935" i="1"/>
  <c r="J935" i="1"/>
  <c r="M936" i="1"/>
  <c r="O939" i="1"/>
  <c r="K941" i="1"/>
  <c r="P942" i="1"/>
  <c r="N943" i="1"/>
  <c r="L943" i="1"/>
  <c r="J943" i="1"/>
  <c r="M944" i="1"/>
  <c r="O947" i="1"/>
  <c r="K949" i="1"/>
  <c r="P950" i="1"/>
  <c r="N951" i="1"/>
  <c r="L951" i="1"/>
  <c r="J951" i="1"/>
  <c r="M952" i="1"/>
  <c r="O955" i="1"/>
  <c r="K957" i="1"/>
  <c r="P958" i="1"/>
  <c r="N959" i="1"/>
  <c r="L959" i="1"/>
  <c r="J959" i="1"/>
  <c r="M960" i="1"/>
  <c r="O963" i="1"/>
  <c r="K965" i="1"/>
  <c r="P966" i="1"/>
  <c r="N967" i="1"/>
  <c r="L967" i="1"/>
  <c r="J967" i="1"/>
  <c r="M968" i="1"/>
  <c r="O971" i="1"/>
  <c r="K973" i="1"/>
  <c r="N924" i="1"/>
  <c r="L924" i="1"/>
  <c r="J924" i="1"/>
  <c r="N932" i="1"/>
  <c r="L932" i="1"/>
  <c r="J932" i="1"/>
  <c r="N940" i="1"/>
  <c r="L940" i="1"/>
  <c r="J940" i="1"/>
  <c r="N948" i="1"/>
  <c r="L948" i="1"/>
  <c r="J948" i="1"/>
  <c r="N956" i="1"/>
  <c r="L956" i="1"/>
  <c r="J956" i="1"/>
  <c r="M957" i="1"/>
  <c r="N964" i="1"/>
  <c r="L964" i="1"/>
  <c r="J964" i="1"/>
  <c r="M965" i="1"/>
  <c r="P971" i="1"/>
  <c r="N972" i="1"/>
  <c r="L972" i="1"/>
  <c r="J972" i="1"/>
  <c r="M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K1001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M1001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O1001" i="1"/>
</calcChain>
</file>

<file path=xl/sharedStrings.xml><?xml version="1.0" encoding="utf-8"?>
<sst xmlns="http://schemas.openxmlformats.org/spreadsheetml/2006/main" count="150" uniqueCount="105">
  <si>
    <t>art</t>
  </si>
  <si>
    <t>geo</t>
  </si>
  <si>
    <t>geo_r</t>
  </si>
  <si>
    <t>razmer</t>
  </si>
  <si>
    <t>S</t>
  </si>
  <si>
    <t>re</t>
  </si>
  <si>
    <t>chip</t>
  </si>
  <si>
    <t>alloy</t>
  </si>
  <si>
    <t>shape</t>
  </si>
  <si>
    <t>m1</t>
  </si>
  <si>
    <t>m2</t>
  </si>
  <si>
    <t>m3</t>
  </si>
  <si>
    <t>m4</t>
  </si>
  <si>
    <t>m5</t>
  </si>
  <si>
    <t>m6</t>
  </si>
  <si>
    <t>Material_plastiny</t>
  </si>
  <si>
    <t>Konstruktciia_plastiny</t>
  </si>
  <si>
    <t>CNMG090308-GM-GP1226</t>
  </si>
  <si>
    <t>CNMG120808-YF-GM3220</t>
  </si>
  <si>
    <t>Code</t>
  </si>
  <si>
    <t>01</t>
  </si>
  <si>
    <t>1.59</t>
  </si>
  <si>
    <t>V</t>
  </si>
  <si>
    <t>Ромб 35° (V***)</t>
  </si>
  <si>
    <t>1</t>
  </si>
  <si>
    <t>CVD</t>
  </si>
  <si>
    <t>A</t>
  </si>
  <si>
    <t>P</t>
  </si>
  <si>
    <t>M</t>
  </si>
  <si>
    <t>K</t>
  </si>
  <si>
    <t>с отверстием/односторонний (***M)</t>
  </si>
  <si>
    <t>02</t>
  </si>
  <si>
    <t>2.38</t>
  </si>
  <si>
    <t>F</t>
  </si>
  <si>
    <t>Ромб 50° (F***)</t>
  </si>
  <si>
    <t>2</t>
  </si>
  <si>
    <t>G</t>
  </si>
  <si>
    <t>с отверстием/двухсторонний (***G)</t>
  </si>
  <si>
    <t>03</t>
  </si>
  <si>
    <t>3.18</t>
  </si>
  <si>
    <t>D</t>
  </si>
  <si>
    <t>Ромб 55° (D***)</t>
  </si>
  <si>
    <t>3</t>
  </si>
  <si>
    <t>PVD</t>
  </si>
  <si>
    <t>с отверстием/без стружколома (***A)</t>
  </si>
  <si>
    <t>04</t>
  </si>
  <si>
    <t>4.76</t>
  </si>
  <si>
    <t>E</t>
  </si>
  <si>
    <t>Ромб 75° (E***)</t>
  </si>
  <si>
    <t>4</t>
  </si>
  <si>
    <t>T</t>
  </si>
  <si>
    <t>отверстие с зенковкой 40°-60°/односторонний (***T)</t>
  </si>
  <si>
    <t>05</t>
  </si>
  <si>
    <t>5.56</t>
  </si>
  <si>
    <t>C</t>
  </si>
  <si>
    <t>Ромб 80° (С***)</t>
  </si>
  <si>
    <t>6</t>
  </si>
  <si>
    <t>N</t>
  </si>
  <si>
    <t>без отверстия/без стружколома (***N)</t>
  </si>
  <si>
    <t>06</t>
  </si>
  <si>
    <t>6.35</t>
  </si>
  <si>
    <t>Ромб 86° (M***)</t>
  </si>
  <si>
    <t>7</t>
  </si>
  <si>
    <t>H</t>
  </si>
  <si>
    <t>W</t>
  </si>
  <si>
    <t>отверстие с зенковкой 40°-60°/без стружколома (***W)</t>
  </si>
  <si>
    <t>07</t>
  </si>
  <si>
    <t>7.94</t>
  </si>
  <si>
    <t>Ломаный треугольник 80° (W***)</t>
  </si>
  <si>
    <t>отверстие с зенковкой 70°-90°/односторонний (***H)</t>
  </si>
  <si>
    <t>09</t>
  </si>
  <si>
    <t>9.52</t>
  </si>
  <si>
    <t>Треугольник 60° (T***)</t>
  </si>
  <si>
    <t>X</t>
  </si>
  <si>
    <t>иная (***X)</t>
  </si>
  <si>
    <t>11</t>
  </si>
  <si>
    <t>R</t>
  </si>
  <si>
    <t>Круг (R***)</t>
  </si>
  <si>
    <t>12</t>
  </si>
  <si>
    <t>Квадрат 90° (S***)</t>
  </si>
  <si>
    <t>Шестиугольник 120° (H***)</t>
  </si>
  <si>
    <t>Параллелограмм 55° (K***)</t>
  </si>
  <si>
    <t>B</t>
  </si>
  <si>
    <t>Параллелограмм 82° (B***)</t>
  </si>
  <si>
    <t>Параллелограмм 85° (A***)</t>
  </si>
  <si>
    <t>Q</t>
  </si>
  <si>
    <t>Восьмиугольник 135° (O***)</t>
  </si>
  <si>
    <t>L</t>
  </si>
  <si>
    <t>Прямоугольник 90° (L***)</t>
  </si>
  <si>
    <t>Пятиугольник 108° (P***)</t>
  </si>
  <si>
    <t>VCMT160404-GP-GM3225</t>
  </si>
  <si>
    <t>T1</t>
  </si>
  <si>
    <t>T2</t>
  </si>
  <si>
    <t>T3</t>
  </si>
  <si>
    <t>CNMG09T308-GM-GP1225</t>
  </si>
  <si>
    <t>X0</t>
  </si>
  <si>
    <t>круглая пластина</t>
  </si>
  <si>
    <t>M0</t>
  </si>
  <si>
    <t>08</t>
  </si>
  <si>
    <t>16</t>
  </si>
  <si>
    <t>20</t>
  </si>
  <si>
    <t>24</t>
  </si>
  <si>
    <t>28</t>
  </si>
  <si>
    <t>32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</si>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</sst>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 applyNumberFormat="1"/>
    <xf numFmtId="49" fontId="0" fillId="0" borderId="0" xfId="0" applyNumberFormat="1"/>
    <xf numFmtId="0" fontId="1" fillId="0" borderId="0" xfId="1" applyNumberFormat="1"/>
    <xf numFmtId="0" fontId="0" fillId="0" borderId="0" xfId="0" applyNumberFormat="1" applyAlignment="1">
      <alignment vertical="center" wrapText="1"/>
    </xf>
    <xf numFmtId="0" fontId="0" fillId="2" borderId="0" xfId="0" applyNumberFormat="1" applyFill="1"/>
    <xf numFmtId="0" fontId="0" fillId="0" borderId="0" xfId="0" applyNumberFormat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ratec.ru/gesac/turning-insert/vcmt160404-gp-gm3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I26" sqref="I26"/>
    </sheetView>
  </sheetViews>
  <sheetFormatPr defaultRowHeight="15.75" x14ac:dyDescent="0.25"/>
  <cols>
    <col min="1" max="1" width="25.25" customWidth="1"/>
    <col min="2" max="4" width="12" customWidth="1"/>
    <col min="5" max="6" width="10" customWidth="1"/>
    <col min="7" max="7" width="12" customWidth="1"/>
    <col min="8" max="8" width="15" customWidth="1"/>
    <col min="9" max="9" width="16.875" customWidth="1"/>
    <col min="10" max="15" width="3.625" customWidth="1"/>
    <col min="17" max="17" width="47.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94</v>
      </c>
      <c r="B2" t="str">
        <f t="shared" ref="B2:B65" si="0">LEFT(A2,4)</f>
        <v>CNMG</v>
      </c>
      <c r="C2" t="str">
        <f t="shared" ref="C2:C65" si="1">LEFT(A2,2)&amp;"**"</f>
        <v>CN**</v>
      </c>
      <c r="D2" t="str">
        <f t="shared" ref="D2:D65" si="2">MID(A2,5,2)</f>
        <v>09</v>
      </c>
      <c r="E2">
        <f>IFERROR(VLOOKUP(MID(A2,7,2),Map!$A$2:$B$20,2,FALSE),"")</f>
        <v>3.97</v>
      </c>
      <c r="F2">
        <f>IF(A2="","",IFERROR(VLOOKUP(MID(A2,9,2),Map!$R$2:$S$14,2,FALSE),""))</f>
        <v>0.8</v>
      </c>
      <c r="G2" t="str">
        <f t="shared" ref="G2:G65" si="3">IFERROR(MID(A2,FIND("-",A2)+1,FIND("-",A2,FIND("-",A2)+1)-FIND("-",A2)-1),"")</f>
        <v>GM</v>
      </c>
      <c r="H2" t="str">
        <f t="shared" ref="H2:H65" si="4">IFERROR(RIGHT(A2,LEN(A2)-FIND("-",A2,FIND("-",A2)+1)),"")</f>
        <v>GP1225</v>
      </c>
      <c r="I2" t="str">
        <f>IF(A2="","",IFERROR(VLOOKUP(LEFT(A2,1),Map!$D$2:$E$20,2,FALSE),""))</f>
        <v>Ромб 80° (С***)</v>
      </c>
      <c r="J2" t="str">
        <f>IF(OR(H2="",NOT(OR(LEFT(H2,1)="G",LEFT(H2,1)="R"))),"",IFERROR(VLOOKUP(MID(H2,2,1),Map!$J$2:$M$10,2,FALSE),""))</f>
        <v>P</v>
      </c>
      <c r="K2" t="str">
        <f t="shared" ref="K2:K65" si="5">IF(OR(H2="",NOT(OR(LEFT(H2,1)="G",LEFT(H2,1)="R")),MID(H2,2,1)&lt;&gt;"A"),"","M")</f>
        <v/>
      </c>
      <c r="L2" t="str">
        <f t="shared" ref="L2:L65" si="6">IF(OR(H2="",NOT(OR(LEFT(H2,1)="G",LEFT(H2,1)="R")),MID(H2,2,1)&lt;&gt;"A"),"","K")</f>
        <v/>
      </c>
      <c r="M2" t="str">
        <f t="shared" ref="M2:M65" si="7">IF(OR(H2="",NOT(OR(LEFT(H2,1)="G",LEFT(H2,1)="R"))),"","")</f>
        <v/>
      </c>
      <c r="N2" t="str">
        <f t="shared" ref="N2:N65" si="8">IF(OR(H2="",NOT(OR(LEFT(H2,1)="G",LEFT(H2,1)="R"))),"","")</f>
        <v/>
      </c>
      <c r="O2" t="str">
        <f t="shared" ref="O2:O65" si="9">IF(OR(H2="",NOT(OR(LEFT(H2,1)="G",LEFT(H2,1)="R"))),"","")</f>
        <v/>
      </c>
      <c r="P2" t="str">
        <f>IF(OR(H2="",NOT(OR(LEFT(H2,1)="G",LEFT(H2,1)="R"))),"",IFERROR(VLOOKUP(MID(H2,3,1),Map!$G$2:$H$10,2,FALSE),""))</f>
        <v>CVD</v>
      </c>
      <c r="Q2" t="str">
        <f>IF(A2="","",IFERROR(VLOOKUP(MID(A2,4,1),Map!$O$2:$P$10,2,FALSE),""))</f>
        <v>с отверстием/двухсторонний (***G)</v>
      </c>
    </row>
    <row r="3" spans="1:17" x14ac:dyDescent="0.25">
      <c r="A3" t="s">
        <v>17</v>
      </c>
      <c r="B3" t="str">
        <f t="shared" si="0"/>
        <v>CNMG</v>
      </c>
      <c r="C3" t="str">
        <f t="shared" si="1"/>
        <v>CN**</v>
      </c>
      <c r="D3" t="str">
        <f t="shared" si="2"/>
        <v>09</v>
      </c>
      <c r="E3" t="str">
        <f>IFERROR(VLOOKUP(MID(A3,7,2),Map!$A$2:$B$20,2,FALSE),"")</f>
        <v>3.18</v>
      </c>
      <c r="F3">
        <f>IF(A3="","",IFERROR(VLOOKUP(MID(A3,9,2),Map!$R$2:$S$14,2,FALSE),""))</f>
        <v>0.8</v>
      </c>
      <c r="G3" t="str">
        <f t="shared" si="3"/>
        <v>GM</v>
      </c>
      <c r="H3" t="str">
        <f t="shared" si="4"/>
        <v>GP1226</v>
      </c>
      <c r="I3" t="str">
        <f>IF(A3="","",IFERROR(VLOOKUP(LEFT(A3,1),Map!$D$2:$E$20,2,FALSE),""))</f>
        <v>Ромб 80° (С***)</v>
      </c>
      <c r="J3" t="str">
        <f>IF(OR(H3="",NOT(OR(LEFT(H3,1)="G",LEFT(H3,1)="R"))),"",IFERROR(VLOOKUP(MID(H3,2,1),Map!$J$2:$M$10,2,FALSE),""))</f>
        <v>P</v>
      </c>
      <c r="K3" t="str">
        <f t="shared" si="5"/>
        <v/>
      </c>
      <c r="L3" t="str">
        <f t="shared" si="6"/>
        <v/>
      </c>
      <c r="M3" t="str">
        <f t="shared" si="7"/>
        <v/>
      </c>
      <c r="N3" t="str">
        <f t="shared" si="8"/>
        <v/>
      </c>
      <c r="O3" t="str">
        <f t="shared" si="9"/>
        <v/>
      </c>
      <c r="P3" t="str">
        <f>IF(OR(H3="",NOT(OR(LEFT(H3,1)="G",LEFT(H3,1)="R"))),"",IFERROR(VLOOKUP(MID(H3,3,1),Map!$G$2:$H$10,2,FALSE),""))</f>
        <v>CVD</v>
      </c>
      <c r="Q3" t="str">
        <f>IF(A3="","",IFERROR(VLOOKUP(MID(A3,4,1),Map!$O$2:$P$10,2,FALSE),""))</f>
        <v>с отверстием/двухсторонний (***G)</v>
      </c>
    </row>
    <row r="4" spans="1:17" x14ac:dyDescent="0.25">
      <c r="A4" t="s">
        <v>18</v>
      </c>
      <c r="B4" t="str">
        <f t="shared" si="0"/>
        <v>CNMG</v>
      </c>
      <c r="C4" t="str">
        <f t="shared" si="1"/>
        <v>CN**</v>
      </c>
      <c r="D4" t="str">
        <f t="shared" si="2"/>
        <v>12</v>
      </c>
      <c r="E4" t="str">
        <f>IFERROR(VLOOKUP(MID(A4,7,2),Map!$A$2:$B$20,2,FALSE),"")</f>
        <v/>
      </c>
      <c r="F4">
        <f>IF(A4="","",IFERROR(VLOOKUP(MID(A4,9,2),Map!$R$2:$S$14,2,FALSE),""))</f>
        <v>0.8</v>
      </c>
      <c r="G4" t="str">
        <f t="shared" si="3"/>
        <v>YF</v>
      </c>
      <c r="H4" t="str">
        <f t="shared" si="4"/>
        <v>GM3220</v>
      </c>
      <c r="I4" t="str">
        <f>IF(A4="","",IFERROR(VLOOKUP(LEFT(A4,1),Map!$D$2:$E$20,2,FALSE),""))</f>
        <v>Ромб 80° (С***)</v>
      </c>
      <c r="J4" t="str">
        <f>IF(OR(H4="",NOT(OR(LEFT(H4,1)="G",LEFT(H4,1)="R"))),"",IFERROR(VLOOKUP(MID(H4,2,1),Map!$J$2:$M$10,2,FALSE),""))</f>
        <v>M</v>
      </c>
      <c r="K4" t="str">
        <f t="shared" si="5"/>
        <v/>
      </c>
      <c r="L4" t="str">
        <f t="shared" si="6"/>
        <v/>
      </c>
      <c r="M4" t="str">
        <f t="shared" si="7"/>
        <v/>
      </c>
      <c r="N4" t="str">
        <f t="shared" si="8"/>
        <v/>
      </c>
      <c r="O4" t="str">
        <f t="shared" si="9"/>
        <v/>
      </c>
      <c r="P4" t="str">
        <f>IF(OR(H4="",NOT(OR(LEFT(H4,1)="G",LEFT(H4,1)="R"))),"",IFERROR(VLOOKUP(MID(H4,3,1),Map!$G$2:$H$10,2,FALSE),""))</f>
        <v>PVD</v>
      </c>
      <c r="Q4" t="str">
        <f>IF(A4="","",IFERROR(VLOOKUP(MID(A4,4,1),Map!$O$2:$P$10,2,FALSE),""))</f>
        <v>с отверстием/двухсторонний (***G)</v>
      </c>
    </row>
    <row r="5" spans="1:17" x14ac:dyDescent="0.25">
      <c r="A5" s="2" t="s">
        <v>90</v>
      </c>
      <c r="B5" t="str">
        <f t="shared" si="0"/>
        <v>VCMT</v>
      </c>
      <c r="C5" t="str">
        <f t="shared" si="1"/>
        <v>VC**</v>
      </c>
      <c r="D5" t="str">
        <f t="shared" si="2"/>
        <v>16</v>
      </c>
      <c r="E5" t="str">
        <f>IFERROR(VLOOKUP(MID(A5,7,2),Map!$A$2:$B$20,2,FALSE),"")</f>
        <v>4.76</v>
      </c>
      <c r="F5">
        <f>IF(A5="","",IFERROR(VLOOKUP(MID(A5,9,2),Map!$R$2:$S$14,2,FALSE),""))</f>
        <v>0.4</v>
      </c>
      <c r="G5" t="str">
        <f t="shared" si="3"/>
        <v>GP</v>
      </c>
      <c r="H5" t="str">
        <f t="shared" si="4"/>
        <v>GM3225</v>
      </c>
      <c r="I5" t="str">
        <f>IF(A5="","",IFERROR(VLOOKUP(LEFT(A5,1),Map!$D$2:$E$20,2,FALSE),""))</f>
        <v>Ромб 35° (V***)</v>
      </c>
      <c r="J5" t="str">
        <f>IF(OR(H5="",NOT(OR(LEFT(H5,1)="G",LEFT(H5,1)="R"))),"",IFERROR(VLOOKUP(MID(H5,2,1),Map!$J$2:$M$10,2,FALSE),""))</f>
        <v>M</v>
      </c>
      <c r="K5" t="str">
        <f t="shared" si="5"/>
        <v/>
      </c>
      <c r="L5" t="str">
        <f t="shared" si="6"/>
        <v/>
      </c>
      <c r="M5" t="str">
        <f t="shared" si="7"/>
        <v/>
      </c>
      <c r="N5" t="str">
        <f t="shared" si="8"/>
        <v/>
      </c>
      <c r="O5" t="str">
        <f t="shared" si="9"/>
        <v/>
      </c>
      <c r="P5" t="str">
        <f>IF(OR(H5="",NOT(OR(LEFT(H5,1)="G",LEFT(H5,1)="R"))),"",IFERROR(VLOOKUP(MID(H5,3,1),Map!$G$2:$H$10,2,FALSE),""))</f>
        <v>PVD</v>
      </c>
      <c r="Q5" t="str">
        <f>IF(A5="","",IFERROR(VLOOKUP(MID(A5,4,1),Map!$O$2:$P$10,2,FALSE),""))</f>
        <v>отверстие с зенковкой 40°-60°/односторонний (***T)</v>
      </c>
    </row>
    <row r="6" spans="1:17" x14ac:dyDescent="0.25">
      <c r="A6" t="s">
        <v>90</v>
      </c>
      <c r="B6" t="str">
        <f t="shared" si="0"/>
        <v>VCMT</v>
      </c>
      <c r="C6" t="str">
        <f t="shared" si="1"/>
        <v>VC**</v>
      </c>
      <c r="D6" t="str">
        <f t="shared" si="2"/>
        <v>16</v>
      </c>
      <c r="E6" t="str">
        <f>IFERROR(VLOOKUP(MID(A6,7,2),Map!$A$2:$B$20,2,FALSE),"")</f>
        <v>4.76</v>
      </c>
      <c r="F6">
        <f>IF(A6="","",IFERROR(VLOOKUP(MID(A6,9,2),Map!$R$2:$S$14,2,FALSE),""))</f>
        <v>0.4</v>
      </c>
      <c r="G6" t="str">
        <f t="shared" si="3"/>
        <v>GP</v>
      </c>
      <c r="H6" t="str">
        <f t="shared" si="4"/>
        <v>GM3225</v>
      </c>
      <c r="I6" t="str">
        <f>IF(A6="","",IFERROR(VLOOKUP(LEFT(A6,1),Map!$D$2:$E$20,2,FALSE),""))</f>
        <v>Ромб 35° (V***)</v>
      </c>
      <c r="J6" t="str">
        <f>IF(OR(H6="",NOT(OR(LEFT(H6,1)="G",LEFT(H6,1)="R"))),"",IFERROR(VLOOKUP(MID(H6,2,1),Map!$J$2:$M$10,2,FALSE),""))</f>
        <v>M</v>
      </c>
      <c r="K6" t="str">
        <f t="shared" si="5"/>
        <v/>
      </c>
      <c r="L6" t="str">
        <f t="shared" si="6"/>
        <v/>
      </c>
      <c r="M6" t="str">
        <f t="shared" si="7"/>
        <v/>
      </c>
      <c r="N6" t="str">
        <f t="shared" si="8"/>
        <v/>
      </c>
      <c r="O6" t="str">
        <f t="shared" si="9"/>
        <v/>
      </c>
      <c r="P6" t="str">
        <f>IF(OR(H6="",NOT(OR(LEFT(H6,1)="G",LEFT(H6,1)="R"))),"",IFERROR(VLOOKUP(MID(H6,3,1),Map!$G$2:$H$10,2,FALSE),""))</f>
        <v>PVD</v>
      </c>
      <c r="Q6" t="str">
        <f>IF(A6="","",IFERROR(VLOOKUP(MID(A6,4,1),Map!$O$2:$P$10,2,FALSE),""))</f>
        <v>отверстие с зенковкой 40°-60°/односторонний (***T)</v>
      </c>
    </row>
    <row r="7" spans="1:17" x14ac:dyDescent="0.25">
      <c r="B7" t="str">
        <f t="shared" si="0"/>
        <v/>
      </c>
      <c r="C7" t="str">
        <f t="shared" si="1"/>
        <v>**</v>
      </c>
      <c r="D7" t="str">
        <f t="shared" si="2"/>
        <v/>
      </c>
      <c r="E7" t="str">
        <f>IFERROR(VLOOKUP(MID(A7,7,2),Map!$A$2:$B$20,2,FALSE),"")</f>
        <v/>
      </c>
      <c r="F7" t="str">
        <f>IF(A7="","",IFERROR(VLOOKUP(MID(A7,9,2),Map!$R$2:$S$14,2,FALSE),""))</f>
        <v/>
      </c>
      <c r="G7" t="str">
        <f t="shared" si="3"/>
        <v/>
      </c>
      <c r="H7" t="str">
        <f t="shared" si="4"/>
        <v/>
      </c>
      <c r="I7" t="str">
        <f>IF(A7="","",IFERROR(VLOOKUP(LEFT(A7,1),Map!$D$2:$E$20,2,FALSE),""))</f>
        <v/>
      </c>
      <c r="J7" t="str">
        <f>IF(OR(H7="",NOT(OR(LEFT(H7,1)="G",LEFT(H7,1)="R"))),"",IFERROR(VLOOKUP(MID(H7,2,1),Map!$J$2:$M$10,2,FALSE),""))</f>
        <v/>
      </c>
      <c r="K7" t="str">
        <f t="shared" si="5"/>
        <v/>
      </c>
      <c r="L7" t="str">
        <f t="shared" si="6"/>
        <v/>
      </c>
      <c r="M7" t="str">
        <f t="shared" si="7"/>
        <v/>
      </c>
      <c r="N7" t="str">
        <f t="shared" si="8"/>
        <v/>
      </c>
      <c r="O7" t="str">
        <f t="shared" si="9"/>
        <v/>
      </c>
      <c r="P7" t="str">
        <f>IF(OR(H7="",NOT(OR(LEFT(H7,1)="G",LEFT(H7,1)="R"))),"",IFERROR(VLOOKUP(MID(H7,3,1),Map!$G$2:$H$10,2,FALSE),""))</f>
        <v/>
      </c>
      <c r="Q7" t="str">
        <f>IF(A7="","",IFERROR(VLOOKUP(MID(A7,4,1),Map!$O$2:$P$10,2,FALSE),""))</f>
        <v/>
      </c>
    </row>
    <row r="8" spans="1:17" x14ac:dyDescent="0.25">
      <c r="B8" t="str">
        <f t="shared" si="0"/>
        <v/>
      </c>
      <c r="C8" t="str">
        <f t="shared" si="1"/>
        <v>**</v>
      </c>
      <c r="D8" t="str">
        <f t="shared" si="2"/>
        <v/>
      </c>
      <c r="E8" t="str">
        <f>IFERROR(VLOOKUP(MID(A8,7,2),Map!$A$2:$B$20,2,FALSE),"")</f>
        <v/>
      </c>
      <c r="F8" t="str">
        <f>IF(A8="","",IFERROR(VLOOKUP(MID(A8,9,2),Map!$R$2:$S$14,2,FALSE),""))</f>
        <v/>
      </c>
      <c r="G8" t="str">
        <f t="shared" si="3"/>
        <v/>
      </c>
      <c r="H8" t="str">
        <f t="shared" si="4"/>
        <v/>
      </c>
      <c r="I8" t="str">
        <f>IF(A8="","",IFERROR(VLOOKUP(LEFT(A8,1),Map!$D$2:$E$20,2,FALSE),""))</f>
        <v/>
      </c>
      <c r="J8" t="str">
        <f>IF(OR(H8="",NOT(OR(LEFT(H8,1)="G",LEFT(H8,1)="R"))),"",IFERROR(VLOOKUP(MID(H8,2,1),Map!$J$2:$M$10,2,FALSE),""))</f>
        <v/>
      </c>
      <c r="K8" t="str">
        <f t="shared" si="5"/>
        <v/>
      </c>
      <c r="L8" t="str">
        <f t="shared" si="6"/>
        <v/>
      </c>
      <c r="M8" t="str">
        <f t="shared" si="7"/>
        <v/>
      </c>
      <c r="N8" t="str">
        <f t="shared" si="8"/>
        <v/>
      </c>
      <c r="O8" t="str">
        <f t="shared" si="9"/>
        <v/>
      </c>
      <c r="P8" t="str">
        <f>IF(OR(H8="",NOT(OR(LEFT(H8,1)="G",LEFT(H8,1)="R"))),"",IFERROR(VLOOKUP(MID(H8,3,1),Map!$G$2:$H$10,2,FALSE),""))</f>
        <v/>
      </c>
      <c r="Q8" t="str">
        <f>IF(A8="","",IFERROR(VLOOKUP(MID(A8,4,1),Map!$O$2:$P$10,2,FALSE),""))</f>
        <v/>
      </c>
    </row>
    <row r="9" spans="1:17" x14ac:dyDescent="0.25">
      <c r="B9" t="str">
        <f t="shared" si="0"/>
        <v/>
      </c>
      <c r="C9" t="str">
        <f t="shared" si="1"/>
        <v>**</v>
      </c>
      <c r="D9" t="str">
        <f t="shared" si="2"/>
        <v/>
      </c>
      <c r="E9" t="str">
        <f>IFERROR(VLOOKUP(MID(A9,7,2),Map!$A$2:$B$20,2,FALSE),"")</f>
        <v/>
      </c>
      <c r="F9" t="str">
        <f>IF(A9="","",IFERROR(VLOOKUP(MID(A9,9,2),Map!$R$2:$S$14,2,FALSE),""))</f>
        <v/>
      </c>
      <c r="G9" t="str">
        <f t="shared" si="3"/>
        <v/>
      </c>
      <c r="H9" t="str">
        <f t="shared" si="4"/>
        <v/>
      </c>
      <c r="I9" t="str">
        <f>IF(A9="","",IFERROR(VLOOKUP(LEFT(A9,1),Map!$D$2:$E$20,2,FALSE),""))</f>
        <v/>
      </c>
      <c r="J9" t="str">
        <f>IF(OR(H9="",NOT(OR(LEFT(H9,1)="G",LEFT(H9,1)="R"))),"",IFERROR(VLOOKUP(MID(H9,2,1),Map!$J$2:$M$10,2,FALSE),""))</f>
        <v/>
      </c>
      <c r="K9" t="str">
        <f t="shared" si="5"/>
        <v/>
      </c>
      <c r="L9" t="str">
        <f t="shared" si="6"/>
        <v/>
      </c>
      <c r="M9" t="str">
        <f t="shared" si="7"/>
        <v/>
      </c>
      <c r="N9" t="str">
        <f t="shared" si="8"/>
        <v/>
      </c>
      <c r="O9" t="str">
        <f t="shared" si="9"/>
        <v/>
      </c>
      <c r="P9" t="str">
        <f>IF(OR(H9="",NOT(OR(LEFT(H9,1)="G",LEFT(H9,1)="R"))),"",IFERROR(VLOOKUP(MID(H9,3,1),Map!$G$2:$H$10,2,FALSE),""))</f>
        <v/>
      </c>
      <c r="Q9" t="str">
        <f>IF(A9="","",IFERROR(VLOOKUP(MID(A9,4,1),Map!$O$2:$P$10,2,FALSE),""))</f>
        <v/>
      </c>
    </row>
    <row r="10" spans="1:17" x14ac:dyDescent="0.25">
      <c r="B10" t="str">
        <f t="shared" si="0"/>
        <v/>
      </c>
      <c r="C10" t="str">
        <f t="shared" si="1"/>
        <v>**</v>
      </c>
      <c r="D10" t="str">
        <f t="shared" si="2"/>
        <v/>
      </c>
      <c r="E10" t="str">
        <f>IFERROR(VLOOKUP(MID(A10,7,2),Map!$A$2:$B$20,2,FALSE),"")</f>
        <v/>
      </c>
      <c r="F10" t="str">
        <f>IF(A10="","",IFERROR(VLOOKUP(MID(A10,9,2),Map!$R$2:$S$14,2,FALSE),""))</f>
        <v/>
      </c>
      <c r="G10" t="str">
        <f t="shared" si="3"/>
        <v/>
      </c>
      <c r="H10" t="str">
        <f t="shared" si="4"/>
        <v/>
      </c>
      <c r="I10" t="str">
        <f>IF(A10="","",IFERROR(VLOOKUP(LEFT(A10,1),Map!$D$2:$E$20,2,FALSE),""))</f>
        <v/>
      </c>
      <c r="J10" t="str">
        <f>IF(OR(H10="",NOT(OR(LEFT(H10,1)="G",LEFT(H10,1)="R"))),"",IFERROR(VLOOKUP(MID(H10,2,1),Map!$J$2:$M$10,2,FALSE),""))</f>
        <v/>
      </c>
      <c r="K10" t="str">
        <f t="shared" si="5"/>
        <v/>
      </c>
      <c r="L10" t="str">
        <f t="shared" si="6"/>
        <v/>
      </c>
      <c r="M10" t="str">
        <f t="shared" si="7"/>
        <v/>
      </c>
      <c r="N10" t="str">
        <f t="shared" si="8"/>
        <v/>
      </c>
      <c r="O10" t="str">
        <f t="shared" si="9"/>
        <v/>
      </c>
      <c r="P10" t="str">
        <f>IF(OR(H10="",NOT(OR(LEFT(H10,1)="G",LEFT(H10,1)="R"))),"",IFERROR(VLOOKUP(MID(H10,3,1),Map!$G$2:$H$10,2,FALSE),""))</f>
        <v/>
      </c>
      <c r="Q10" t="str">
        <f>IF(A10="","",IFERROR(VLOOKUP(MID(A10,4,1),Map!$O$2:$P$10,2,FALSE),""))</f>
        <v/>
      </c>
    </row>
    <row r="11" spans="1:17" x14ac:dyDescent="0.25">
      <c r="B11" t="str">
        <f t="shared" si="0"/>
        <v/>
      </c>
      <c r="C11" t="str">
        <f t="shared" si="1"/>
        <v>**</v>
      </c>
      <c r="D11" t="str">
        <f t="shared" si="2"/>
        <v/>
      </c>
      <c r="E11" t="str">
        <f>IFERROR(VLOOKUP(MID(A11,7,2),Map!$A$2:$B$20,2,FALSE),"")</f>
        <v/>
      </c>
      <c r="F11" t="str">
        <f>IF(A11="","",IFERROR(VLOOKUP(MID(A11,9,2),Map!$R$2:$S$14,2,FALSE),""))</f>
        <v/>
      </c>
      <c r="G11" t="str">
        <f t="shared" si="3"/>
        <v/>
      </c>
      <c r="H11" t="str">
        <f t="shared" si="4"/>
        <v/>
      </c>
      <c r="I11" t="str">
        <f>IF(A11="","",IFERROR(VLOOKUP(LEFT(A11,1),Map!$D$2:$E$20,2,FALSE),""))</f>
        <v/>
      </c>
      <c r="J11" t="str">
        <f>IF(OR(H11="",NOT(OR(LEFT(H11,1)="G",LEFT(H11,1)="R"))),"",IFERROR(VLOOKUP(MID(H11,2,1),Map!$J$2:$M$10,2,FALSE),""))</f>
        <v/>
      </c>
      <c r="K11" t="str">
        <f t="shared" si="5"/>
        <v/>
      </c>
      <c r="L11" t="str">
        <f t="shared" si="6"/>
        <v/>
      </c>
      <c r="M11" t="str">
        <f t="shared" si="7"/>
        <v/>
      </c>
      <c r="N11" t="str">
        <f t="shared" si="8"/>
        <v/>
      </c>
      <c r="O11" t="str">
        <f t="shared" si="9"/>
        <v/>
      </c>
      <c r="P11" t="str">
        <f>IF(OR(H11="",NOT(OR(LEFT(H11,1)="G",LEFT(H11,1)="R"))),"",IFERROR(VLOOKUP(MID(H11,3,1),Map!$G$2:$H$10,2,FALSE),""))</f>
        <v/>
      </c>
      <c r="Q11" t="str">
        <f>IF(A11="","",IFERROR(VLOOKUP(MID(A11,4,1),Map!$O$2:$P$10,2,FALSE),""))</f>
        <v/>
      </c>
    </row>
    <row r="12" spans="1:17" x14ac:dyDescent="0.25">
      <c r="B12" t="str">
        <f t="shared" si="0"/>
        <v/>
      </c>
      <c r="C12" t="str">
        <f t="shared" si="1"/>
        <v>**</v>
      </c>
      <c r="D12" t="str">
        <f t="shared" si="2"/>
        <v/>
      </c>
      <c r="E12" t="str">
        <f>IFERROR(VLOOKUP(MID(A12,7,2),Map!$A$2:$B$20,2,FALSE),"")</f>
        <v/>
      </c>
      <c r="F12" t="str">
        <f>IF(A12="","",IFERROR(VLOOKUP(MID(A12,9,2),Map!$R$2:$S$14,2,FALSE),""))</f>
        <v/>
      </c>
      <c r="G12" t="str">
        <f t="shared" si="3"/>
        <v/>
      </c>
      <c r="H12" t="str">
        <f t="shared" si="4"/>
        <v/>
      </c>
      <c r="I12" t="str">
        <f>IF(A12="","",IFERROR(VLOOKUP(LEFT(A12,1),Map!$D$2:$E$20,2,FALSE),""))</f>
        <v/>
      </c>
      <c r="J12" t="str">
        <f>IF(OR(H12="",NOT(OR(LEFT(H12,1)="G",LEFT(H12,1)="R"))),"",IFERROR(VLOOKUP(MID(H12,2,1),Map!$J$2:$M$10,2,FALSE),""))</f>
        <v/>
      </c>
      <c r="K12" t="str">
        <f t="shared" si="5"/>
        <v/>
      </c>
      <c r="L12" t="str">
        <f t="shared" si="6"/>
        <v/>
      </c>
      <c r="M12" t="str">
        <f t="shared" si="7"/>
        <v/>
      </c>
      <c r="N12" t="str">
        <f t="shared" si="8"/>
        <v/>
      </c>
      <c r="O12" t="str">
        <f t="shared" si="9"/>
        <v/>
      </c>
      <c r="P12" t="str">
        <f>IF(OR(H12="",NOT(OR(LEFT(H12,1)="G",LEFT(H12,1)="R"))),"",IFERROR(VLOOKUP(MID(H12,3,1),Map!$G$2:$H$10,2,FALSE),""))</f>
        <v/>
      </c>
      <c r="Q12" t="str">
        <f>IF(A12="","",IFERROR(VLOOKUP(MID(A12,4,1),Map!$O$2:$P$10,2,FALSE),""))</f>
        <v/>
      </c>
    </row>
    <row r="13" spans="1:17" x14ac:dyDescent="0.25">
      <c r="B13" t="str">
        <f t="shared" si="0"/>
        <v/>
      </c>
      <c r="C13" t="str">
        <f t="shared" si="1"/>
        <v>**</v>
      </c>
      <c r="D13" t="str">
        <f t="shared" si="2"/>
        <v/>
      </c>
      <c r="E13" t="str">
        <f>IFERROR(VLOOKUP(MID(A13,7,2),Map!$A$2:$B$20,2,FALSE),"")</f>
        <v/>
      </c>
      <c r="F13" t="str">
        <f>IF(A13="","",IFERROR(VLOOKUP(MID(A13,9,2),Map!$R$2:$S$14,2,FALSE),""))</f>
        <v/>
      </c>
      <c r="G13" t="str">
        <f t="shared" si="3"/>
        <v/>
      </c>
      <c r="H13" t="str">
        <f t="shared" si="4"/>
        <v/>
      </c>
      <c r="I13" t="str">
        <f>IF(A13="","",IFERROR(VLOOKUP(LEFT(A13,1),Map!$D$2:$E$20,2,FALSE),""))</f>
        <v/>
      </c>
      <c r="J13" t="str">
        <f>IF(OR(H13="",NOT(OR(LEFT(H13,1)="G",LEFT(H13,1)="R"))),"",IFERROR(VLOOKUP(MID(H13,2,1),Map!$J$2:$M$10,2,FALSE),""))</f>
        <v/>
      </c>
      <c r="K13" t="str">
        <f t="shared" si="5"/>
        <v/>
      </c>
      <c r="L13" t="str">
        <f t="shared" si="6"/>
        <v/>
      </c>
      <c r="M13" t="str">
        <f t="shared" si="7"/>
        <v/>
      </c>
      <c r="N13" t="str">
        <f t="shared" si="8"/>
        <v/>
      </c>
      <c r="O13" t="str">
        <f t="shared" si="9"/>
        <v/>
      </c>
      <c r="P13" t="str">
        <f>IF(OR(H13="",NOT(OR(LEFT(H13,1)="G",LEFT(H13,1)="R"))),"",IFERROR(VLOOKUP(MID(H13,3,1),Map!$G$2:$H$10,2,FALSE),""))</f>
        <v/>
      </c>
      <c r="Q13" t="str">
        <f>IF(A13="","",IFERROR(VLOOKUP(MID(A13,4,1),Map!$O$2:$P$10,2,FALSE),""))</f>
        <v/>
      </c>
    </row>
    <row r="14" spans="1:17" x14ac:dyDescent="0.25">
      <c r="B14" t="str">
        <f t="shared" si="0"/>
        <v/>
      </c>
      <c r="C14" t="str">
        <f t="shared" si="1"/>
        <v>**</v>
      </c>
      <c r="D14" t="str">
        <f t="shared" si="2"/>
        <v/>
      </c>
      <c r="E14" t="str">
        <f>IFERROR(VLOOKUP(MID(A14,7,2),Map!$A$2:$B$20,2,FALSE),"")</f>
        <v/>
      </c>
      <c r="F14" t="str">
        <f>IF(A14="","",IFERROR(VLOOKUP(MID(A14,9,2),Map!$R$2:$S$14,2,FALSE),""))</f>
        <v/>
      </c>
      <c r="G14" t="str">
        <f t="shared" si="3"/>
        <v/>
      </c>
      <c r="H14" t="str">
        <f t="shared" si="4"/>
        <v/>
      </c>
      <c r="I14" t="str">
        <f>IF(A14="","",IFERROR(VLOOKUP(LEFT(A14,1),Map!$D$2:$E$20,2,FALSE),""))</f>
        <v/>
      </c>
      <c r="J14" t="str">
        <f>IF(OR(H14="",NOT(OR(LEFT(H14,1)="G",LEFT(H14,1)="R"))),"",IFERROR(VLOOKUP(MID(H14,2,1),Map!$J$2:$M$10,2,FALSE),""))</f>
        <v/>
      </c>
      <c r="K14" t="str">
        <f t="shared" si="5"/>
        <v/>
      </c>
      <c r="L14" t="str">
        <f t="shared" si="6"/>
        <v/>
      </c>
      <c r="M14" t="str">
        <f t="shared" si="7"/>
        <v/>
      </c>
      <c r="N14" t="str">
        <f t="shared" si="8"/>
        <v/>
      </c>
      <c r="O14" t="str">
        <f t="shared" si="9"/>
        <v/>
      </c>
      <c r="P14" t="str">
        <f>IF(OR(H14="",NOT(OR(LEFT(H14,1)="G",LEFT(H14,1)="R"))),"",IFERROR(VLOOKUP(MID(H14,3,1),Map!$G$2:$H$10,2,FALSE),""))</f>
        <v/>
      </c>
      <c r="Q14" t="str">
        <f>IF(A14="","",IFERROR(VLOOKUP(MID(A14,4,1),Map!$O$2:$P$10,2,FALSE),""))</f>
        <v/>
      </c>
    </row>
    <row r="15" spans="1:17" x14ac:dyDescent="0.25">
      <c r="B15" t="str">
        <f t="shared" si="0"/>
        <v/>
      </c>
      <c r="C15" t="str">
        <f t="shared" si="1"/>
        <v>**</v>
      </c>
      <c r="D15" t="str">
        <f t="shared" si="2"/>
        <v/>
      </c>
      <c r="E15" t="str">
        <f>IFERROR(VLOOKUP(MID(A15,7,2),Map!$A$2:$B$20,2,FALSE),"")</f>
        <v/>
      </c>
      <c r="F15" t="str">
        <f>IF(A15="","",IFERROR(VLOOKUP(MID(A15,9,2),Map!$R$2:$S$14,2,FALSE),""))</f>
        <v/>
      </c>
      <c r="G15" t="str">
        <f t="shared" si="3"/>
        <v/>
      </c>
      <c r="H15" t="str">
        <f t="shared" si="4"/>
        <v/>
      </c>
      <c r="I15" t="str">
        <f>IF(A15="","",IFERROR(VLOOKUP(LEFT(A15,1),Map!$D$2:$E$20,2,FALSE),""))</f>
        <v/>
      </c>
      <c r="J15" t="str">
        <f>IF(OR(H15="",NOT(OR(LEFT(H15,1)="G",LEFT(H15,1)="R"))),"",IFERROR(VLOOKUP(MID(H15,2,1),Map!$J$2:$M$10,2,FALSE),""))</f>
        <v/>
      </c>
      <c r="K15" t="str">
        <f t="shared" si="5"/>
        <v/>
      </c>
      <c r="L15" t="str">
        <f t="shared" si="6"/>
        <v/>
      </c>
      <c r="M15" t="str">
        <f t="shared" si="7"/>
        <v/>
      </c>
      <c r="N15" t="str">
        <f t="shared" si="8"/>
        <v/>
      </c>
      <c r="O15" t="str">
        <f t="shared" si="9"/>
        <v/>
      </c>
      <c r="P15" t="str">
        <f>IF(OR(H15="",NOT(OR(LEFT(H15,1)="G",LEFT(H15,1)="R"))),"",IFERROR(VLOOKUP(MID(H15,3,1),Map!$G$2:$H$10,2,FALSE),""))</f>
        <v/>
      </c>
      <c r="Q15" t="str">
        <f>IF(A15="","",IFERROR(VLOOKUP(MID(A15,4,1),Map!$O$2:$P$10,2,FALSE),""))</f>
        <v/>
      </c>
    </row>
    <row r="16" spans="1:17" x14ac:dyDescent="0.25">
      <c r="B16" t="str">
        <f t="shared" si="0"/>
        <v/>
      </c>
      <c r="C16" t="str">
        <f t="shared" si="1"/>
        <v>**</v>
      </c>
      <c r="D16" t="str">
        <f t="shared" si="2"/>
        <v/>
      </c>
      <c r="E16" t="str">
        <f>IFERROR(VLOOKUP(MID(A16,7,2),Map!$A$2:$B$20,2,FALSE),"")</f>
        <v/>
      </c>
      <c r="F16" t="str">
        <f>IF(A16="","",IFERROR(VLOOKUP(MID(A16,9,2),Map!$R$2:$S$14,2,FALSE),""))</f>
        <v/>
      </c>
      <c r="G16" t="str">
        <f t="shared" si="3"/>
        <v/>
      </c>
      <c r="H16" t="str">
        <f t="shared" si="4"/>
        <v/>
      </c>
      <c r="I16" t="str">
        <f>IF(A16="","",IFERROR(VLOOKUP(LEFT(A16,1),Map!$D$2:$E$20,2,FALSE),""))</f>
        <v/>
      </c>
      <c r="J16" t="str">
        <f>IF(OR(H16="",NOT(OR(LEFT(H16,1)="G",LEFT(H16,1)="R"))),"",IFERROR(VLOOKUP(MID(H16,2,1),Map!$J$2:$M$10,2,FALSE),""))</f>
        <v/>
      </c>
      <c r="K16" t="str">
        <f t="shared" si="5"/>
        <v/>
      </c>
      <c r="L16" t="str">
        <f t="shared" si="6"/>
        <v/>
      </c>
      <c r="M16" t="str">
        <f t="shared" si="7"/>
        <v/>
      </c>
      <c r="N16" t="str">
        <f t="shared" si="8"/>
        <v/>
      </c>
      <c r="O16" t="str">
        <f t="shared" si="9"/>
        <v/>
      </c>
      <c r="P16" t="str">
        <f>IF(OR(H16="",NOT(OR(LEFT(H16,1)="G",LEFT(H16,1)="R"))),"",IFERROR(VLOOKUP(MID(H16,3,1),Map!$G$2:$H$10,2,FALSE),""))</f>
        <v/>
      </c>
      <c r="Q16" t="str">
        <f>IF(A16="","",IFERROR(VLOOKUP(MID(A16,4,1),Map!$O$2:$P$10,2,FALSE),""))</f>
        <v/>
      </c>
    </row>
    <row r="17" spans="2:17" x14ac:dyDescent="0.25">
      <c r="B17" t="str">
        <f t="shared" si="0"/>
        <v/>
      </c>
      <c r="C17" t="str">
        <f t="shared" si="1"/>
        <v>**</v>
      </c>
      <c r="D17" t="str">
        <f t="shared" si="2"/>
        <v/>
      </c>
      <c r="E17" t="str">
        <f>IFERROR(VLOOKUP(MID(A17,7,2),Map!$A$2:$B$20,2,FALSE),"")</f>
        <v/>
      </c>
      <c r="F17" t="str">
        <f>IF(A17="","",IFERROR(VLOOKUP(MID(A17,9,2),Map!$R$2:$S$14,2,FALSE),""))</f>
        <v/>
      </c>
      <c r="G17" t="str">
        <f t="shared" si="3"/>
        <v/>
      </c>
      <c r="H17" t="str">
        <f t="shared" si="4"/>
        <v/>
      </c>
      <c r="I17" t="str">
        <f>IF(A17="","",IFERROR(VLOOKUP(LEFT(A17,1),Map!$D$2:$E$20,2,FALSE),""))</f>
        <v/>
      </c>
      <c r="J17" t="str">
        <f>IF(OR(H17="",NOT(OR(LEFT(H17,1)="G",LEFT(H17,1)="R"))),"",IFERROR(VLOOKUP(MID(H17,2,1),Map!$J$2:$M$10,2,FALSE),""))</f>
        <v/>
      </c>
      <c r="K17" t="str">
        <f t="shared" si="5"/>
        <v/>
      </c>
      <c r="L17" t="str">
        <f t="shared" si="6"/>
        <v/>
      </c>
      <c r="M17" t="str">
        <f t="shared" si="7"/>
        <v/>
      </c>
      <c r="N17" t="str">
        <f t="shared" si="8"/>
        <v/>
      </c>
      <c r="O17" t="str">
        <f t="shared" si="9"/>
        <v/>
      </c>
      <c r="P17" t="str">
        <f>IF(OR(H17="",NOT(OR(LEFT(H17,1)="G",LEFT(H17,1)="R"))),"",IFERROR(VLOOKUP(MID(H17,3,1),Map!$G$2:$H$10,2,FALSE),""))</f>
        <v/>
      </c>
      <c r="Q17" t="str">
        <f>IF(A17="","",IFERROR(VLOOKUP(MID(A17,4,1),Map!$O$2:$P$10,2,FALSE),""))</f>
        <v/>
      </c>
    </row>
    <row r="18" spans="2:17" x14ac:dyDescent="0.25">
      <c r="B18" t="str">
        <f t="shared" si="0"/>
        <v/>
      </c>
      <c r="C18" t="str">
        <f t="shared" si="1"/>
        <v>**</v>
      </c>
      <c r="D18" t="str">
        <f t="shared" si="2"/>
        <v/>
      </c>
      <c r="E18" t="str">
        <f>IFERROR(VLOOKUP(MID(A18,7,2),Map!$A$2:$B$20,2,FALSE),"")</f>
        <v/>
      </c>
      <c r="F18" t="str">
        <f>IF(A18="","",IFERROR(VLOOKUP(MID(A18,9,2),Map!$R$2:$S$14,2,FALSE),""))</f>
        <v/>
      </c>
      <c r="G18" t="str">
        <f t="shared" si="3"/>
        <v/>
      </c>
      <c r="H18" t="str">
        <f t="shared" si="4"/>
        <v/>
      </c>
      <c r="I18" t="str">
        <f>IF(A18="","",IFERROR(VLOOKUP(LEFT(A18,1),Map!$D$2:$E$20,2,FALSE),""))</f>
        <v/>
      </c>
      <c r="J18" t="str">
        <f>IF(OR(H18="",NOT(OR(LEFT(H18,1)="G",LEFT(H18,1)="R"))),"",IFERROR(VLOOKUP(MID(H18,2,1),Map!$J$2:$M$10,2,FALSE),""))</f>
        <v/>
      </c>
      <c r="K18" t="str">
        <f t="shared" si="5"/>
        <v/>
      </c>
      <c r="L18" t="str">
        <f t="shared" si="6"/>
        <v/>
      </c>
      <c r="M18" t="str">
        <f t="shared" si="7"/>
        <v/>
      </c>
      <c r="N18" t="str">
        <f t="shared" si="8"/>
        <v/>
      </c>
      <c r="O18" t="str">
        <f t="shared" si="9"/>
        <v/>
      </c>
      <c r="P18" t="str">
        <f>IF(OR(H18="",NOT(OR(LEFT(H18,1)="G",LEFT(H18,1)="R"))),"",IFERROR(VLOOKUP(MID(H18,3,1),Map!$G$2:$H$10,2,FALSE),""))</f>
        <v/>
      </c>
      <c r="Q18" t="str">
        <f>IF(A18="","",IFERROR(VLOOKUP(MID(A18,4,1),Map!$O$2:$P$10,2,FALSE),""))</f>
        <v/>
      </c>
    </row>
    <row r="19" spans="2:17" x14ac:dyDescent="0.25">
      <c r="B19" t="str">
        <f t="shared" si="0"/>
        <v/>
      </c>
      <c r="C19" t="str">
        <f t="shared" si="1"/>
        <v>**</v>
      </c>
      <c r="D19" t="str">
        <f t="shared" si="2"/>
        <v/>
      </c>
      <c r="E19" t="str">
        <f>IFERROR(VLOOKUP(MID(A19,7,2),Map!$A$2:$B$20,2,FALSE),"")</f>
        <v/>
      </c>
      <c r="F19" t="str">
        <f>IF(A19="","",IFERROR(VLOOKUP(MID(A19,9,2),Map!$R$2:$S$14,2,FALSE),""))</f>
        <v/>
      </c>
      <c r="G19" t="str">
        <f t="shared" si="3"/>
        <v/>
      </c>
      <c r="H19" t="str">
        <f t="shared" si="4"/>
        <v/>
      </c>
      <c r="I19" t="str">
        <f>IF(A19="","",IFERROR(VLOOKUP(LEFT(A19,1),Map!$D$2:$E$20,2,FALSE),""))</f>
        <v/>
      </c>
      <c r="J19" t="str">
        <f>IF(OR(H19="",NOT(OR(LEFT(H19,1)="G",LEFT(H19,1)="R"))),"",IFERROR(VLOOKUP(MID(H19,2,1),Map!$J$2:$M$10,2,FALSE),""))</f>
        <v/>
      </c>
      <c r="K19" t="str">
        <f t="shared" si="5"/>
        <v/>
      </c>
      <c r="L19" t="str">
        <f t="shared" si="6"/>
        <v/>
      </c>
      <c r="M19" t="str">
        <f t="shared" si="7"/>
        <v/>
      </c>
      <c r="N19" t="str">
        <f t="shared" si="8"/>
        <v/>
      </c>
      <c r="O19" t="str">
        <f t="shared" si="9"/>
        <v/>
      </c>
      <c r="P19" t="str">
        <f>IF(OR(H19="",NOT(OR(LEFT(H19,1)="G",LEFT(H19,1)="R"))),"",IFERROR(VLOOKUP(MID(H19,3,1),Map!$G$2:$H$10,2,FALSE),""))</f>
        <v/>
      </c>
      <c r="Q19" t="str">
        <f>IF(A19="","",IFERROR(VLOOKUP(MID(A19,4,1),Map!$O$2:$P$10,2,FALSE),""))</f>
        <v/>
      </c>
    </row>
    <row r="20" spans="2:17" x14ac:dyDescent="0.25">
      <c r="B20" t="str">
        <f t="shared" si="0"/>
        <v/>
      </c>
      <c r="C20" t="str">
        <f t="shared" si="1"/>
        <v>**</v>
      </c>
      <c r="D20" t="str">
        <f t="shared" si="2"/>
        <v/>
      </c>
      <c r="E20" t="str">
        <f>IFERROR(VLOOKUP(MID(A20,7,2),Map!$A$2:$B$20,2,FALSE),"")</f>
        <v/>
      </c>
      <c r="F20" t="str">
        <f>IF(A20="","",IFERROR(VLOOKUP(MID(A20,9,2),Map!$R$2:$S$14,2,FALSE),""))</f>
        <v/>
      </c>
      <c r="G20" t="str">
        <f t="shared" si="3"/>
        <v/>
      </c>
      <c r="H20" t="str">
        <f t="shared" si="4"/>
        <v/>
      </c>
      <c r="I20" t="str">
        <f>IF(A20="","",IFERROR(VLOOKUP(LEFT(A20,1),Map!$D$2:$E$20,2,FALSE),""))</f>
        <v/>
      </c>
      <c r="J20" t="str">
        <f>IF(OR(H20="",NOT(OR(LEFT(H20,1)="G",LEFT(H20,1)="R"))),"",IFERROR(VLOOKUP(MID(H20,2,1),Map!$J$2:$M$10,2,FALSE),""))</f>
        <v/>
      </c>
      <c r="K20" t="str">
        <f t="shared" si="5"/>
        <v/>
      </c>
      <c r="L20" t="str">
        <f t="shared" si="6"/>
        <v/>
      </c>
      <c r="M20" t="str">
        <f t="shared" si="7"/>
        <v/>
      </c>
      <c r="N20" t="str">
        <f t="shared" si="8"/>
        <v/>
      </c>
      <c r="O20" t="str">
        <f t="shared" si="9"/>
        <v/>
      </c>
      <c r="P20" t="str">
        <f>IF(OR(H20="",NOT(OR(LEFT(H20,1)="G",LEFT(H20,1)="R"))),"",IFERROR(VLOOKUP(MID(H20,3,1),Map!$G$2:$H$10,2,FALSE),""))</f>
        <v/>
      </c>
      <c r="Q20" t="str">
        <f>IF(A20="","",IFERROR(VLOOKUP(MID(A20,4,1),Map!$O$2:$P$10,2,FALSE),""))</f>
        <v/>
      </c>
    </row>
    <row r="21" spans="2:17" x14ac:dyDescent="0.25">
      <c r="B21" t="str">
        <f t="shared" si="0"/>
        <v/>
      </c>
      <c r="C21" t="str">
        <f t="shared" si="1"/>
        <v>**</v>
      </c>
      <c r="D21" t="str">
        <f t="shared" si="2"/>
        <v/>
      </c>
      <c r="E21" t="str">
        <f>IFERROR(VLOOKUP(MID(A21,7,2),Map!$A$2:$B$20,2,FALSE),"")</f>
        <v/>
      </c>
      <c r="F21" t="str">
        <f>IF(A21="","",IFERROR(VLOOKUP(MID(A21,9,2),Map!$R$2:$S$14,2,FALSE),""))</f>
        <v/>
      </c>
      <c r="G21" t="str">
        <f t="shared" si="3"/>
        <v/>
      </c>
      <c r="H21" t="str">
        <f t="shared" si="4"/>
        <v/>
      </c>
      <c r="I21" t="str">
        <f>IF(A21="","",IFERROR(VLOOKUP(LEFT(A21,1),Map!$D$2:$E$20,2,FALSE),""))</f>
        <v/>
      </c>
      <c r="J21" t="str">
        <f>IF(OR(H21="",NOT(OR(LEFT(H21,1)="G",LEFT(H21,1)="R"))),"",IFERROR(VLOOKUP(MID(H21,2,1),Map!$J$2:$M$10,2,FALSE),""))</f>
        <v/>
      </c>
      <c r="K21" t="str">
        <f t="shared" si="5"/>
        <v/>
      </c>
      <c r="L21" t="str">
        <f t="shared" si="6"/>
        <v/>
      </c>
      <c r="M21" t="str">
        <f t="shared" si="7"/>
        <v/>
      </c>
      <c r="N21" t="str">
        <f t="shared" si="8"/>
        <v/>
      </c>
      <c r="O21" t="str">
        <f t="shared" si="9"/>
        <v/>
      </c>
      <c r="P21" t="str">
        <f>IF(OR(H21="",NOT(OR(LEFT(H21,1)="G",LEFT(H21,1)="R"))),"",IFERROR(VLOOKUP(MID(H21,3,1),Map!$G$2:$H$10,2,FALSE),""))</f>
        <v/>
      </c>
      <c r="Q21" t="str">
        <f>IF(A21="","",IFERROR(VLOOKUP(MID(A21,4,1),Map!$O$2:$P$10,2,FALSE),""))</f>
        <v/>
      </c>
    </row>
    <row r="22" spans="2:17" x14ac:dyDescent="0.25">
      <c r="B22" t="str">
        <f t="shared" si="0"/>
        <v/>
      </c>
      <c r="C22" t="str">
        <f t="shared" si="1"/>
        <v>**</v>
      </c>
      <c r="D22" t="str">
        <f t="shared" si="2"/>
        <v/>
      </c>
      <c r="E22" t="str">
        <f>IFERROR(VLOOKUP(MID(A22,7,2),Map!$A$2:$B$20,2,FALSE),"")</f>
        <v/>
      </c>
      <c r="F22" t="str">
        <f>IF(A22="","",IFERROR(VLOOKUP(MID(A22,9,2),Map!$R$2:$S$14,2,FALSE),""))</f>
        <v/>
      </c>
      <c r="G22" t="str">
        <f t="shared" si="3"/>
        <v/>
      </c>
      <c r="H22" t="str">
        <f t="shared" si="4"/>
        <v/>
      </c>
      <c r="I22" t="str">
        <f>IF(A22="","",IFERROR(VLOOKUP(LEFT(A22,1),Map!$D$2:$E$20,2,FALSE),""))</f>
        <v/>
      </c>
      <c r="J22" t="str">
        <f>IF(OR(H22="",NOT(OR(LEFT(H22,1)="G",LEFT(H22,1)="R"))),"",IFERROR(VLOOKUP(MID(H22,2,1),Map!$J$2:$M$10,2,FALSE),""))</f>
        <v/>
      </c>
      <c r="K22" t="str">
        <f t="shared" si="5"/>
        <v/>
      </c>
      <c r="L22" t="str">
        <f t="shared" si="6"/>
        <v/>
      </c>
      <c r="M22" t="str">
        <f t="shared" si="7"/>
        <v/>
      </c>
      <c r="N22" t="str">
        <f t="shared" si="8"/>
        <v/>
      </c>
      <c r="O22" t="str">
        <f t="shared" si="9"/>
        <v/>
      </c>
      <c r="P22" t="str">
        <f>IF(OR(H22="",NOT(OR(LEFT(H22,1)="G",LEFT(H22,1)="R"))),"",IFERROR(VLOOKUP(MID(H22,3,1),Map!$G$2:$H$10,2,FALSE),""))</f>
        <v/>
      </c>
      <c r="Q22" t="str">
        <f>IF(A22="","",IFERROR(VLOOKUP(MID(A22,4,1),Map!$O$2:$P$10,2,FALSE),""))</f>
        <v/>
      </c>
    </row>
    <row r="23" spans="2:17" x14ac:dyDescent="0.25">
      <c r="B23" t="str">
        <f t="shared" si="0"/>
        <v/>
      </c>
      <c r="C23" t="str">
        <f t="shared" si="1"/>
        <v>**</v>
      </c>
      <c r="D23" t="str">
        <f t="shared" si="2"/>
        <v/>
      </c>
      <c r="E23" t="str">
        <f>IFERROR(VLOOKUP(MID(A23,7,2),Map!$A$2:$B$20,2,FALSE),"")</f>
        <v/>
      </c>
      <c r="F23" t="str">
        <f>IF(A23="","",IFERROR(VLOOKUP(MID(A23,9,2),Map!$R$2:$S$14,2,FALSE),""))</f>
        <v/>
      </c>
      <c r="G23" t="str">
        <f t="shared" si="3"/>
        <v/>
      </c>
      <c r="H23" t="str">
        <f t="shared" si="4"/>
        <v/>
      </c>
      <c r="I23" t="str">
        <f>IF(A23="","",IFERROR(VLOOKUP(LEFT(A23,1),Map!$D$2:$E$20,2,FALSE),""))</f>
        <v/>
      </c>
      <c r="J23" t="str">
        <f>IF(OR(H23="",NOT(OR(LEFT(H23,1)="G",LEFT(H23,1)="R"))),"",IFERROR(VLOOKUP(MID(H23,2,1),Map!$J$2:$M$10,2,FALSE),""))</f>
        <v/>
      </c>
      <c r="K23" t="str">
        <f t="shared" si="5"/>
        <v/>
      </c>
      <c r="L23" t="str">
        <f t="shared" si="6"/>
        <v/>
      </c>
      <c r="M23" t="str">
        <f t="shared" si="7"/>
        <v/>
      </c>
      <c r="N23" t="str">
        <f t="shared" si="8"/>
        <v/>
      </c>
      <c r="O23" t="str">
        <f t="shared" si="9"/>
        <v/>
      </c>
      <c r="P23" t="str">
        <f>IF(OR(H23="",NOT(OR(LEFT(H23,1)="G",LEFT(H23,1)="R"))),"",IFERROR(VLOOKUP(MID(H23,3,1),Map!$G$2:$H$10,2,FALSE),""))</f>
        <v/>
      </c>
      <c r="Q23" t="str">
        <f>IF(A23="","",IFERROR(VLOOKUP(MID(A23,4,1),Map!$O$2:$P$10,2,FALSE),""))</f>
        <v/>
      </c>
    </row>
    <row r="24" spans="2:17" x14ac:dyDescent="0.25">
      <c r="B24" t="str">
        <f t="shared" si="0"/>
        <v/>
      </c>
      <c r="C24" t="str">
        <f t="shared" si="1"/>
        <v>**</v>
      </c>
      <c r="D24" t="str">
        <f t="shared" si="2"/>
        <v/>
      </c>
      <c r="E24" t="str">
        <f>IFERROR(VLOOKUP(MID(A24,7,2),Map!$A$2:$B$20,2,FALSE),"")</f>
        <v/>
      </c>
      <c r="F24" t="str">
        <f>IF(A24="","",IFERROR(VLOOKUP(MID(A24,9,2),Map!$R$2:$S$14,2,FALSE),""))</f>
        <v/>
      </c>
      <c r="G24" t="str">
        <f t="shared" si="3"/>
        <v/>
      </c>
      <c r="H24" t="str">
        <f t="shared" si="4"/>
        <v/>
      </c>
      <c r="I24" t="str">
        <f>IF(A24="","",IFERROR(VLOOKUP(LEFT(A24,1),Map!$D$2:$E$20,2,FALSE),""))</f>
        <v/>
      </c>
      <c r="J24" t="str">
        <f>IF(OR(H24="",NOT(OR(LEFT(H24,1)="G",LEFT(H24,1)="R"))),"",IFERROR(VLOOKUP(MID(H24,2,1),Map!$J$2:$M$10,2,FALSE),""))</f>
        <v/>
      </c>
      <c r="K24" t="str">
        <f t="shared" si="5"/>
        <v/>
      </c>
      <c r="L24" t="str">
        <f t="shared" si="6"/>
        <v/>
      </c>
      <c r="M24" t="str">
        <f t="shared" si="7"/>
        <v/>
      </c>
      <c r="N24" t="str">
        <f t="shared" si="8"/>
        <v/>
      </c>
      <c r="O24" t="str">
        <f t="shared" si="9"/>
        <v/>
      </c>
      <c r="P24" t="str">
        <f>IF(OR(H24="",NOT(OR(LEFT(H24,1)="G",LEFT(H24,1)="R"))),"",IFERROR(VLOOKUP(MID(H24,3,1),Map!$G$2:$H$10,2,FALSE),""))</f>
        <v/>
      </c>
      <c r="Q24" t="str">
        <f>IF(A24="","",IFERROR(VLOOKUP(MID(A24,4,1),Map!$O$2:$P$10,2,FALSE),""))</f>
        <v/>
      </c>
    </row>
    <row r="25" spans="2:17" x14ac:dyDescent="0.25">
      <c r="B25" t="str">
        <f t="shared" si="0"/>
        <v/>
      </c>
      <c r="C25" t="str">
        <f t="shared" si="1"/>
        <v>**</v>
      </c>
      <c r="D25" t="str">
        <f t="shared" si="2"/>
        <v/>
      </c>
      <c r="E25" t="str">
        <f>IFERROR(VLOOKUP(MID(A25,7,2),Map!$A$2:$B$20,2,FALSE),"")</f>
        <v/>
      </c>
      <c r="F25" t="str">
        <f>IF(A25="","",IFERROR(VLOOKUP(MID(A25,9,2),Map!$R$2:$S$14,2,FALSE),""))</f>
        <v/>
      </c>
      <c r="G25" t="str">
        <f t="shared" si="3"/>
        <v/>
      </c>
      <c r="H25" t="str">
        <f t="shared" si="4"/>
        <v/>
      </c>
      <c r="I25" t="str">
        <f>IF(A25="","",IFERROR(VLOOKUP(LEFT(A25,1),Map!$D$2:$E$20,2,FALSE),""))</f>
        <v/>
      </c>
      <c r="J25" t="str">
        <f>IF(OR(H25="",NOT(OR(LEFT(H25,1)="G",LEFT(H25,1)="R"))),"",IFERROR(VLOOKUP(MID(H25,2,1),Map!$J$2:$M$10,2,FALSE),""))</f>
        <v/>
      </c>
      <c r="K25" t="str">
        <f t="shared" si="5"/>
        <v/>
      </c>
      <c r="L25" t="str">
        <f t="shared" si="6"/>
        <v/>
      </c>
      <c r="M25" t="str">
        <f t="shared" si="7"/>
        <v/>
      </c>
      <c r="N25" t="str">
        <f t="shared" si="8"/>
        <v/>
      </c>
      <c r="O25" t="str">
        <f t="shared" si="9"/>
        <v/>
      </c>
      <c r="P25" t="str">
        <f>IF(OR(H25="",NOT(OR(LEFT(H25,1)="G",LEFT(H25,1)="R"))),"",IFERROR(VLOOKUP(MID(H25,3,1),Map!$G$2:$H$10,2,FALSE),""))</f>
        <v/>
      </c>
      <c r="Q25" t="str">
        <f>IF(A25="","",IFERROR(VLOOKUP(MID(A25,4,1),Map!$O$2:$P$10,2,FALSE),""))</f>
        <v/>
      </c>
    </row>
    <row r="26" spans="2:17" x14ac:dyDescent="0.25">
      <c r="B26" t="str">
        <f t="shared" si="0"/>
        <v/>
      </c>
      <c r="C26" t="str">
        <f t="shared" si="1"/>
        <v>**</v>
      </c>
      <c r="D26" t="str">
        <f t="shared" si="2"/>
        <v/>
      </c>
      <c r="E26" t="str">
        <f>IFERROR(VLOOKUP(MID(A26,7,2),Map!$A$2:$B$20,2,FALSE),"")</f>
        <v/>
      </c>
      <c r="F26" t="str">
        <f>IF(A26="","",IFERROR(VLOOKUP(MID(A26,9,2),Map!$R$2:$S$14,2,FALSE),""))</f>
        <v/>
      </c>
      <c r="G26" t="str">
        <f t="shared" si="3"/>
        <v/>
      </c>
      <c r="H26" t="str">
        <f t="shared" si="4"/>
        <v/>
      </c>
      <c r="I26" t="str">
        <f>IF(A26="","",IFERROR(VLOOKUP(LEFT(A26,1),Map!$D$2:$E$20,2,FALSE),""))</f>
        <v/>
      </c>
      <c r="J26" t="str">
        <f>IF(OR(H26="",NOT(OR(LEFT(H26,1)="G",LEFT(H26,1)="R"))),"",IFERROR(VLOOKUP(MID(H26,2,1),Map!$J$2:$M$10,2,FALSE),""))</f>
        <v/>
      </c>
      <c r="K26" t="str">
        <f t="shared" si="5"/>
        <v/>
      </c>
      <c r="L26" t="str">
        <f t="shared" si="6"/>
        <v/>
      </c>
      <c r="M26" t="str">
        <f t="shared" si="7"/>
        <v/>
      </c>
      <c r="N26" t="str">
        <f t="shared" si="8"/>
        <v/>
      </c>
      <c r="O26" t="str">
        <f t="shared" si="9"/>
        <v/>
      </c>
      <c r="P26" t="str">
        <f>IF(OR(H26="",NOT(OR(LEFT(H26,1)="G",LEFT(H26,1)="R"))),"",IFERROR(VLOOKUP(MID(H26,3,1),Map!$G$2:$H$10,2,FALSE),""))</f>
        <v/>
      </c>
      <c r="Q26" t="str">
        <f>IF(A26="","",IFERROR(VLOOKUP(MID(A26,4,1),Map!$O$2:$P$10,2,FALSE),""))</f>
        <v/>
      </c>
    </row>
    <row r="27" spans="2:17" x14ac:dyDescent="0.25">
      <c r="B27" t="str">
        <f t="shared" si="0"/>
        <v/>
      </c>
      <c r="C27" t="str">
        <f t="shared" si="1"/>
        <v>**</v>
      </c>
      <c r="D27" t="str">
        <f t="shared" si="2"/>
        <v/>
      </c>
      <c r="E27" t="str">
        <f>IFERROR(VLOOKUP(MID(A27,7,2),Map!$A$2:$B$20,2,FALSE),"")</f>
        <v/>
      </c>
      <c r="F27" t="str">
        <f>IF(A27="","",IFERROR(VLOOKUP(MID(A27,9,2),Map!$R$2:$S$14,2,FALSE),""))</f>
        <v/>
      </c>
      <c r="G27" t="str">
        <f t="shared" si="3"/>
        <v/>
      </c>
      <c r="H27" t="str">
        <f t="shared" si="4"/>
        <v/>
      </c>
      <c r="I27" t="str">
        <f>IF(A27="","",IFERROR(VLOOKUP(LEFT(A27,1),Map!$D$2:$E$20,2,FALSE),""))</f>
        <v/>
      </c>
      <c r="J27" t="str">
        <f>IF(OR(H27="",NOT(OR(LEFT(H27,1)="G",LEFT(H27,1)="R"))),"",IFERROR(VLOOKUP(MID(H27,2,1),Map!$J$2:$M$10,2,FALSE),""))</f>
        <v/>
      </c>
      <c r="K27" t="str">
        <f t="shared" si="5"/>
        <v/>
      </c>
      <c r="L27" t="str">
        <f t="shared" si="6"/>
        <v/>
      </c>
      <c r="M27" t="str">
        <f t="shared" si="7"/>
        <v/>
      </c>
      <c r="N27" t="str">
        <f t="shared" si="8"/>
        <v/>
      </c>
      <c r="O27" t="str">
        <f t="shared" si="9"/>
        <v/>
      </c>
      <c r="P27" t="str">
        <f>IF(OR(H27="",NOT(OR(LEFT(H27,1)="G",LEFT(H27,1)="R"))),"",IFERROR(VLOOKUP(MID(H27,3,1),Map!$G$2:$H$10,2,FALSE),""))</f>
        <v/>
      </c>
      <c r="Q27" t="str">
        <f>IF(A27="","",IFERROR(VLOOKUP(MID(A27,4,1),Map!$O$2:$P$10,2,FALSE),""))</f>
        <v/>
      </c>
    </row>
    <row r="28" spans="2:17" x14ac:dyDescent="0.25">
      <c r="B28" t="str">
        <f t="shared" si="0"/>
        <v/>
      </c>
      <c r="C28" t="str">
        <f t="shared" si="1"/>
        <v>**</v>
      </c>
      <c r="D28" t="str">
        <f t="shared" si="2"/>
        <v/>
      </c>
      <c r="E28" t="str">
        <f>IFERROR(VLOOKUP(MID(A28,7,2),Map!$A$2:$B$20,2,FALSE),"")</f>
        <v/>
      </c>
      <c r="F28" t="str">
        <f>IF(A28="","",IFERROR(VLOOKUP(MID(A28,9,2),Map!$R$2:$S$14,2,FALSE),""))</f>
        <v/>
      </c>
      <c r="G28" t="str">
        <f t="shared" si="3"/>
        <v/>
      </c>
      <c r="H28" t="str">
        <f t="shared" si="4"/>
        <v/>
      </c>
      <c r="I28" t="str">
        <f>IF(A28="","",IFERROR(VLOOKUP(LEFT(A28,1),Map!$D$2:$E$20,2,FALSE),""))</f>
        <v/>
      </c>
      <c r="J28" t="str">
        <f>IF(OR(H28="",NOT(OR(LEFT(H28,1)="G",LEFT(H28,1)="R"))),"",IFERROR(VLOOKUP(MID(H28,2,1),Map!$J$2:$M$10,2,FALSE),""))</f>
        <v/>
      </c>
      <c r="K28" t="str">
        <f t="shared" si="5"/>
        <v/>
      </c>
      <c r="L28" t="str">
        <f t="shared" si="6"/>
        <v/>
      </c>
      <c r="M28" t="str">
        <f t="shared" si="7"/>
        <v/>
      </c>
      <c r="N28" t="str">
        <f t="shared" si="8"/>
        <v/>
      </c>
      <c r="O28" t="str">
        <f t="shared" si="9"/>
        <v/>
      </c>
      <c r="P28" t="str">
        <f>IF(OR(H28="",NOT(OR(LEFT(H28,1)="G",LEFT(H28,1)="R"))),"",IFERROR(VLOOKUP(MID(H28,3,1),Map!$G$2:$H$10,2,FALSE),""))</f>
        <v/>
      </c>
      <c r="Q28" t="str">
        <f>IF(A28="","",IFERROR(VLOOKUP(MID(A28,4,1),Map!$O$2:$P$10,2,FALSE),""))</f>
        <v/>
      </c>
    </row>
    <row r="29" spans="2:17" x14ac:dyDescent="0.25">
      <c r="B29" t="str">
        <f t="shared" si="0"/>
        <v/>
      </c>
      <c r="C29" t="str">
        <f t="shared" si="1"/>
        <v>**</v>
      </c>
      <c r="D29" t="str">
        <f t="shared" si="2"/>
        <v/>
      </c>
      <c r="E29" t="str">
        <f>IFERROR(VLOOKUP(MID(A29,7,2),Map!$A$2:$B$20,2,FALSE),"")</f>
        <v/>
      </c>
      <c r="F29" t="str">
        <f>IF(A29="","",IFERROR(VLOOKUP(MID(A29,9,2),Map!$R$2:$S$14,2,FALSE),""))</f>
        <v/>
      </c>
      <c r="G29" t="str">
        <f t="shared" si="3"/>
        <v/>
      </c>
      <c r="H29" t="str">
        <f t="shared" si="4"/>
        <v/>
      </c>
      <c r="I29" t="str">
        <f>IF(A29="","",IFERROR(VLOOKUP(LEFT(A29,1),Map!$D$2:$E$20,2,FALSE),""))</f>
        <v/>
      </c>
      <c r="J29" t="str">
        <f>IF(OR(H29="",NOT(OR(LEFT(H29,1)="G",LEFT(H29,1)="R"))),"",IFERROR(VLOOKUP(MID(H29,2,1),Map!$J$2:$M$10,2,FALSE),""))</f>
        <v/>
      </c>
      <c r="K29" t="str">
        <f t="shared" si="5"/>
        <v/>
      </c>
      <c r="L29" t="str">
        <f t="shared" si="6"/>
        <v/>
      </c>
      <c r="M29" t="str">
        <f t="shared" si="7"/>
        <v/>
      </c>
      <c r="N29" t="str">
        <f t="shared" si="8"/>
        <v/>
      </c>
      <c r="O29" t="str">
        <f t="shared" si="9"/>
        <v/>
      </c>
      <c r="P29" t="str">
        <f>IF(OR(H29="",NOT(OR(LEFT(H29,1)="G",LEFT(H29,1)="R"))),"",IFERROR(VLOOKUP(MID(H29,3,1),Map!$G$2:$H$10,2,FALSE),""))</f>
        <v/>
      </c>
      <c r="Q29" t="str">
        <f>IF(A29="","",IFERROR(VLOOKUP(MID(A29,4,1),Map!$O$2:$P$10,2,FALSE),""))</f>
        <v/>
      </c>
    </row>
    <row r="30" spans="2:17" x14ac:dyDescent="0.25">
      <c r="B30" t="str">
        <f t="shared" si="0"/>
        <v/>
      </c>
      <c r="C30" t="str">
        <f t="shared" si="1"/>
        <v>**</v>
      </c>
      <c r="D30" t="str">
        <f t="shared" si="2"/>
        <v/>
      </c>
      <c r="E30" t="str">
        <f>IFERROR(VLOOKUP(MID(A30,7,2),Map!$A$2:$B$20,2,FALSE),"")</f>
        <v/>
      </c>
      <c r="F30" t="str">
        <f>IF(A30="","",IFERROR(VLOOKUP(MID(A30,9,2),Map!$R$2:$S$14,2,FALSE),""))</f>
        <v/>
      </c>
      <c r="G30" t="str">
        <f t="shared" si="3"/>
        <v/>
      </c>
      <c r="H30" t="str">
        <f t="shared" si="4"/>
        <v/>
      </c>
      <c r="I30" t="str">
        <f>IF(A30="","",IFERROR(VLOOKUP(LEFT(A30,1),Map!$D$2:$E$20,2,FALSE),""))</f>
        <v/>
      </c>
      <c r="J30" t="str">
        <f>IF(OR(H30="",NOT(OR(LEFT(H30,1)="G",LEFT(H30,1)="R"))),"",IFERROR(VLOOKUP(MID(H30,2,1),Map!$J$2:$M$10,2,FALSE),""))</f>
        <v/>
      </c>
      <c r="K30" t="str">
        <f t="shared" si="5"/>
        <v/>
      </c>
      <c r="L30" t="str">
        <f t="shared" si="6"/>
        <v/>
      </c>
      <c r="M30" t="str">
        <f t="shared" si="7"/>
        <v/>
      </c>
      <c r="N30" t="str">
        <f t="shared" si="8"/>
        <v/>
      </c>
      <c r="O30" t="str">
        <f t="shared" si="9"/>
        <v/>
      </c>
      <c r="P30" t="str">
        <f>IF(OR(H30="",NOT(OR(LEFT(H30,1)="G",LEFT(H30,1)="R"))),"",IFERROR(VLOOKUP(MID(H30,3,1),Map!$G$2:$H$10,2,FALSE),""))</f>
        <v/>
      </c>
      <c r="Q30" t="str">
        <f>IF(A30="","",IFERROR(VLOOKUP(MID(A30,4,1),Map!$O$2:$P$10,2,FALSE),""))</f>
        <v/>
      </c>
    </row>
    <row r="31" spans="2:17" x14ac:dyDescent="0.25">
      <c r="B31" t="str">
        <f t="shared" si="0"/>
        <v/>
      </c>
      <c r="C31" t="str">
        <f t="shared" si="1"/>
        <v>**</v>
      </c>
      <c r="D31" t="str">
        <f t="shared" si="2"/>
        <v/>
      </c>
      <c r="E31" t="str">
        <f>IFERROR(VLOOKUP(MID(A31,7,2),Map!$A$2:$B$20,2,FALSE),"")</f>
        <v/>
      </c>
      <c r="F31" t="str">
        <f>IF(A31="","",IFERROR(VLOOKUP(MID(A31,9,2),Map!$R$2:$S$14,2,FALSE),""))</f>
        <v/>
      </c>
      <c r="G31" t="str">
        <f t="shared" si="3"/>
        <v/>
      </c>
      <c r="H31" t="str">
        <f t="shared" si="4"/>
        <v/>
      </c>
      <c r="I31" t="str">
        <f>IF(A31="","",IFERROR(VLOOKUP(LEFT(A31,1),Map!$D$2:$E$20,2,FALSE),""))</f>
        <v/>
      </c>
      <c r="J31" t="str">
        <f>IF(OR(H31="",NOT(OR(LEFT(H31,1)="G",LEFT(H31,1)="R"))),"",IFERROR(VLOOKUP(MID(H31,2,1),Map!$J$2:$M$10,2,FALSE),""))</f>
        <v/>
      </c>
      <c r="K31" t="str">
        <f t="shared" si="5"/>
        <v/>
      </c>
      <c r="L31" t="str">
        <f t="shared" si="6"/>
        <v/>
      </c>
      <c r="M31" t="str">
        <f t="shared" si="7"/>
        <v/>
      </c>
      <c r="N31" t="str">
        <f t="shared" si="8"/>
        <v/>
      </c>
      <c r="O31" t="str">
        <f t="shared" si="9"/>
        <v/>
      </c>
      <c r="P31" t="str">
        <f>IF(OR(H31="",NOT(OR(LEFT(H31,1)="G",LEFT(H31,1)="R"))),"",IFERROR(VLOOKUP(MID(H31,3,1),Map!$G$2:$H$10,2,FALSE),""))</f>
        <v/>
      </c>
      <c r="Q31" t="str">
        <f>IF(A31="","",IFERROR(VLOOKUP(MID(A31,4,1),Map!$O$2:$P$10,2,FALSE),""))</f>
        <v/>
      </c>
    </row>
    <row r="32" spans="2:17" x14ac:dyDescent="0.25">
      <c r="B32" t="str">
        <f t="shared" si="0"/>
        <v/>
      </c>
      <c r="C32" t="str">
        <f t="shared" si="1"/>
        <v>**</v>
      </c>
      <c r="D32" t="str">
        <f t="shared" si="2"/>
        <v/>
      </c>
      <c r="E32" t="str">
        <f>IFERROR(VLOOKUP(MID(A32,7,2),Map!$A$2:$B$20,2,FALSE),"")</f>
        <v/>
      </c>
      <c r="F32" t="str">
        <f>IF(A32="","",IFERROR(VLOOKUP(MID(A32,9,2),Map!$R$2:$S$14,2,FALSE),""))</f>
        <v/>
      </c>
      <c r="G32" t="str">
        <f t="shared" si="3"/>
        <v/>
      </c>
      <c r="H32" t="str">
        <f t="shared" si="4"/>
        <v/>
      </c>
      <c r="I32" t="str">
        <f>IF(A32="","",IFERROR(VLOOKUP(LEFT(A32,1),Map!$D$2:$E$20,2,FALSE),""))</f>
        <v/>
      </c>
      <c r="J32" t="str">
        <f>IF(OR(H32="",NOT(OR(LEFT(H32,1)="G",LEFT(H32,1)="R"))),"",IFERROR(VLOOKUP(MID(H32,2,1),Map!$J$2:$M$10,2,FALSE),""))</f>
        <v/>
      </c>
      <c r="K32" t="str">
        <f t="shared" si="5"/>
        <v/>
      </c>
      <c r="L32" t="str">
        <f t="shared" si="6"/>
        <v/>
      </c>
      <c r="M32" t="str">
        <f t="shared" si="7"/>
        <v/>
      </c>
      <c r="N32" t="str">
        <f t="shared" si="8"/>
        <v/>
      </c>
      <c r="O32" t="str">
        <f t="shared" si="9"/>
        <v/>
      </c>
      <c r="P32" t="str">
        <f>IF(OR(H32="",NOT(OR(LEFT(H32,1)="G",LEFT(H32,1)="R"))),"",IFERROR(VLOOKUP(MID(H32,3,1),Map!$G$2:$H$10,2,FALSE),""))</f>
        <v/>
      </c>
      <c r="Q32" t="str">
        <f>IF(A32="","",IFERROR(VLOOKUP(MID(A32,4,1),Map!$O$2:$P$10,2,FALSE),""))</f>
        <v/>
      </c>
    </row>
    <row r="33" spans="2:17" x14ac:dyDescent="0.25">
      <c r="B33" t="str">
        <f t="shared" si="0"/>
        <v/>
      </c>
      <c r="C33" t="str">
        <f t="shared" si="1"/>
        <v>**</v>
      </c>
      <c r="D33" t="str">
        <f t="shared" si="2"/>
        <v/>
      </c>
      <c r="E33" t="str">
        <f>IFERROR(VLOOKUP(MID(A33,7,2),Map!$A$2:$B$20,2,FALSE),"")</f>
        <v/>
      </c>
      <c r="F33" t="str">
        <f>IF(A33="","",IFERROR(VLOOKUP(MID(A33,9,2),Map!$R$2:$S$14,2,FALSE),""))</f>
        <v/>
      </c>
      <c r="G33" t="str">
        <f t="shared" si="3"/>
        <v/>
      </c>
      <c r="H33" t="str">
        <f t="shared" si="4"/>
        <v/>
      </c>
      <c r="I33" t="str">
        <f>IF(A33="","",IFERROR(VLOOKUP(LEFT(A33,1),Map!$D$2:$E$20,2,FALSE),""))</f>
        <v/>
      </c>
      <c r="J33" t="str">
        <f>IF(OR(H33="",NOT(OR(LEFT(H33,1)="G",LEFT(H33,1)="R"))),"",IFERROR(VLOOKUP(MID(H33,2,1),Map!$J$2:$M$10,2,FALSE),""))</f>
        <v/>
      </c>
      <c r="K33" t="str">
        <f t="shared" si="5"/>
        <v/>
      </c>
      <c r="L33" t="str">
        <f t="shared" si="6"/>
        <v/>
      </c>
      <c r="M33" t="str">
        <f t="shared" si="7"/>
        <v/>
      </c>
      <c r="N33" t="str">
        <f t="shared" si="8"/>
        <v/>
      </c>
      <c r="O33" t="str">
        <f t="shared" si="9"/>
        <v/>
      </c>
      <c r="P33" t="str">
        <f>IF(OR(H33="",NOT(OR(LEFT(H33,1)="G",LEFT(H33,1)="R"))),"",IFERROR(VLOOKUP(MID(H33,3,1),Map!$G$2:$H$10,2,FALSE),""))</f>
        <v/>
      </c>
      <c r="Q33" t="str">
        <f>IF(A33="","",IFERROR(VLOOKUP(MID(A33,4,1),Map!$O$2:$P$10,2,FALSE),""))</f>
        <v/>
      </c>
    </row>
    <row r="34" spans="2:17" x14ac:dyDescent="0.25">
      <c r="B34" t="str">
        <f t="shared" si="0"/>
        <v/>
      </c>
      <c r="C34" t="str">
        <f t="shared" si="1"/>
        <v>**</v>
      </c>
      <c r="D34" t="str">
        <f t="shared" si="2"/>
        <v/>
      </c>
      <c r="E34" t="str">
        <f>IFERROR(VLOOKUP(MID(A34,7,2),Map!$A$2:$B$20,2,FALSE),"")</f>
        <v/>
      </c>
      <c r="F34" t="str">
        <f>IF(A34="","",IFERROR(VLOOKUP(MID(A34,9,2),Map!$R$2:$S$14,2,FALSE),""))</f>
        <v/>
      </c>
      <c r="G34" t="str">
        <f t="shared" si="3"/>
        <v/>
      </c>
      <c r="H34" t="str">
        <f t="shared" si="4"/>
        <v/>
      </c>
      <c r="I34" t="str">
        <f>IF(A34="","",IFERROR(VLOOKUP(LEFT(A34,1),Map!$D$2:$E$20,2,FALSE),""))</f>
        <v/>
      </c>
      <c r="J34" t="str">
        <f>IF(OR(H34="",NOT(OR(LEFT(H34,1)="G",LEFT(H34,1)="R"))),"",IFERROR(VLOOKUP(MID(H34,2,1),Map!$J$2:$M$10,2,FALSE),""))</f>
        <v/>
      </c>
      <c r="K34" t="str">
        <f t="shared" si="5"/>
        <v/>
      </c>
      <c r="L34" t="str">
        <f t="shared" si="6"/>
        <v/>
      </c>
      <c r="M34" t="str">
        <f t="shared" si="7"/>
        <v/>
      </c>
      <c r="N34" t="str">
        <f t="shared" si="8"/>
        <v/>
      </c>
      <c r="O34" t="str">
        <f t="shared" si="9"/>
        <v/>
      </c>
      <c r="P34" t="str">
        <f>IF(OR(H34="",NOT(OR(LEFT(H34,1)="G",LEFT(H34,1)="R"))),"",IFERROR(VLOOKUP(MID(H34,3,1),Map!$G$2:$H$10,2,FALSE),""))</f>
        <v/>
      </c>
      <c r="Q34" t="str">
        <f>IF(A34="","",IFERROR(VLOOKUP(MID(A34,4,1),Map!$O$2:$P$10,2,FALSE),""))</f>
        <v/>
      </c>
    </row>
    <row r="35" spans="2:17" x14ac:dyDescent="0.25">
      <c r="B35" t="str">
        <f t="shared" si="0"/>
        <v/>
      </c>
      <c r="C35" t="str">
        <f t="shared" si="1"/>
        <v>**</v>
      </c>
      <c r="D35" t="str">
        <f t="shared" si="2"/>
        <v/>
      </c>
      <c r="E35" t="str">
        <f>IFERROR(VLOOKUP(MID(A35,7,2),Map!$A$2:$B$20,2,FALSE),"")</f>
        <v/>
      </c>
      <c r="F35" t="str">
        <f>IF(A35="","",IFERROR(VLOOKUP(MID(A35,9,2),Map!$R$2:$S$14,2,FALSE),""))</f>
        <v/>
      </c>
      <c r="G35" t="str">
        <f t="shared" si="3"/>
        <v/>
      </c>
      <c r="H35" t="str">
        <f t="shared" si="4"/>
        <v/>
      </c>
      <c r="I35" t="str">
        <f>IF(A35="","",IFERROR(VLOOKUP(LEFT(A35,1),Map!$D$2:$E$20,2,FALSE),""))</f>
        <v/>
      </c>
      <c r="J35" t="str">
        <f>IF(OR(H35="",NOT(OR(LEFT(H35,1)="G",LEFT(H35,1)="R"))),"",IFERROR(VLOOKUP(MID(H35,2,1),Map!$J$2:$M$10,2,FALSE),""))</f>
        <v/>
      </c>
      <c r="K35" t="str">
        <f t="shared" si="5"/>
        <v/>
      </c>
      <c r="L35" t="str">
        <f t="shared" si="6"/>
        <v/>
      </c>
      <c r="M35" t="str">
        <f t="shared" si="7"/>
        <v/>
      </c>
      <c r="N35" t="str">
        <f t="shared" si="8"/>
        <v/>
      </c>
      <c r="O35" t="str">
        <f t="shared" si="9"/>
        <v/>
      </c>
      <c r="P35" t="str">
        <f>IF(OR(H35="",NOT(OR(LEFT(H35,1)="G",LEFT(H35,1)="R"))),"",IFERROR(VLOOKUP(MID(H35,3,1),Map!$G$2:$H$10,2,FALSE),""))</f>
        <v/>
      </c>
      <c r="Q35" t="str">
        <f>IF(A35="","",IFERROR(VLOOKUP(MID(A35,4,1),Map!$O$2:$P$10,2,FALSE),""))</f>
        <v/>
      </c>
    </row>
    <row r="36" spans="2:17" x14ac:dyDescent="0.25">
      <c r="B36" t="str">
        <f t="shared" si="0"/>
        <v/>
      </c>
      <c r="C36" t="str">
        <f t="shared" si="1"/>
        <v>**</v>
      </c>
      <c r="D36" t="str">
        <f t="shared" si="2"/>
        <v/>
      </c>
      <c r="E36" t="str">
        <f>IFERROR(VLOOKUP(MID(A36,7,2),Map!$A$2:$B$20,2,FALSE),"")</f>
        <v/>
      </c>
      <c r="F36" t="str">
        <f>IF(A36="","",IFERROR(VLOOKUP(MID(A36,9,2),Map!$R$2:$S$14,2,FALSE),""))</f>
        <v/>
      </c>
      <c r="G36" t="str">
        <f t="shared" si="3"/>
        <v/>
      </c>
      <c r="H36" t="str">
        <f t="shared" si="4"/>
        <v/>
      </c>
      <c r="I36" t="str">
        <f>IF(A36="","",IFERROR(VLOOKUP(LEFT(A36,1),Map!$D$2:$E$20,2,FALSE),""))</f>
        <v/>
      </c>
      <c r="J36" t="str">
        <f>IF(OR(H36="",NOT(OR(LEFT(H36,1)="G",LEFT(H36,1)="R"))),"",IFERROR(VLOOKUP(MID(H36,2,1),Map!$J$2:$M$10,2,FALSE),""))</f>
        <v/>
      </c>
      <c r="K36" t="str">
        <f t="shared" si="5"/>
        <v/>
      </c>
      <c r="L36" t="str">
        <f t="shared" si="6"/>
        <v/>
      </c>
      <c r="M36" t="str">
        <f t="shared" si="7"/>
        <v/>
      </c>
      <c r="N36" t="str">
        <f t="shared" si="8"/>
        <v/>
      </c>
      <c r="O36" t="str">
        <f t="shared" si="9"/>
        <v/>
      </c>
      <c r="P36" t="str">
        <f>IF(OR(H36="",NOT(OR(LEFT(H36,1)="G",LEFT(H36,1)="R"))),"",IFERROR(VLOOKUP(MID(H36,3,1),Map!$G$2:$H$10,2,FALSE),""))</f>
        <v/>
      </c>
      <c r="Q36" t="str">
        <f>IF(A36="","",IFERROR(VLOOKUP(MID(A36,4,1),Map!$O$2:$P$10,2,FALSE),""))</f>
        <v/>
      </c>
    </row>
    <row r="37" spans="2:17" x14ac:dyDescent="0.25">
      <c r="B37" t="str">
        <f t="shared" si="0"/>
        <v/>
      </c>
      <c r="C37" t="str">
        <f t="shared" si="1"/>
        <v>**</v>
      </c>
      <c r="D37" t="str">
        <f t="shared" si="2"/>
        <v/>
      </c>
      <c r="E37" t="str">
        <f>IFERROR(VLOOKUP(MID(A37,7,2),Map!$A$2:$B$20,2,FALSE),"")</f>
        <v/>
      </c>
      <c r="F37" t="str">
        <f>IF(A37="","",IFERROR(VLOOKUP(MID(A37,9,2),Map!$R$2:$S$14,2,FALSE),""))</f>
        <v/>
      </c>
      <c r="G37" t="str">
        <f t="shared" si="3"/>
        <v/>
      </c>
      <c r="H37" t="str">
        <f t="shared" si="4"/>
        <v/>
      </c>
      <c r="I37" t="str">
        <f>IF(A37="","",IFERROR(VLOOKUP(LEFT(A37,1),Map!$D$2:$E$20,2,FALSE),""))</f>
        <v/>
      </c>
      <c r="J37" t="str">
        <f>IF(OR(H37="",NOT(OR(LEFT(H37,1)="G",LEFT(H37,1)="R"))),"",IFERROR(VLOOKUP(MID(H37,2,1),Map!$J$2:$M$10,2,FALSE),""))</f>
        <v/>
      </c>
      <c r="K37" t="str">
        <f t="shared" si="5"/>
        <v/>
      </c>
      <c r="L37" t="str">
        <f t="shared" si="6"/>
        <v/>
      </c>
      <c r="M37" t="str">
        <f t="shared" si="7"/>
        <v/>
      </c>
      <c r="N37" t="str">
        <f t="shared" si="8"/>
        <v/>
      </c>
      <c r="O37" t="str">
        <f t="shared" si="9"/>
        <v/>
      </c>
      <c r="P37" t="str">
        <f>IF(OR(H37="",NOT(OR(LEFT(H37,1)="G",LEFT(H37,1)="R"))),"",IFERROR(VLOOKUP(MID(H37,3,1),Map!$G$2:$H$10,2,FALSE),""))</f>
        <v/>
      </c>
      <c r="Q37" t="str">
        <f>IF(A37="","",IFERROR(VLOOKUP(MID(A37,4,1),Map!$O$2:$P$10,2,FALSE),""))</f>
        <v/>
      </c>
    </row>
    <row r="38" spans="2:17" x14ac:dyDescent="0.25">
      <c r="B38" t="str">
        <f t="shared" si="0"/>
        <v/>
      </c>
      <c r="C38" t="str">
        <f t="shared" si="1"/>
        <v>**</v>
      </c>
      <c r="D38" t="str">
        <f t="shared" si="2"/>
        <v/>
      </c>
      <c r="E38" t="str">
        <f>IFERROR(VLOOKUP(MID(A38,7,2),Map!$A$2:$B$20,2,FALSE),"")</f>
        <v/>
      </c>
      <c r="F38" t="str">
        <f>IF(A38="","",IFERROR(VLOOKUP(MID(A38,9,2),Map!$R$2:$S$14,2,FALSE),""))</f>
        <v/>
      </c>
      <c r="G38" t="str">
        <f t="shared" si="3"/>
        <v/>
      </c>
      <c r="H38" t="str">
        <f t="shared" si="4"/>
        <v/>
      </c>
      <c r="I38" t="str">
        <f>IF(A38="","",IFERROR(VLOOKUP(LEFT(A38,1),Map!$D$2:$E$20,2,FALSE),""))</f>
        <v/>
      </c>
      <c r="J38" t="str">
        <f>IF(OR(H38="",NOT(OR(LEFT(H38,1)="G",LEFT(H38,1)="R"))),"",IFERROR(VLOOKUP(MID(H38,2,1),Map!$J$2:$M$10,2,FALSE),""))</f>
        <v/>
      </c>
      <c r="K38" t="str">
        <f t="shared" si="5"/>
        <v/>
      </c>
      <c r="L38" t="str">
        <f t="shared" si="6"/>
        <v/>
      </c>
      <c r="M38" t="str">
        <f t="shared" si="7"/>
        <v/>
      </c>
      <c r="N38" t="str">
        <f t="shared" si="8"/>
        <v/>
      </c>
      <c r="O38" t="str">
        <f t="shared" si="9"/>
        <v/>
      </c>
      <c r="P38" t="str">
        <f>IF(OR(H38="",NOT(OR(LEFT(H38,1)="G",LEFT(H38,1)="R"))),"",IFERROR(VLOOKUP(MID(H38,3,1),Map!$G$2:$H$10,2,FALSE),""))</f>
        <v/>
      </c>
      <c r="Q38" t="str">
        <f>IF(A38="","",IFERROR(VLOOKUP(MID(A38,4,1),Map!$O$2:$P$10,2,FALSE),""))</f>
        <v/>
      </c>
    </row>
    <row r="39" spans="2:17" x14ac:dyDescent="0.25">
      <c r="B39" t="str">
        <f t="shared" si="0"/>
        <v/>
      </c>
      <c r="C39" t="str">
        <f t="shared" si="1"/>
        <v>**</v>
      </c>
      <c r="D39" t="str">
        <f t="shared" si="2"/>
        <v/>
      </c>
      <c r="E39" t="str">
        <f>IFERROR(VLOOKUP(MID(A39,7,2),Map!$A$2:$B$20,2,FALSE),"")</f>
        <v/>
      </c>
      <c r="F39" t="str">
        <f>IF(A39="","",IFERROR(VLOOKUP(MID(A39,9,2),Map!$R$2:$S$14,2,FALSE),""))</f>
        <v/>
      </c>
      <c r="G39" t="str">
        <f t="shared" si="3"/>
        <v/>
      </c>
      <c r="H39" t="str">
        <f t="shared" si="4"/>
        <v/>
      </c>
      <c r="I39" t="str">
        <f>IF(A39="","",IFERROR(VLOOKUP(LEFT(A39,1),Map!$D$2:$E$20,2,FALSE),""))</f>
        <v/>
      </c>
      <c r="J39" t="str">
        <f>IF(OR(H39="",NOT(OR(LEFT(H39,1)="G",LEFT(H39,1)="R"))),"",IFERROR(VLOOKUP(MID(H39,2,1),Map!$J$2:$M$10,2,FALSE),""))</f>
        <v/>
      </c>
      <c r="K39" t="str">
        <f t="shared" si="5"/>
        <v/>
      </c>
      <c r="L39" t="str">
        <f t="shared" si="6"/>
        <v/>
      </c>
      <c r="M39" t="str">
        <f t="shared" si="7"/>
        <v/>
      </c>
      <c r="N39" t="str">
        <f t="shared" si="8"/>
        <v/>
      </c>
      <c r="O39" t="str">
        <f t="shared" si="9"/>
        <v/>
      </c>
      <c r="P39" t="str">
        <f>IF(OR(H39="",NOT(OR(LEFT(H39,1)="G",LEFT(H39,1)="R"))),"",IFERROR(VLOOKUP(MID(H39,3,1),Map!$G$2:$H$10,2,FALSE),""))</f>
        <v/>
      </c>
      <c r="Q39" t="str">
        <f>IF(A39="","",IFERROR(VLOOKUP(MID(A39,4,1),Map!$O$2:$P$10,2,FALSE),""))</f>
        <v/>
      </c>
    </row>
    <row r="40" spans="2:17" x14ac:dyDescent="0.25">
      <c r="B40" t="str">
        <f t="shared" si="0"/>
        <v/>
      </c>
      <c r="C40" t="str">
        <f t="shared" si="1"/>
        <v>**</v>
      </c>
      <c r="D40" t="str">
        <f t="shared" si="2"/>
        <v/>
      </c>
      <c r="E40" t="str">
        <f>IFERROR(VLOOKUP(MID(A40,7,2),Map!$A$2:$B$20,2,FALSE),"")</f>
        <v/>
      </c>
      <c r="F40" t="str">
        <f>IF(A40="","",IFERROR(VLOOKUP(MID(A40,9,2),Map!$R$2:$S$14,2,FALSE),""))</f>
        <v/>
      </c>
      <c r="G40" t="str">
        <f t="shared" si="3"/>
        <v/>
      </c>
      <c r="H40" t="str">
        <f t="shared" si="4"/>
        <v/>
      </c>
      <c r="I40" t="str">
        <f>IF(A40="","",IFERROR(VLOOKUP(LEFT(A40,1),Map!$D$2:$E$20,2,FALSE),""))</f>
        <v/>
      </c>
      <c r="J40" t="str">
        <f>IF(OR(H40="",NOT(OR(LEFT(H40,1)="G",LEFT(H40,1)="R"))),"",IFERROR(VLOOKUP(MID(H40,2,1),Map!$J$2:$M$10,2,FALSE),""))</f>
        <v/>
      </c>
      <c r="K40" t="str">
        <f t="shared" si="5"/>
        <v/>
      </c>
      <c r="L40" t="str">
        <f t="shared" si="6"/>
        <v/>
      </c>
      <c r="M40" t="str">
        <f t="shared" si="7"/>
        <v/>
      </c>
      <c r="N40" t="str">
        <f t="shared" si="8"/>
        <v/>
      </c>
      <c r="O40" t="str">
        <f t="shared" si="9"/>
        <v/>
      </c>
      <c r="P40" t="str">
        <f>IF(OR(H40="",NOT(OR(LEFT(H40,1)="G",LEFT(H40,1)="R"))),"",IFERROR(VLOOKUP(MID(H40,3,1),Map!$G$2:$H$10,2,FALSE),""))</f>
        <v/>
      </c>
      <c r="Q40" t="str">
        <f>IF(A40="","",IFERROR(VLOOKUP(MID(A40,4,1),Map!$O$2:$P$10,2,FALSE),""))</f>
        <v/>
      </c>
    </row>
    <row r="41" spans="2:17" x14ac:dyDescent="0.25">
      <c r="B41" t="str">
        <f t="shared" si="0"/>
        <v/>
      </c>
      <c r="C41" t="str">
        <f t="shared" si="1"/>
        <v>**</v>
      </c>
      <c r="D41" t="str">
        <f t="shared" si="2"/>
        <v/>
      </c>
      <c r="E41" t="str">
        <f>IFERROR(VLOOKUP(MID(A41,7,2),Map!$A$2:$B$20,2,FALSE),"")</f>
        <v/>
      </c>
      <c r="F41" t="str">
        <f>IF(A41="","",IFERROR(VLOOKUP(MID(A41,9,2),Map!$R$2:$S$14,2,FALSE),""))</f>
        <v/>
      </c>
      <c r="G41" t="str">
        <f t="shared" si="3"/>
        <v/>
      </c>
      <c r="H41" t="str">
        <f t="shared" si="4"/>
        <v/>
      </c>
      <c r="I41" t="str">
        <f>IF(A41="","",IFERROR(VLOOKUP(LEFT(A41,1),Map!$D$2:$E$20,2,FALSE),""))</f>
        <v/>
      </c>
      <c r="J41" t="str">
        <f>IF(OR(H41="",NOT(OR(LEFT(H41,1)="G",LEFT(H41,1)="R"))),"",IFERROR(VLOOKUP(MID(H41,2,1),Map!$J$2:$M$10,2,FALSE),""))</f>
        <v/>
      </c>
      <c r="K41" t="str">
        <f t="shared" si="5"/>
        <v/>
      </c>
      <c r="L41" t="str">
        <f t="shared" si="6"/>
        <v/>
      </c>
      <c r="M41" t="str">
        <f t="shared" si="7"/>
        <v/>
      </c>
      <c r="N41" t="str">
        <f t="shared" si="8"/>
        <v/>
      </c>
      <c r="O41" t="str">
        <f t="shared" si="9"/>
        <v/>
      </c>
      <c r="P41" t="str">
        <f>IF(OR(H41="",NOT(OR(LEFT(H41,1)="G",LEFT(H41,1)="R"))),"",IFERROR(VLOOKUP(MID(H41,3,1),Map!$G$2:$H$10,2,FALSE),""))</f>
        <v/>
      </c>
      <c r="Q41" t="str">
        <f>IF(A41="","",IFERROR(VLOOKUP(MID(A41,4,1),Map!$O$2:$P$10,2,FALSE),""))</f>
        <v/>
      </c>
    </row>
    <row r="42" spans="2:17" x14ac:dyDescent="0.25">
      <c r="B42" t="str">
        <f t="shared" si="0"/>
        <v/>
      </c>
      <c r="C42" t="str">
        <f t="shared" si="1"/>
        <v>**</v>
      </c>
      <c r="D42" t="str">
        <f t="shared" si="2"/>
        <v/>
      </c>
      <c r="E42" t="str">
        <f>IFERROR(VLOOKUP(MID(A42,7,2),Map!$A$2:$B$20,2,FALSE),"")</f>
        <v/>
      </c>
      <c r="F42" t="str">
        <f>IF(A42="","",IFERROR(VLOOKUP(MID(A42,9,2),Map!$R$2:$S$14,2,FALSE),""))</f>
        <v/>
      </c>
      <c r="G42" t="str">
        <f t="shared" si="3"/>
        <v/>
      </c>
      <c r="H42" t="str">
        <f t="shared" si="4"/>
        <v/>
      </c>
      <c r="I42" t="str">
        <f>IF(A42="","",IFERROR(VLOOKUP(LEFT(A42,1),Map!$D$2:$E$20,2,FALSE),""))</f>
        <v/>
      </c>
      <c r="J42" t="str">
        <f>IF(OR(H42="",NOT(OR(LEFT(H42,1)="G",LEFT(H42,1)="R"))),"",IFERROR(VLOOKUP(MID(H42,2,1),Map!$J$2:$M$10,2,FALSE),""))</f>
        <v/>
      </c>
      <c r="K42" t="str">
        <f t="shared" si="5"/>
        <v/>
      </c>
      <c r="L42" t="str">
        <f t="shared" si="6"/>
        <v/>
      </c>
      <c r="M42" t="str">
        <f t="shared" si="7"/>
        <v/>
      </c>
      <c r="N42" t="str">
        <f t="shared" si="8"/>
        <v/>
      </c>
      <c r="O42" t="str">
        <f t="shared" si="9"/>
        <v/>
      </c>
      <c r="P42" t="str">
        <f>IF(OR(H42="",NOT(OR(LEFT(H42,1)="G",LEFT(H42,1)="R"))),"",IFERROR(VLOOKUP(MID(H42,3,1),Map!$G$2:$H$10,2,FALSE),""))</f>
        <v/>
      </c>
      <c r="Q42" t="str">
        <f>IF(A42="","",IFERROR(VLOOKUP(MID(A42,4,1),Map!$O$2:$P$10,2,FALSE),""))</f>
        <v/>
      </c>
    </row>
    <row r="43" spans="2:17" x14ac:dyDescent="0.25">
      <c r="B43" t="str">
        <f t="shared" si="0"/>
        <v/>
      </c>
      <c r="C43" t="str">
        <f t="shared" si="1"/>
        <v>**</v>
      </c>
      <c r="D43" t="str">
        <f t="shared" si="2"/>
        <v/>
      </c>
      <c r="E43" t="str">
        <f>IFERROR(VLOOKUP(MID(A43,7,2),Map!$A$2:$B$20,2,FALSE),"")</f>
        <v/>
      </c>
      <c r="F43" t="str">
        <f>IF(A43="","",IFERROR(VLOOKUP(MID(A43,9,2),Map!$R$2:$S$14,2,FALSE),""))</f>
        <v/>
      </c>
      <c r="G43" t="str">
        <f t="shared" si="3"/>
        <v/>
      </c>
      <c r="H43" t="str">
        <f t="shared" si="4"/>
        <v/>
      </c>
      <c r="I43" t="str">
        <f>IF(A43="","",IFERROR(VLOOKUP(LEFT(A43,1),Map!$D$2:$E$20,2,FALSE),""))</f>
        <v/>
      </c>
      <c r="J43" t="str">
        <f>IF(OR(H43="",NOT(OR(LEFT(H43,1)="G",LEFT(H43,1)="R"))),"",IFERROR(VLOOKUP(MID(H43,2,1),Map!$J$2:$M$10,2,FALSE),""))</f>
        <v/>
      </c>
      <c r="K43" t="str">
        <f t="shared" si="5"/>
        <v/>
      </c>
      <c r="L43" t="str">
        <f t="shared" si="6"/>
        <v/>
      </c>
      <c r="M43" t="str">
        <f t="shared" si="7"/>
        <v/>
      </c>
      <c r="N43" t="str">
        <f t="shared" si="8"/>
        <v/>
      </c>
      <c r="O43" t="str">
        <f t="shared" si="9"/>
        <v/>
      </c>
      <c r="P43" t="str">
        <f>IF(OR(H43="",NOT(OR(LEFT(H43,1)="G",LEFT(H43,1)="R"))),"",IFERROR(VLOOKUP(MID(H43,3,1),Map!$G$2:$H$10,2,FALSE),""))</f>
        <v/>
      </c>
      <c r="Q43" t="str">
        <f>IF(A43="","",IFERROR(VLOOKUP(MID(A43,4,1),Map!$O$2:$P$10,2,FALSE),""))</f>
        <v/>
      </c>
    </row>
    <row r="44" spans="2:17" x14ac:dyDescent="0.25">
      <c r="B44" t="str">
        <f t="shared" si="0"/>
        <v/>
      </c>
      <c r="C44" t="str">
        <f t="shared" si="1"/>
        <v>**</v>
      </c>
      <c r="D44" t="str">
        <f t="shared" si="2"/>
        <v/>
      </c>
      <c r="E44" t="str">
        <f>IFERROR(VLOOKUP(MID(A44,7,2),Map!$A$2:$B$20,2,FALSE),"")</f>
        <v/>
      </c>
      <c r="F44" t="str">
        <f>IF(A44="","",IFERROR(VLOOKUP(MID(A44,9,2),Map!$R$2:$S$14,2,FALSE),""))</f>
        <v/>
      </c>
      <c r="G44" t="str">
        <f t="shared" si="3"/>
        <v/>
      </c>
      <c r="H44" t="str">
        <f t="shared" si="4"/>
        <v/>
      </c>
      <c r="I44" t="str">
        <f>IF(A44="","",IFERROR(VLOOKUP(LEFT(A44,1),Map!$D$2:$E$20,2,FALSE),""))</f>
        <v/>
      </c>
      <c r="J44" t="str">
        <f>IF(OR(H44="",NOT(OR(LEFT(H44,1)="G",LEFT(H44,1)="R"))),"",IFERROR(VLOOKUP(MID(H44,2,1),Map!$J$2:$M$10,2,FALSE),""))</f>
        <v/>
      </c>
      <c r="K44" t="str">
        <f t="shared" si="5"/>
        <v/>
      </c>
      <c r="L44" t="str">
        <f t="shared" si="6"/>
        <v/>
      </c>
      <c r="M44" t="str">
        <f t="shared" si="7"/>
        <v/>
      </c>
      <c r="N44" t="str">
        <f t="shared" si="8"/>
        <v/>
      </c>
      <c r="O44" t="str">
        <f t="shared" si="9"/>
        <v/>
      </c>
      <c r="P44" t="str">
        <f>IF(OR(H44="",NOT(OR(LEFT(H44,1)="G",LEFT(H44,1)="R"))),"",IFERROR(VLOOKUP(MID(H44,3,1),Map!$G$2:$H$10,2,FALSE),""))</f>
        <v/>
      </c>
      <c r="Q44" t="str">
        <f>IF(A44="","",IFERROR(VLOOKUP(MID(A44,4,1),Map!$O$2:$P$10,2,FALSE),""))</f>
        <v/>
      </c>
    </row>
    <row r="45" spans="2:17" x14ac:dyDescent="0.25">
      <c r="B45" t="str">
        <f t="shared" si="0"/>
        <v/>
      </c>
      <c r="C45" t="str">
        <f t="shared" si="1"/>
        <v>**</v>
      </c>
      <c r="D45" t="str">
        <f t="shared" si="2"/>
        <v/>
      </c>
      <c r="E45" t="str">
        <f>IFERROR(VLOOKUP(MID(A45,7,2),Map!$A$2:$B$20,2,FALSE),"")</f>
        <v/>
      </c>
      <c r="F45" t="str">
        <f>IF(A45="","",IFERROR(VLOOKUP(MID(A45,9,2),Map!$R$2:$S$14,2,FALSE),""))</f>
        <v/>
      </c>
      <c r="G45" t="str">
        <f t="shared" si="3"/>
        <v/>
      </c>
      <c r="H45" t="str">
        <f t="shared" si="4"/>
        <v/>
      </c>
      <c r="I45" t="str">
        <f>IF(A45="","",IFERROR(VLOOKUP(LEFT(A45,1),Map!$D$2:$E$20,2,FALSE),""))</f>
        <v/>
      </c>
      <c r="J45" t="str">
        <f>IF(OR(H45="",NOT(OR(LEFT(H45,1)="G",LEFT(H45,1)="R"))),"",IFERROR(VLOOKUP(MID(H45,2,1),Map!$J$2:$M$10,2,FALSE),""))</f>
        <v/>
      </c>
      <c r="K45" t="str">
        <f t="shared" si="5"/>
        <v/>
      </c>
      <c r="L45" t="str">
        <f t="shared" si="6"/>
        <v/>
      </c>
      <c r="M45" t="str">
        <f t="shared" si="7"/>
        <v/>
      </c>
      <c r="N45" t="str">
        <f t="shared" si="8"/>
        <v/>
      </c>
      <c r="O45" t="str">
        <f t="shared" si="9"/>
        <v/>
      </c>
      <c r="P45" t="str">
        <f>IF(OR(H45="",NOT(OR(LEFT(H45,1)="G",LEFT(H45,1)="R"))),"",IFERROR(VLOOKUP(MID(H45,3,1),Map!$G$2:$H$10,2,FALSE),""))</f>
        <v/>
      </c>
      <c r="Q45" t="str">
        <f>IF(A45="","",IFERROR(VLOOKUP(MID(A45,4,1),Map!$O$2:$P$10,2,FALSE),""))</f>
        <v/>
      </c>
    </row>
    <row r="46" spans="2:17" x14ac:dyDescent="0.25">
      <c r="B46" t="str">
        <f t="shared" si="0"/>
        <v/>
      </c>
      <c r="C46" t="str">
        <f t="shared" si="1"/>
        <v>**</v>
      </c>
      <c r="D46" t="str">
        <f t="shared" si="2"/>
        <v/>
      </c>
      <c r="E46" t="str">
        <f>IFERROR(VLOOKUP(MID(A46,7,2),Map!$A$2:$B$20,2,FALSE),"")</f>
        <v/>
      </c>
      <c r="F46" t="str">
        <f>IF(A46="","",IFERROR(VLOOKUP(MID(A46,9,2),Map!$R$2:$S$14,2,FALSE),""))</f>
        <v/>
      </c>
      <c r="G46" t="str">
        <f t="shared" si="3"/>
        <v/>
      </c>
      <c r="H46" t="str">
        <f t="shared" si="4"/>
        <v/>
      </c>
      <c r="I46" t="str">
        <f>IF(A46="","",IFERROR(VLOOKUP(LEFT(A46,1),Map!$D$2:$E$20,2,FALSE),""))</f>
        <v/>
      </c>
      <c r="J46" t="str">
        <f>IF(OR(H46="",NOT(OR(LEFT(H46,1)="G",LEFT(H46,1)="R"))),"",IFERROR(VLOOKUP(MID(H46,2,1),Map!$J$2:$M$10,2,FALSE),""))</f>
        <v/>
      </c>
      <c r="K46" t="str">
        <f t="shared" si="5"/>
        <v/>
      </c>
      <c r="L46" t="str">
        <f t="shared" si="6"/>
        <v/>
      </c>
      <c r="M46" t="str">
        <f t="shared" si="7"/>
        <v/>
      </c>
      <c r="N46" t="str">
        <f t="shared" si="8"/>
        <v/>
      </c>
      <c r="O46" t="str">
        <f t="shared" si="9"/>
        <v/>
      </c>
      <c r="P46" t="str">
        <f>IF(OR(H46="",NOT(OR(LEFT(H46,1)="G",LEFT(H46,1)="R"))),"",IFERROR(VLOOKUP(MID(H46,3,1),Map!$G$2:$H$10,2,FALSE),""))</f>
        <v/>
      </c>
      <c r="Q46" t="str">
        <f>IF(A46="","",IFERROR(VLOOKUP(MID(A46,4,1),Map!$O$2:$P$10,2,FALSE),""))</f>
        <v/>
      </c>
    </row>
    <row r="47" spans="2:17" x14ac:dyDescent="0.25">
      <c r="B47" t="str">
        <f t="shared" si="0"/>
        <v/>
      </c>
      <c r="C47" t="str">
        <f t="shared" si="1"/>
        <v>**</v>
      </c>
      <c r="D47" t="str">
        <f t="shared" si="2"/>
        <v/>
      </c>
      <c r="E47" t="str">
        <f>IFERROR(VLOOKUP(MID(A47,7,2),Map!$A$2:$B$20,2,FALSE),"")</f>
        <v/>
      </c>
      <c r="F47" t="str">
        <f>IF(A47="","",IFERROR(VLOOKUP(MID(A47,9,2),Map!$R$2:$S$14,2,FALSE),""))</f>
        <v/>
      </c>
      <c r="G47" t="str">
        <f t="shared" si="3"/>
        <v/>
      </c>
      <c r="H47" t="str">
        <f t="shared" si="4"/>
        <v/>
      </c>
      <c r="I47" t="str">
        <f>IF(A47="","",IFERROR(VLOOKUP(LEFT(A47,1),Map!$D$2:$E$20,2,FALSE),""))</f>
        <v/>
      </c>
      <c r="J47" t="str">
        <f>IF(OR(H47="",NOT(OR(LEFT(H47,1)="G",LEFT(H47,1)="R"))),"",IFERROR(VLOOKUP(MID(H47,2,1),Map!$J$2:$M$10,2,FALSE),""))</f>
        <v/>
      </c>
      <c r="K47" t="str">
        <f t="shared" si="5"/>
        <v/>
      </c>
      <c r="L47" t="str">
        <f t="shared" si="6"/>
        <v/>
      </c>
      <c r="M47" t="str">
        <f t="shared" si="7"/>
        <v/>
      </c>
      <c r="N47" t="str">
        <f t="shared" si="8"/>
        <v/>
      </c>
      <c r="O47" t="str">
        <f t="shared" si="9"/>
        <v/>
      </c>
      <c r="P47" t="str">
        <f>IF(OR(H47="",NOT(OR(LEFT(H47,1)="G",LEFT(H47,1)="R"))),"",IFERROR(VLOOKUP(MID(H47,3,1),Map!$G$2:$H$10,2,FALSE),""))</f>
        <v/>
      </c>
      <c r="Q47" t="str">
        <f>IF(A47="","",IFERROR(VLOOKUP(MID(A47,4,1),Map!$O$2:$P$10,2,FALSE),""))</f>
        <v/>
      </c>
    </row>
    <row r="48" spans="2:17" x14ac:dyDescent="0.25">
      <c r="B48" t="str">
        <f t="shared" si="0"/>
        <v/>
      </c>
      <c r="C48" t="str">
        <f t="shared" si="1"/>
        <v>**</v>
      </c>
      <c r="D48" t="str">
        <f t="shared" si="2"/>
        <v/>
      </c>
      <c r="E48" t="str">
        <f>IFERROR(VLOOKUP(MID(A48,7,2),Map!$A$2:$B$20,2,FALSE),"")</f>
        <v/>
      </c>
      <c r="F48" t="str">
        <f>IF(A48="","",IFERROR(VLOOKUP(MID(A48,9,2),Map!$R$2:$S$14,2,FALSE),""))</f>
        <v/>
      </c>
      <c r="G48" t="str">
        <f t="shared" si="3"/>
        <v/>
      </c>
      <c r="H48" t="str">
        <f t="shared" si="4"/>
        <v/>
      </c>
      <c r="I48" t="str">
        <f>IF(A48="","",IFERROR(VLOOKUP(LEFT(A48,1),Map!$D$2:$E$20,2,FALSE),""))</f>
        <v/>
      </c>
      <c r="J48" t="str">
        <f>IF(OR(H48="",NOT(OR(LEFT(H48,1)="G",LEFT(H48,1)="R"))),"",IFERROR(VLOOKUP(MID(H48,2,1),Map!$J$2:$M$10,2,FALSE),""))</f>
        <v/>
      </c>
      <c r="K48" t="str">
        <f t="shared" si="5"/>
        <v/>
      </c>
      <c r="L48" t="str">
        <f t="shared" si="6"/>
        <v/>
      </c>
      <c r="M48" t="str">
        <f t="shared" si="7"/>
        <v/>
      </c>
      <c r="N48" t="str">
        <f t="shared" si="8"/>
        <v/>
      </c>
      <c r="O48" t="str">
        <f t="shared" si="9"/>
        <v/>
      </c>
      <c r="P48" t="str">
        <f>IF(OR(H48="",NOT(OR(LEFT(H48,1)="G",LEFT(H48,1)="R"))),"",IFERROR(VLOOKUP(MID(H48,3,1),Map!$G$2:$H$10,2,FALSE),""))</f>
        <v/>
      </c>
      <c r="Q48" t="str">
        <f>IF(A48="","",IFERROR(VLOOKUP(MID(A48,4,1),Map!$O$2:$P$10,2,FALSE),""))</f>
        <v/>
      </c>
    </row>
    <row r="49" spans="2:17" x14ac:dyDescent="0.25">
      <c r="B49" t="str">
        <f t="shared" si="0"/>
        <v/>
      </c>
      <c r="C49" t="str">
        <f t="shared" si="1"/>
        <v>**</v>
      </c>
      <c r="D49" t="str">
        <f t="shared" si="2"/>
        <v/>
      </c>
      <c r="E49" t="str">
        <f>IFERROR(VLOOKUP(MID(A49,7,2),Map!$A$2:$B$20,2,FALSE),"")</f>
        <v/>
      </c>
      <c r="F49" t="str">
        <f>IF(A49="","",IFERROR(VLOOKUP(MID(A49,9,2),Map!$R$2:$S$14,2,FALSE),""))</f>
        <v/>
      </c>
      <c r="G49" t="str">
        <f t="shared" si="3"/>
        <v/>
      </c>
      <c r="H49" t="str">
        <f t="shared" si="4"/>
        <v/>
      </c>
      <c r="I49" t="str">
        <f>IF(A49="","",IFERROR(VLOOKUP(LEFT(A49,1),Map!$D$2:$E$20,2,FALSE),""))</f>
        <v/>
      </c>
      <c r="J49" t="str">
        <f>IF(OR(H49="",NOT(OR(LEFT(H49,1)="G",LEFT(H49,1)="R"))),"",IFERROR(VLOOKUP(MID(H49,2,1),Map!$J$2:$M$10,2,FALSE),""))</f>
        <v/>
      </c>
      <c r="K49" t="str">
        <f t="shared" si="5"/>
        <v/>
      </c>
      <c r="L49" t="str">
        <f t="shared" si="6"/>
        <v/>
      </c>
      <c r="M49" t="str">
        <f t="shared" si="7"/>
        <v/>
      </c>
      <c r="N49" t="str">
        <f t="shared" si="8"/>
        <v/>
      </c>
      <c r="O49" t="str">
        <f t="shared" si="9"/>
        <v/>
      </c>
      <c r="P49" t="str">
        <f>IF(OR(H49="",NOT(OR(LEFT(H49,1)="G",LEFT(H49,1)="R"))),"",IFERROR(VLOOKUP(MID(H49,3,1),Map!$G$2:$H$10,2,FALSE),""))</f>
        <v/>
      </c>
      <c r="Q49" t="str">
        <f>IF(A49="","",IFERROR(VLOOKUP(MID(A49,4,1),Map!$O$2:$P$10,2,FALSE),""))</f>
        <v/>
      </c>
    </row>
    <row r="50" spans="2:17" x14ac:dyDescent="0.25">
      <c r="B50" t="str">
        <f t="shared" si="0"/>
        <v/>
      </c>
      <c r="C50" t="str">
        <f t="shared" si="1"/>
        <v>**</v>
      </c>
      <c r="D50" t="str">
        <f t="shared" si="2"/>
        <v/>
      </c>
      <c r="E50" t="str">
        <f>IFERROR(VLOOKUP(MID(A50,7,2),Map!$A$2:$B$20,2,FALSE),"")</f>
        <v/>
      </c>
      <c r="F50" t="str">
        <f>IF(A50="","",IFERROR(VLOOKUP(MID(A50,9,2),Map!$R$2:$S$14,2,FALSE),""))</f>
        <v/>
      </c>
      <c r="G50" t="str">
        <f t="shared" si="3"/>
        <v/>
      </c>
      <c r="H50" t="str">
        <f t="shared" si="4"/>
        <v/>
      </c>
      <c r="I50" t="str">
        <f>IF(A50="","",IFERROR(VLOOKUP(LEFT(A50,1),Map!$D$2:$E$20,2,FALSE),""))</f>
        <v/>
      </c>
      <c r="J50" t="str">
        <f>IF(OR(H50="",NOT(OR(LEFT(H50,1)="G",LEFT(H50,1)="R"))),"",IFERROR(VLOOKUP(MID(H50,2,1),Map!$J$2:$M$10,2,FALSE),""))</f>
        <v/>
      </c>
      <c r="K50" t="str">
        <f t="shared" si="5"/>
        <v/>
      </c>
      <c r="L50" t="str">
        <f t="shared" si="6"/>
        <v/>
      </c>
      <c r="M50" t="str">
        <f t="shared" si="7"/>
        <v/>
      </c>
      <c r="N50" t="str">
        <f t="shared" si="8"/>
        <v/>
      </c>
      <c r="O50" t="str">
        <f t="shared" si="9"/>
        <v/>
      </c>
      <c r="P50" t="str">
        <f>IF(OR(H50="",NOT(OR(LEFT(H50,1)="G",LEFT(H50,1)="R"))),"",IFERROR(VLOOKUP(MID(H50,3,1),Map!$G$2:$H$10,2,FALSE),""))</f>
        <v/>
      </c>
      <c r="Q50" t="str">
        <f>IF(A50="","",IFERROR(VLOOKUP(MID(A50,4,1),Map!$O$2:$P$10,2,FALSE),""))</f>
        <v/>
      </c>
    </row>
    <row r="51" spans="2:17" x14ac:dyDescent="0.25">
      <c r="B51" t="str">
        <f t="shared" si="0"/>
        <v/>
      </c>
      <c r="C51" t="str">
        <f t="shared" si="1"/>
        <v>**</v>
      </c>
      <c r="D51" t="str">
        <f t="shared" si="2"/>
        <v/>
      </c>
      <c r="E51" t="str">
        <f>IFERROR(VLOOKUP(MID(A51,7,2),Map!$A$2:$B$20,2,FALSE),"")</f>
        <v/>
      </c>
      <c r="F51" t="str">
        <f>IF(A51="","",IFERROR(VLOOKUP(MID(A51,9,2),Map!$R$2:$S$14,2,FALSE),""))</f>
        <v/>
      </c>
      <c r="G51" t="str">
        <f t="shared" si="3"/>
        <v/>
      </c>
      <c r="H51" t="str">
        <f t="shared" si="4"/>
        <v/>
      </c>
      <c r="I51" t="str">
        <f>IF(A51="","",IFERROR(VLOOKUP(LEFT(A51,1),Map!$D$2:$E$20,2,FALSE),""))</f>
        <v/>
      </c>
      <c r="J51" t="str">
        <f>IF(OR(H51="",NOT(OR(LEFT(H51,1)="G",LEFT(H51,1)="R"))),"",IFERROR(VLOOKUP(MID(H51,2,1),Map!$J$2:$M$10,2,FALSE),""))</f>
        <v/>
      </c>
      <c r="K51" t="str">
        <f t="shared" si="5"/>
        <v/>
      </c>
      <c r="L51" t="str">
        <f t="shared" si="6"/>
        <v/>
      </c>
      <c r="M51" t="str">
        <f t="shared" si="7"/>
        <v/>
      </c>
      <c r="N51" t="str">
        <f t="shared" si="8"/>
        <v/>
      </c>
      <c r="O51" t="str">
        <f t="shared" si="9"/>
        <v/>
      </c>
      <c r="P51" t="str">
        <f>IF(OR(H51="",NOT(OR(LEFT(H51,1)="G",LEFT(H51,1)="R"))),"",IFERROR(VLOOKUP(MID(H51,3,1),Map!$G$2:$H$10,2,FALSE),""))</f>
        <v/>
      </c>
      <c r="Q51" t="str">
        <f>IF(A51="","",IFERROR(VLOOKUP(MID(A51,4,1),Map!$O$2:$P$10,2,FALSE),""))</f>
        <v/>
      </c>
    </row>
    <row r="52" spans="2:17" x14ac:dyDescent="0.25">
      <c r="B52" t="str">
        <f t="shared" si="0"/>
        <v/>
      </c>
      <c r="C52" t="str">
        <f t="shared" si="1"/>
        <v>**</v>
      </c>
      <c r="D52" t="str">
        <f t="shared" si="2"/>
        <v/>
      </c>
      <c r="E52" t="str">
        <f>IFERROR(VLOOKUP(MID(A52,7,2),Map!$A$2:$B$20,2,FALSE),"")</f>
        <v/>
      </c>
      <c r="F52" t="str">
        <f>IF(A52="","",IFERROR(VLOOKUP(MID(A52,9,2),Map!$R$2:$S$14,2,FALSE),""))</f>
        <v/>
      </c>
      <c r="G52" t="str">
        <f t="shared" si="3"/>
        <v/>
      </c>
      <c r="H52" t="str">
        <f t="shared" si="4"/>
        <v/>
      </c>
      <c r="I52" t="str">
        <f>IF(A52="","",IFERROR(VLOOKUP(LEFT(A52,1),Map!$D$2:$E$20,2,FALSE),""))</f>
        <v/>
      </c>
      <c r="J52" t="str">
        <f>IF(OR(H52="",NOT(OR(LEFT(H52,1)="G",LEFT(H52,1)="R"))),"",IFERROR(VLOOKUP(MID(H52,2,1),Map!$J$2:$M$10,2,FALSE),""))</f>
        <v/>
      </c>
      <c r="K52" t="str">
        <f t="shared" si="5"/>
        <v/>
      </c>
      <c r="L52" t="str">
        <f t="shared" si="6"/>
        <v/>
      </c>
      <c r="M52" t="str">
        <f t="shared" si="7"/>
        <v/>
      </c>
      <c r="N52" t="str">
        <f t="shared" si="8"/>
        <v/>
      </c>
      <c r="O52" t="str">
        <f t="shared" si="9"/>
        <v/>
      </c>
      <c r="P52" t="str">
        <f>IF(OR(H52="",NOT(OR(LEFT(H52,1)="G",LEFT(H52,1)="R"))),"",IFERROR(VLOOKUP(MID(H52,3,1),Map!$G$2:$H$10,2,FALSE),""))</f>
        <v/>
      </c>
      <c r="Q52" t="str">
        <f>IF(A52="","",IFERROR(VLOOKUP(MID(A52,4,1),Map!$O$2:$P$10,2,FALSE),""))</f>
        <v/>
      </c>
    </row>
    <row r="53" spans="2:17" x14ac:dyDescent="0.25">
      <c r="B53" t="str">
        <f t="shared" si="0"/>
        <v/>
      </c>
      <c r="C53" t="str">
        <f t="shared" si="1"/>
        <v>**</v>
      </c>
      <c r="D53" t="str">
        <f t="shared" si="2"/>
        <v/>
      </c>
      <c r="E53" t="str">
        <f>IFERROR(VLOOKUP(MID(A53,7,2),Map!$A$2:$B$20,2,FALSE),"")</f>
        <v/>
      </c>
      <c r="F53" t="str">
        <f>IF(A53="","",IFERROR(VLOOKUP(MID(A53,9,2),Map!$R$2:$S$14,2,FALSE),""))</f>
        <v/>
      </c>
      <c r="G53" t="str">
        <f t="shared" si="3"/>
        <v/>
      </c>
      <c r="H53" t="str">
        <f t="shared" si="4"/>
        <v/>
      </c>
      <c r="I53" t="str">
        <f>IF(A53="","",IFERROR(VLOOKUP(LEFT(A53,1),Map!$D$2:$E$20,2,FALSE),""))</f>
        <v/>
      </c>
      <c r="J53" t="str">
        <f>IF(OR(H53="",NOT(OR(LEFT(H53,1)="G",LEFT(H53,1)="R"))),"",IFERROR(VLOOKUP(MID(H53,2,1),Map!$J$2:$M$10,2,FALSE),""))</f>
        <v/>
      </c>
      <c r="K53" t="str">
        <f t="shared" si="5"/>
        <v/>
      </c>
      <c r="L53" t="str">
        <f t="shared" si="6"/>
        <v/>
      </c>
      <c r="M53" t="str">
        <f t="shared" si="7"/>
        <v/>
      </c>
      <c r="N53" t="str">
        <f t="shared" si="8"/>
        <v/>
      </c>
      <c r="O53" t="str">
        <f t="shared" si="9"/>
        <v/>
      </c>
      <c r="P53" t="str">
        <f>IF(OR(H53="",NOT(OR(LEFT(H53,1)="G",LEFT(H53,1)="R"))),"",IFERROR(VLOOKUP(MID(H53,3,1),Map!$G$2:$H$10,2,FALSE),""))</f>
        <v/>
      </c>
      <c r="Q53" t="str">
        <f>IF(A53="","",IFERROR(VLOOKUP(MID(A53,4,1),Map!$O$2:$P$10,2,FALSE),""))</f>
        <v/>
      </c>
    </row>
    <row r="54" spans="2:17" x14ac:dyDescent="0.25">
      <c r="B54" t="str">
        <f t="shared" si="0"/>
        <v/>
      </c>
      <c r="C54" t="str">
        <f t="shared" si="1"/>
        <v>**</v>
      </c>
      <c r="D54" t="str">
        <f t="shared" si="2"/>
        <v/>
      </c>
      <c r="E54" t="str">
        <f>IFERROR(VLOOKUP(MID(A54,7,2),Map!$A$2:$B$20,2,FALSE),"")</f>
        <v/>
      </c>
      <c r="F54" t="str">
        <f>IF(A54="","",IFERROR(VLOOKUP(MID(A54,9,2),Map!$R$2:$S$14,2,FALSE),""))</f>
        <v/>
      </c>
      <c r="G54" t="str">
        <f t="shared" si="3"/>
        <v/>
      </c>
      <c r="H54" t="str">
        <f t="shared" si="4"/>
        <v/>
      </c>
      <c r="I54" t="str">
        <f>IF(A54="","",IFERROR(VLOOKUP(LEFT(A54,1),Map!$D$2:$E$20,2,FALSE),""))</f>
        <v/>
      </c>
      <c r="J54" t="str">
        <f>IF(OR(H54="",NOT(OR(LEFT(H54,1)="G",LEFT(H54,1)="R"))),"",IFERROR(VLOOKUP(MID(H54,2,1),Map!$J$2:$M$10,2,FALSE),""))</f>
        <v/>
      </c>
      <c r="K54" t="str">
        <f t="shared" si="5"/>
        <v/>
      </c>
      <c r="L54" t="str">
        <f t="shared" si="6"/>
        <v/>
      </c>
      <c r="M54" t="str">
        <f t="shared" si="7"/>
        <v/>
      </c>
      <c r="N54" t="str">
        <f t="shared" si="8"/>
        <v/>
      </c>
      <c r="O54" t="str">
        <f t="shared" si="9"/>
        <v/>
      </c>
      <c r="P54" t="str">
        <f>IF(OR(H54="",NOT(OR(LEFT(H54,1)="G",LEFT(H54,1)="R"))),"",IFERROR(VLOOKUP(MID(H54,3,1),Map!$G$2:$H$10,2,FALSE),""))</f>
        <v/>
      </c>
      <c r="Q54" t="str">
        <f>IF(A54="","",IFERROR(VLOOKUP(MID(A54,4,1),Map!$O$2:$P$10,2,FALSE),""))</f>
        <v/>
      </c>
    </row>
    <row r="55" spans="2:17" x14ac:dyDescent="0.25">
      <c r="B55" t="str">
        <f t="shared" si="0"/>
        <v/>
      </c>
      <c r="C55" t="str">
        <f t="shared" si="1"/>
        <v>**</v>
      </c>
      <c r="D55" t="str">
        <f t="shared" si="2"/>
        <v/>
      </c>
      <c r="E55" t="str">
        <f>IFERROR(VLOOKUP(MID(A55,7,2),Map!$A$2:$B$20,2,FALSE),"")</f>
        <v/>
      </c>
      <c r="F55" t="str">
        <f>IF(A55="","",IFERROR(VLOOKUP(MID(A55,9,2),Map!$R$2:$S$14,2,FALSE),""))</f>
        <v/>
      </c>
      <c r="G55" t="str">
        <f t="shared" si="3"/>
        <v/>
      </c>
      <c r="H55" t="str">
        <f t="shared" si="4"/>
        <v/>
      </c>
      <c r="I55" t="str">
        <f>IF(A55="","",IFERROR(VLOOKUP(LEFT(A55,1),Map!$D$2:$E$20,2,FALSE),""))</f>
        <v/>
      </c>
      <c r="J55" t="str">
        <f>IF(OR(H55="",NOT(OR(LEFT(H55,1)="G",LEFT(H55,1)="R"))),"",IFERROR(VLOOKUP(MID(H55,2,1),Map!$J$2:$M$10,2,FALSE),""))</f>
        <v/>
      </c>
      <c r="K55" t="str">
        <f t="shared" si="5"/>
        <v/>
      </c>
      <c r="L55" t="str">
        <f t="shared" si="6"/>
        <v/>
      </c>
      <c r="M55" t="str">
        <f t="shared" si="7"/>
        <v/>
      </c>
      <c r="N55" t="str">
        <f t="shared" si="8"/>
        <v/>
      </c>
      <c r="O55" t="str">
        <f t="shared" si="9"/>
        <v/>
      </c>
      <c r="P55" t="str">
        <f>IF(OR(H55="",NOT(OR(LEFT(H55,1)="G",LEFT(H55,1)="R"))),"",IFERROR(VLOOKUP(MID(H55,3,1),Map!$G$2:$H$10,2,FALSE),""))</f>
        <v/>
      </c>
      <c r="Q55" t="str">
        <f>IF(A55="","",IFERROR(VLOOKUP(MID(A55,4,1),Map!$O$2:$P$10,2,FALSE),""))</f>
        <v/>
      </c>
    </row>
    <row r="56" spans="2:17" x14ac:dyDescent="0.25">
      <c r="B56" t="str">
        <f t="shared" si="0"/>
        <v/>
      </c>
      <c r="C56" t="str">
        <f t="shared" si="1"/>
        <v>**</v>
      </c>
      <c r="D56" t="str">
        <f t="shared" si="2"/>
        <v/>
      </c>
      <c r="E56" t="str">
        <f>IFERROR(VLOOKUP(MID(A56,7,2),Map!$A$2:$B$20,2,FALSE),"")</f>
        <v/>
      </c>
      <c r="F56" t="str">
        <f>IF(A56="","",IFERROR(VLOOKUP(MID(A56,9,2),Map!$R$2:$S$14,2,FALSE),""))</f>
        <v/>
      </c>
      <c r="G56" t="str">
        <f t="shared" si="3"/>
        <v/>
      </c>
      <c r="H56" t="str">
        <f t="shared" si="4"/>
        <v/>
      </c>
      <c r="I56" t="str">
        <f>IF(A56="","",IFERROR(VLOOKUP(LEFT(A56,1),Map!$D$2:$E$20,2,FALSE),""))</f>
        <v/>
      </c>
      <c r="J56" t="str">
        <f>IF(OR(H56="",NOT(OR(LEFT(H56,1)="G",LEFT(H56,1)="R"))),"",IFERROR(VLOOKUP(MID(H56,2,1),Map!$J$2:$M$10,2,FALSE),""))</f>
        <v/>
      </c>
      <c r="K56" t="str">
        <f t="shared" si="5"/>
        <v/>
      </c>
      <c r="L56" t="str">
        <f t="shared" si="6"/>
        <v/>
      </c>
      <c r="M56" t="str">
        <f t="shared" si="7"/>
        <v/>
      </c>
      <c r="N56" t="str">
        <f t="shared" si="8"/>
        <v/>
      </c>
      <c r="O56" t="str">
        <f t="shared" si="9"/>
        <v/>
      </c>
      <c r="P56" t="str">
        <f>IF(OR(H56="",NOT(OR(LEFT(H56,1)="G",LEFT(H56,1)="R"))),"",IFERROR(VLOOKUP(MID(H56,3,1),Map!$G$2:$H$10,2,FALSE),""))</f>
        <v/>
      </c>
      <c r="Q56" t="str">
        <f>IF(A56="","",IFERROR(VLOOKUP(MID(A56,4,1),Map!$O$2:$P$10,2,FALSE),""))</f>
        <v/>
      </c>
    </row>
    <row r="57" spans="2:17" x14ac:dyDescent="0.25">
      <c r="B57" t="str">
        <f t="shared" si="0"/>
        <v/>
      </c>
      <c r="C57" t="str">
        <f t="shared" si="1"/>
        <v>**</v>
      </c>
      <c r="D57" t="str">
        <f t="shared" si="2"/>
        <v/>
      </c>
      <c r="E57" t="str">
        <f>IFERROR(VLOOKUP(MID(A57,7,2),Map!$A$2:$B$20,2,FALSE),"")</f>
        <v/>
      </c>
      <c r="F57" t="str">
        <f>IF(A57="","",IFERROR(VLOOKUP(MID(A57,9,2),Map!$R$2:$S$14,2,FALSE),""))</f>
        <v/>
      </c>
      <c r="G57" t="str">
        <f t="shared" si="3"/>
        <v/>
      </c>
      <c r="H57" t="str">
        <f t="shared" si="4"/>
        <v/>
      </c>
      <c r="I57" t="str">
        <f>IF(A57="","",IFERROR(VLOOKUP(LEFT(A57,1),Map!$D$2:$E$20,2,FALSE),""))</f>
        <v/>
      </c>
      <c r="J57" t="str">
        <f>IF(OR(H57="",NOT(OR(LEFT(H57,1)="G",LEFT(H57,1)="R"))),"",IFERROR(VLOOKUP(MID(H57,2,1),Map!$J$2:$M$10,2,FALSE),""))</f>
        <v/>
      </c>
      <c r="K57" t="str">
        <f t="shared" si="5"/>
        <v/>
      </c>
      <c r="L57" t="str">
        <f t="shared" si="6"/>
        <v/>
      </c>
      <c r="M57" t="str">
        <f t="shared" si="7"/>
        <v/>
      </c>
      <c r="N57" t="str">
        <f t="shared" si="8"/>
        <v/>
      </c>
      <c r="O57" t="str">
        <f t="shared" si="9"/>
        <v/>
      </c>
      <c r="P57" t="str">
        <f>IF(OR(H57="",NOT(OR(LEFT(H57,1)="G",LEFT(H57,1)="R"))),"",IFERROR(VLOOKUP(MID(H57,3,1),Map!$G$2:$H$10,2,FALSE),""))</f>
        <v/>
      </c>
      <c r="Q57" t="str">
        <f>IF(A57="","",IFERROR(VLOOKUP(MID(A57,4,1),Map!$O$2:$P$10,2,FALSE),""))</f>
        <v/>
      </c>
    </row>
    <row r="58" spans="2:17" x14ac:dyDescent="0.25">
      <c r="B58" t="str">
        <f t="shared" si="0"/>
        <v/>
      </c>
      <c r="C58" t="str">
        <f t="shared" si="1"/>
        <v>**</v>
      </c>
      <c r="D58" t="str">
        <f t="shared" si="2"/>
        <v/>
      </c>
      <c r="E58" t="str">
        <f>IFERROR(VLOOKUP(MID(A58,7,2),Map!$A$2:$B$20,2,FALSE),"")</f>
        <v/>
      </c>
      <c r="F58" t="str">
        <f>IF(A58="","",IFERROR(VLOOKUP(MID(A58,9,2),Map!$R$2:$S$14,2,FALSE),""))</f>
        <v/>
      </c>
      <c r="G58" t="str">
        <f t="shared" si="3"/>
        <v/>
      </c>
      <c r="H58" t="str">
        <f t="shared" si="4"/>
        <v/>
      </c>
      <c r="I58" t="str">
        <f>IF(A58="","",IFERROR(VLOOKUP(LEFT(A58,1),Map!$D$2:$E$20,2,FALSE),""))</f>
        <v/>
      </c>
      <c r="J58" t="str">
        <f>IF(OR(H58="",NOT(OR(LEFT(H58,1)="G",LEFT(H58,1)="R"))),"",IFERROR(VLOOKUP(MID(H58,2,1),Map!$J$2:$M$10,2,FALSE),""))</f>
        <v/>
      </c>
      <c r="K58" t="str">
        <f t="shared" si="5"/>
        <v/>
      </c>
      <c r="L58" t="str">
        <f t="shared" si="6"/>
        <v/>
      </c>
      <c r="M58" t="str">
        <f t="shared" si="7"/>
        <v/>
      </c>
      <c r="N58" t="str">
        <f t="shared" si="8"/>
        <v/>
      </c>
      <c r="O58" t="str">
        <f t="shared" si="9"/>
        <v/>
      </c>
      <c r="P58" t="str">
        <f>IF(OR(H58="",NOT(OR(LEFT(H58,1)="G",LEFT(H58,1)="R"))),"",IFERROR(VLOOKUP(MID(H58,3,1),Map!$G$2:$H$10,2,FALSE),""))</f>
        <v/>
      </c>
      <c r="Q58" t="str">
        <f>IF(A58="","",IFERROR(VLOOKUP(MID(A58,4,1),Map!$O$2:$P$10,2,FALSE),""))</f>
        <v/>
      </c>
    </row>
    <row r="59" spans="2:17" x14ac:dyDescent="0.25">
      <c r="B59" t="str">
        <f t="shared" si="0"/>
        <v/>
      </c>
      <c r="C59" t="str">
        <f t="shared" si="1"/>
        <v>**</v>
      </c>
      <c r="D59" t="str">
        <f t="shared" si="2"/>
        <v/>
      </c>
      <c r="E59" t="str">
        <f>IFERROR(VLOOKUP(MID(A59,7,2),Map!$A$2:$B$20,2,FALSE),"")</f>
        <v/>
      </c>
      <c r="F59" t="str">
        <f>IF(A59="","",IFERROR(VLOOKUP(MID(A59,9,2),Map!$R$2:$S$14,2,FALSE),""))</f>
        <v/>
      </c>
      <c r="G59" t="str">
        <f t="shared" si="3"/>
        <v/>
      </c>
      <c r="H59" t="str">
        <f t="shared" si="4"/>
        <v/>
      </c>
      <c r="I59" t="str">
        <f>IF(A59="","",IFERROR(VLOOKUP(LEFT(A59,1),Map!$D$2:$E$20,2,FALSE),""))</f>
        <v/>
      </c>
      <c r="J59" t="str">
        <f>IF(OR(H59="",NOT(OR(LEFT(H59,1)="G",LEFT(H59,1)="R"))),"",IFERROR(VLOOKUP(MID(H59,2,1),Map!$J$2:$M$10,2,FALSE),""))</f>
        <v/>
      </c>
      <c r="K59" t="str">
        <f t="shared" si="5"/>
        <v/>
      </c>
      <c r="L59" t="str">
        <f t="shared" si="6"/>
        <v/>
      </c>
      <c r="M59" t="str">
        <f t="shared" si="7"/>
        <v/>
      </c>
      <c r="N59" t="str">
        <f t="shared" si="8"/>
        <v/>
      </c>
      <c r="O59" t="str">
        <f t="shared" si="9"/>
        <v/>
      </c>
      <c r="P59" t="str">
        <f>IF(OR(H59="",NOT(OR(LEFT(H59,1)="G",LEFT(H59,1)="R"))),"",IFERROR(VLOOKUP(MID(H59,3,1),Map!$G$2:$H$10,2,FALSE),""))</f>
        <v/>
      </c>
      <c r="Q59" t="str">
        <f>IF(A59="","",IFERROR(VLOOKUP(MID(A59,4,1),Map!$O$2:$P$10,2,FALSE),""))</f>
        <v/>
      </c>
    </row>
    <row r="60" spans="2:17" x14ac:dyDescent="0.25">
      <c r="B60" t="str">
        <f t="shared" si="0"/>
        <v/>
      </c>
      <c r="C60" t="str">
        <f t="shared" si="1"/>
        <v>**</v>
      </c>
      <c r="D60" t="str">
        <f t="shared" si="2"/>
        <v/>
      </c>
      <c r="E60" t="str">
        <f>IFERROR(VLOOKUP(MID(A60,7,2),Map!$A$2:$B$20,2,FALSE),"")</f>
        <v/>
      </c>
      <c r="F60" t="str">
        <f>IF(A60="","",IFERROR(VLOOKUP(MID(A60,9,2),Map!$R$2:$S$14,2,FALSE),""))</f>
        <v/>
      </c>
      <c r="G60" t="str">
        <f t="shared" si="3"/>
        <v/>
      </c>
      <c r="H60" t="str">
        <f t="shared" si="4"/>
        <v/>
      </c>
      <c r="I60" t="str">
        <f>IF(A60="","",IFERROR(VLOOKUP(LEFT(A60,1),Map!$D$2:$E$20,2,FALSE),""))</f>
        <v/>
      </c>
      <c r="J60" t="str">
        <f>IF(OR(H60="",NOT(OR(LEFT(H60,1)="G",LEFT(H60,1)="R"))),"",IFERROR(VLOOKUP(MID(H60,2,1),Map!$J$2:$M$10,2,FALSE),""))</f>
        <v/>
      </c>
      <c r="K60" t="str">
        <f t="shared" si="5"/>
        <v/>
      </c>
      <c r="L60" t="str">
        <f t="shared" si="6"/>
        <v/>
      </c>
      <c r="M60" t="str">
        <f t="shared" si="7"/>
        <v/>
      </c>
      <c r="N60" t="str">
        <f t="shared" si="8"/>
        <v/>
      </c>
      <c r="O60" t="str">
        <f t="shared" si="9"/>
        <v/>
      </c>
      <c r="P60" t="str">
        <f>IF(OR(H60="",NOT(OR(LEFT(H60,1)="G",LEFT(H60,1)="R"))),"",IFERROR(VLOOKUP(MID(H60,3,1),Map!$G$2:$H$10,2,FALSE),""))</f>
        <v/>
      </c>
      <c r="Q60" t="str">
        <f>IF(A60="","",IFERROR(VLOOKUP(MID(A60,4,1),Map!$O$2:$P$10,2,FALSE),""))</f>
        <v/>
      </c>
    </row>
    <row r="61" spans="2:17" x14ac:dyDescent="0.25">
      <c r="B61" t="str">
        <f t="shared" si="0"/>
        <v/>
      </c>
      <c r="C61" t="str">
        <f t="shared" si="1"/>
        <v>**</v>
      </c>
      <c r="D61" t="str">
        <f t="shared" si="2"/>
        <v/>
      </c>
      <c r="E61" t="str">
        <f>IFERROR(VLOOKUP(MID(A61,7,2),Map!$A$2:$B$20,2,FALSE),"")</f>
        <v/>
      </c>
      <c r="F61" t="str">
        <f>IF(A61="","",IFERROR(VLOOKUP(MID(A61,9,2),Map!$R$2:$S$14,2,FALSE),""))</f>
        <v/>
      </c>
      <c r="G61" t="str">
        <f t="shared" si="3"/>
        <v/>
      </c>
      <c r="H61" t="str">
        <f t="shared" si="4"/>
        <v/>
      </c>
      <c r="I61" t="str">
        <f>IF(A61="","",IFERROR(VLOOKUP(LEFT(A61,1),Map!$D$2:$E$20,2,FALSE),""))</f>
        <v/>
      </c>
      <c r="J61" t="str">
        <f>IF(OR(H61="",NOT(OR(LEFT(H61,1)="G",LEFT(H61,1)="R"))),"",IFERROR(VLOOKUP(MID(H61,2,1),Map!$J$2:$M$10,2,FALSE),""))</f>
        <v/>
      </c>
      <c r="K61" t="str">
        <f t="shared" si="5"/>
        <v/>
      </c>
      <c r="L61" t="str">
        <f t="shared" si="6"/>
        <v/>
      </c>
      <c r="M61" t="str">
        <f t="shared" si="7"/>
        <v/>
      </c>
      <c r="N61" t="str">
        <f t="shared" si="8"/>
        <v/>
      </c>
      <c r="O61" t="str">
        <f t="shared" si="9"/>
        <v/>
      </c>
      <c r="P61" t="str">
        <f>IF(OR(H61="",NOT(OR(LEFT(H61,1)="G",LEFT(H61,1)="R"))),"",IFERROR(VLOOKUP(MID(H61,3,1),Map!$G$2:$H$10,2,FALSE),""))</f>
        <v/>
      </c>
      <c r="Q61" t="str">
        <f>IF(A61="","",IFERROR(VLOOKUP(MID(A61,4,1),Map!$O$2:$P$10,2,FALSE),""))</f>
        <v/>
      </c>
    </row>
    <row r="62" spans="2:17" x14ac:dyDescent="0.25">
      <c r="B62" t="str">
        <f t="shared" si="0"/>
        <v/>
      </c>
      <c r="C62" t="str">
        <f t="shared" si="1"/>
        <v>**</v>
      </c>
      <c r="D62" t="str">
        <f t="shared" si="2"/>
        <v/>
      </c>
      <c r="E62" t="str">
        <f>IFERROR(VLOOKUP(MID(A62,7,2),Map!$A$2:$B$20,2,FALSE),"")</f>
        <v/>
      </c>
      <c r="F62" t="str">
        <f>IF(A62="","",IFERROR(VLOOKUP(MID(A62,9,2),Map!$R$2:$S$14,2,FALSE),""))</f>
        <v/>
      </c>
      <c r="G62" t="str">
        <f t="shared" si="3"/>
        <v/>
      </c>
      <c r="H62" t="str">
        <f t="shared" si="4"/>
        <v/>
      </c>
      <c r="I62" t="str">
        <f>IF(A62="","",IFERROR(VLOOKUP(LEFT(A62,1),Map!$D$2:$E$20,2,FALSE),""))</f>
        <v/>
      </c>
      <c r="J62" t="str">
        <f>IF(OR(H62="",NOT(OR(LEFT(H62,1)="G",LEFT(H62,1)="R"))),"",IFERROR(VLOOKUP(MID(H62,2,1),Map!$J$2:$M$10,2,FALSE),""))</f>
        <v/>
      </c>
      <c r="K62" t="str">
        <f t="shared" si="5"/>
        <v/>
      </c>
      <c r="L62" t="str">
        <f t="shared" si="6"/>
        <v/>
      </c>
      <c r="M62" t="str">
        <f t="shared" si="7"/>
        <v/>
      </c>
      <c r="N62" t="str">
        <f t="shared" si="8"/>
        <v/>
      </c>
      <c r="O62" t="str">
        <f t="shared" si="9"/>
        <v/>
      </c>
      <c r="P62" t="str">
        <f>IF(OR(H62="",NOT(OR(LEFT(H62,1)="G",LEFT(H62,1)="R"))),"",IFERROR(VLOOKUP(MID(H62,3,1),Map!$G$2:$H$10,2,FALSE),""))</f>
        <v/>
      </c>
      <c r="Q62" t="str">
        <f>IF(A62="","",IFERROR(VLOOKUP(MID(A62,4,1),Map!$O$2:$P$10,2,FALSE),""))</f>
        <v/>
      </c>
    </row>
    <row r="63" spans="2:17" x14ac:dyDescent="0.25">
      <c r="B63" t="str">
        <f t="shared" si="0"/>
        <v/>
      </c>
      <c r="C63" t="str">
        <f t="shared" si="1"/>
        <v>**</v>
      </c>
      <c r="D63" t="str">
        <f t="shared" si="2"/>
        <v/>
      </c>
      <c r="E63" t="str">
        <f>IFERROR(VLOOKUP(MID(A63,7,2),Map!$A$2:$B$20,2,FALSE),"")</f>
        <v/>
      </c>
      <c r="F63" t="str">
        <f>IF(A63="","",IFERROR(VLOOKUP(MID(A63,9,2),Map!$R$2:$S$14,2,FALSE),""))</f>
        <v/>
      </c>
      <c r="G63" t="str">
        <f t="shared" si="3"/>
        <v/>
      </c>
      <c r="H63" t="str">
        <f t="shared" si="4"/>
        <v/>
      </c>
      <c r="I63" t="str">
        <f>IF(A63="","",IFERROR(VLOOKUP(LEFT(A63,1),Map!$D$2:$E$20,2,FALSE),""))</f>
        <v/>
      </c>
      <c r="J63" t="str">
        <f>IF(OR(H63="",NOT(OR(LEFT(H63,1)="G",LEFT(H63,1)="R"))),"",IFERROR(VLOOKUP(MID(H63,2,1),Map!$J$2:$M$10,2,FALSE),""))</f>
        <v/>
      </c>
      <c r="K63" t="str">
        <f t="shared" si="5"/>
        <v/>
      </c>
      <c r="L63" t="str">
        <f t="shared" si="6"/>
        <v/>
      </c>
      <c r="M63" t="str">
        <f t="shared" si="7"/>
        <v/>
      </c>
      <c r="N63" t="str">
        <f t="shared" si="8"/>
        <v/>
      </c>
      <c r="O63" t="str">
        <f t="shared" si="9"/>
        <v/>
      </c>
      <c r="P63" t="str">
        <f>IF(OR(H63="",NOT(OR(LEFT(H63,1)="G",LEFT(H63,1)="R"))),"",IFERROR(VLOOKUP(MID(H63,3,1),Map!$G$2:$H$10,2,FALSE),""))</f>
        <v/>
      </c>
      <c r="Q63" t="str">
        <f>IF(A63="","",IFERROR(VLOOKUP(MID(A63,4,1),Map!$O$2:$P$10,2,FALSE),""))</f>
        <v/>
      </c>
    </row>
    <row r="64" spans="2:17" x14ac:dyDescent="0.25">
      <c r="B64" t="str">
        <f t="shared" si="0"/>
        <v/>
      </c>
      <c r="C64" t="str">
        <f t="shared" si="1"/>
        <v>**</v>
      </c>
      <c r="D64" t="str">
        <f t="shared" si="2"/>
        <v/>
      </c>
      <c r="E64" t="str">
        <f>IFERROR(VLOOKUP(MID(A64,7,2),Map!$A$2:$B$20,2,FALSE),"")</f>
        <v/>
      </c>
      <c r="F64" t="str">
        <f>IF(A64="","",IFERROR(VLOOKUP(MID(A64,9,2),Map!$R$2:$S$14,2,FALSE),""))</f>
        <v/>
      </c>
      <c r="G64" t="str">
        <f t="shared" si="3"/>
        <v/>
      </c>
      <c r="H64" t="str">
        <f t="shared" si="4"/>
        <v/>
      </c>
      <c r="I64" t="str">
        <f>IF(A64="","",IFERROR(VLOOKUP(LEFT(A64,1),Map!$D$2:$E$20,2,FALSE),""))</f>
        <v/>
      </c>
      <c r="J64" t="str">
        <f>IF(OR(H64="",NOT(OR(LEFT(H64,1)="G",LEFT(H64,1)="R"))),"",IFERROR(VLOOKUP(MID(H64,2,1),Map!$J$2:$M$10,2,FALSE),""))</f>
        <v/>
      </c>
      <c r="K64" t="str">
        <f t="shared" si="5"/>
        <v/>
      </c>
      <c r="L64" t="str">
        <f t="shared" si="6"/>
        <v/>
      </c>
      <c r="M64" t="str">
        <f t="shared" si="7"/>
        <v/>
      </c>
      <c r="N64" t="str">
        <f t="shared" si="8"/>
        <v/>
      </c>
      <c r="O64" t="str">
        <f t="shared" si="9"/>
        <v/>
      </c>
      <c r="P64" t="str">
        <f>IF(OR(H64="",NOT(OR(LEFT(H64,1)="G",LEFT(H64,1)="R"))),"",IFERROR(VLOOKUP(MID(H64,3,1),Map!$G$2:$H$10,2,FALSE),""))</f>
        <v/>
      </c>
      <c r="Q64" t="str">
        <f>IF(A64="","",IFERROR(VLOOKUP(MID(A64,4,1),Map!$O$2:$P$10,2,FALSE),""))</f>
        <v/>
      </c>
    </row>
    <row r="65" spans="2:17" x14ac:dyDescent="0.25">
      <c r="B65" t="str">
        <f t="shared" si="0"/>
        <v/>
      </c>
      <c r="C65" t="str">
        <f t="shared" si="1"/>
        <v>**</v>
      </c>
      <c r="D65" t="str">
        <f t="shared" si="2"/>
        <v/>
      </c>
      <c r="E65" t="str">
        <f>IFERROR(VLOOKUP(MID(A65,7,2),Map!$A$2:$B$20,2,FALSE),"")</f>
        <v/>
      </c>
      <c r="F65" t="str">
        <f>IF(A65="","",IFERROR(VLOOKUP(MID(A65,9,2),Map!$R$2:$S$14,2,FALSE),""))</f>
        <v/>
      </c>
      <c r="G65" t="str">
        <f t="shared" si="3"/>
        <v/>
      </c>
      <c r="H65" t="str">
        <f t="shared" si="4"/>
        <v/>
      </c>
      <c r="I65" t="str">
        <f>IF(A65="","",IFERROR(VLOOKUP(LEFT(A65,1),Map!$D$2:$E$20,2,FALSE),""))</f>
        <v/>
      </c>
      <c r="J65" t="str">
        <f>IF(OR(H65="",NOT(OR(LEFT(H65,1)="G",LEFT(H65,1)="R"))),"",IFERROR(VLOOKUP(MID(H65,2,1),Map!$J$2:$M$10,2,FALSE),""))</f>
        <v/>
      </c>
      <c r="K65" t="str">
        <f t="shared" si="5"/>
        <v/>
      </c>
      <c r="L65" t="str">
        <f t="shared" si="6"/>
        <v/>
      </c>
      <c r="M65" t="str">
        <f t="shared" si="7"/>
        <v/>
      </c>
      <c r="N65" t="str">
        <f t="shared" si="8"/>
        <v/>
      </c>
      <c r="O65" t="str">
        <f t="shared" si="9"/>
        <v/>
      </c>
      <c r="P65" t="str">
        <f>IF(OR(H65="",NOT(OR(LEFT(H65,1)="G",LEFT(H65,1)="R"))),"",IFERROR(VLOOKUP(MID(H65,3,1),Map!$G$2:$H$10,2,FALSE),""))</f>
        <v/>
      </c>
      <c r="Q65" t="str">
        <f>IF(A65="","",IFERROR(VLOOKUP(MID(A65,4,1),Map!$O$2:$P$10,2,FALSE),""))</f>
        <v/>
      </c>
    </row>
    <row r="66" spans="2:17" x14ac:dyDescent="0.25">
      <c r="B66" t="str">
        <f t="shared" ref="B66:B129" si="10">LEFT(A66,4)</f>
        <v/>
      </c>
      <c r="C66" t="str">
        <f t="shared" ref="C66:C129" si="11">LEFT(A66,2)&amp;"**"</f>
        <v>**</v>
      </c>
      <c r="D66" t="str">
        <f t="shared" ref="D66:D129" si="12">MID(A66,5,2)</f>
        <v/>
      </c>
      <c r="E66" t="str">
        <f>IFERROR(VLOOKUP(MID(A66,7,2),Map!$A$2:$B$20,2,FALSE),"")</f>
        <v/>
      </c>
      <c r="F66" t="str">
        <f>IF(A66="","",IFERROR(VLOOKUP(MID(A66,9,2),Map!$R$2:$S$14,2,FALSE),""))</f>
        <v/>
      </c>
      <c r="G66" t="str">
        <f t="shared" ref="G66:G129" si="13">IFERROR(MID(A66,FIND("-",A66)+1,FIND("-",A66,FIND("-",A66)+1)-FIND("-",A66)-1),"")</f>
        <v/>
      </c>
      <c r="H66" t="str">
        <f t="shared" ref="H66:H129" si="14">IFERROR(RIGHT(A66,LEN(A66)-FIND("-",A66,FIND("-",A66)+1)),"")</f>
        <v/>
      </c>
      <c r="I66" t="str">
        <f>IF(A66="","",IFERROR(VLOOKUP(LEFT(A66,1),Map!$D$2:$E$20,2,FALSE),""))</f>
        <v/>
      </c>
      <c r="J66" t="str">
        <f>IF(OR(H66="",NOT(OR(LEFT(H66,1)="G",LEFT(H66,1)="R"))),"",IFERROR(VLOOKUP(MID(H66,2,1),Map!$J$2:$M$10,2,FALSE),""))</f>
        <v/>
      </c>
      <c r="K66" t="str">
        <f t="shared" ref="K66:K129" si="15">IF(OR(H66="",NOT(OR(LEFT(H66,1)="G",LEFT(H66,1)="R")),MID(H66,2,1)&lt;&gt;"A"),"","M")</f>
        <v/>
      </c>
      <c r="L66" t="str">
        <f t="shared" ref="L66:L129" si="16">IF(OR(H66="",NOT(OR(LEFT(H66,1)="G",LEFT(H66,1)="R")),MID(H66,2,1)&lt;&gt;"A"),"","K")</f>
        <v/>
      </c>
      <c r="M66" t="str">
        <f t="shared" ref="M66:M129" si="17">IF(OR(H66="",NOT(OR(LEFT(H66,1)="G",LEFT(H66,1)="R"))),"","")</f>
        <v/>
      </c>
      <c r="N66" t="str">
        <f t="shared" ref="N66:N129" si="18">IF(OR(H66="",NOT(OR(LEFT(H66,1)="G",LEFT(H66,1)="R"))),"","")</f>
        <v/>
      </c>
      <c r="O66" t="str">
        <f t="shared" ref="O66:O129" si="19">IF(OR(H66="",NOT(OR(LEFT(H66,1)="G",LEFT(H66,1)="R"))),"","")</f>
        <v/>
      </c>
      <c r="P66" t="str">
        <f>IF(OR(H66="",NOT(OR(LEFT(H66,1)="G",LEFT(H66,1)="R"))),"",IFERROR(VLOOKUP(MID(H66,3,1),Map!$G$2:$H$10,2,FALSE),""))</f>
        <v/>
      </c>
      <c r="Q66" t="str">
        <f>IF(A66="","",IFERROR(VLOOKUP(MID(A66,4,1),Map!$O$2:$P$10,2,FALSE),""))</f>
        <v/>
      </c>
    </row>
    <row r="67" spans="2:17" x14ac:dyDescent="0.25">
      <c r="B67" t="str">
        <f t="shared" si="10"/>
        <v/>
      </c>
      <c r="C67" t="str">
        <f t="shared" si="11"/>
        <v>**</v>
      </c>
      <c r="D67" t="str">
        <f t="shared" si="12"/>
        <v/>
      </c>
      <c r="E67" t="str">
        <f>IFERROR(VLOOKUP(MID(A67,7,2),Map!$A$2:$B$20,2,FALSE),"")</f>
        <v/>
      </c>
      <c r="F67" t="str">
        <f>IF(A67="","",IFERROR(VLOOKUP(MID(A67,9,2),Map!$R$2:$S$14,2,FALSE),""))</f>
        <v/>
      </c>
      <c r="G67" t="str">
        <f t="shared" si="13"/>
        <v/>
      </c>
      <c r="H67" t="str">
        <f t="shared" si="14"/>
        <v/>
      </c>
      <c r="I67" t="str">
        <f>IF(A67="","",IFERROR(VLOOKUP(LEFT(A67,1),Map!$D$2:$E$20,2,FALSE),""))</f>
        <v/>
      </c>
      <c r="J67" t="str">
        <f>IF(OR(H67="",NOT(OR(LEFT(H67,1)="G",LEFT(H67,1)="R"))),"",IFERROR(VLOOKUP(MID(H67,2,1),Map!$J$2:$M$10,2,FALSE),""))</f>
        <v/>
      </c>
      <c r="K67" t="str">
        <f t="shared" si="15"/>
        <v/>
      </c>
      <c r="L67" t="str">
        <f t="shared" si="16"/>
        <v/>
      </c>
      <c r="M67" t="str">
        <f t="shared" si="17"/>
        <v/>
      </c>
      <c r="N67" t="str">
        <f t="shared" si="18"/>
        <v/>
      </c>
      <c r="O67" t="str">
        <f t="shared" si="19"/>
        <v/>
      </c>
      <c r="P67" t="str">
        <f>IF(OR(H67="",NOT(OR(LEFT(H67,1)="G",LEFT(H67,1)="R"))),"",IFERROR(VLOOKUP(MID(H67,3,1),Map!$G$2:$H$10,2,FALSE),""))</f>
        <v/>
      </c>
      <c r="Q67" t="str">
        <f>IF(A67="","",IFERROR(VLOOKUP(MID(A67,4,1),Map!$O$2:$P$10,2,FALSE),""))</f>
        <v/>
      </c>
    </row>
    <row r="68" spans="2:17" x14ac:dyDescent="0.25">
      <c r="B68" t="str">
        <f t="shared" si="10"/>
        <v/>
      </c>
      <c r="C68" t="str">
        <f t="shared" si="11"/>
        <v>**</v>
      </c>
      <c r="D68" t="str">
        <f t="shared" si="12"/>
        <v/>
      </c>
      <c r="E68" t="str">
        <f>IFERROR(VLOOKUP(MID(A68,7,2),Map!$A$2:$B$20,2,FALSE),"")</f>
        <v/>
      </c>
      <c r="F68" t="str">
        <f>IF(A68="","",IFERROR(VLOOKUP(MID(A68,9,2),Map!$R$2:$S$14,2,FALSE),""))</f>
        <v/>
      </c>
      <c r="G68" t="str">
        <f t="shared" si="13"/>
        <v/>
      </c>
      <c r="H68" t="str">
        <f t="shared" si="14"/>
        <v/>
      </c>
      <c r="I68" t="str">
        <f>IF(A68="","",IFERROR(VLOOKUP(LEFT(A68,1),Map!$D$2:$E$20,2,FALSE),""))</f>
        <v/>
      </c>
      <c r="J68" t="str">
        <f>IF(OR(H68="",NOT(OR(LEFT(H68,1)="G",LEFT(H68,1)="R"))),"",IFERROR(VLOOKUP(MID(H68,2,1),Map!$J$2:$M$10,2,FALSE),""))</f>
        <v/>
      </c>
      <c r="K68" t="str">
        <f t="shared" si="15"/>
        <v/>
      </c>
      <c r="L68" t="str">
        <f t="shared" si="16"/>
        <v/>
      </c>
      <c r="M68" t="str">
        <f t="shared" si="17"/>
        <v/>
      </c>
      <c r="N68" t="str">
        <f t="shared" si="18"/>
        <v/>
      </c>
      <c r="O68" t="str">
        <f t="shared" si="19"/>
        <v/>
      </c>
      <c r="P68" t="str">
        <f>IF(OR(H68="",NOT(OR(LEFT(H68,1)="G",LEFT(H68,1)="R"))),"",IFERROR(VLOOKUP(MID(H68,3,1),Map!$G$2:$H$10,2,FALSE),""))</f>
        <v/>
      </c>
      <c r="Q68" t="str">
        <f>IF(A68="","",IFERROR(VLOOKUP(MID(A68,4,1),Map!$O$2:$P$10,2,FALSE),""))</f>
        <v/>
      </c>
    </row>
    <row r="69" spans="2:17" x14ac:dyDescent="0.25">
      <c r="B69" t="str">
        <f t="shared" si="10"/>
        <v/>
      </c>
      <c r="C69" t="str">
        <f t="shared" si="11"/>
        <v>**</v>
      </c>
      <c r="D69" t="str">
        <f t="shared" si="12"/>
        <v/>
      </c>
      <c r="E69" t="str">
        <f>IFERROR(VLOOKUP(MID(A69,7,2),Map!$A$2:$B$20,2,FALSE),"")</f>
        <v/>
      </c>
      <c r="F69" t="str">
        <f>IF(A69="","",IFERROR(VLOOKUP(MID(A69,9,2),Map!$R$2:$S$14,2,FALSE),""))</f>
        <v/>
      </c>
      <c r="G69" t="str">
        <f t="shared" si="13"/>
        <v/>
      </c>
      <c r="H69" t="str">
        <f t="shared" si="14"/>
        <v/>
      </c>
      <c r="I69" t="str">
        <f>IF(A69="","",IFERROR(VLOOKUP(LEFT(A69,1),Map!$D$2:$E$20,2,FALSE),""))</f>
        <v/>
      </c>
      <c r="J69" t="str">
        <f>IF(OR(H69="",NOT(OR(LEFT(H69,1)="G",LEFT(H69,1)="R"))),"",IFERROR(VLOOKUP(MID(H69,2,1),Map!$J$2:$M$10,2,FALSE),""))</f>
        <v/>
      </c>
      <c r="K69" t="str">
        <f t="shared" si="15"/>
        <v/>
      </c>
      <c r="L69" t="str">
        <f t="shared" si="16"/>
        <v/>
      </c>
      <c r="M69" t="str">
        <f t="shared" si="17"/>
        <v/>
      </c>
      <c r="N69" t="str">
        <f t="shared" si="18"/>
        <v/>
      </c>
      <c r="O69" t="str">
        <f t="shared" si="19"/>
        <v/>
      </c>
      <c r="P69" t="str">
        <f>IF(OR(H69="",NOT(OR(LEFT(H69,1)="G",LEFT(H69,1)="R"))),"",IFERROR(VLOOKUP(MID(H69,3,1),Map!$G$2:$H$10,2,FALSE),""))</f>
        <v/>
      </c>
      <c r="Q69" t="str">
        <f>IF(A69="","",IFERROR(VLOOKUP(MID(A69,4,1),Map!$O$2:$P$10,2,FALSE),""))</f>
        <v/>
      </c>
    </row>
    <row r="70" spans="2:17" x14ac:dyDescent="0.25">
      <c r="B70" t="str">
        <f t="shared" si="10"/>
        <v/>
      </c>
      <c r="C70" t="str">
        <f t="shared" si="11"/>
        <v>**</v>
      </c>
      <c r="D70" t="str">
        <f t="shared" si="12"/>
        <v/>
      </c>
      <c r="E70" t="str">
        <f>IFERROR(VLOOKUP(MID(A70,7,2),Map!$A$2:$B$20,2,FALSE),"")</f>
        <v/>
      </c>
      <c r="F70" t="str">
        <f>IF(A70="","",IFERROR(VLOOKUP(MID(A70,9,2),Map!$R$2:$S$14,2,FALSE),""))</f>
        <v/>
      </c>
      <c r="G70" t="str">
        <f t="shared" si="13"/>
        <v/>
      </c>
      <c r="H70" t="str">
        <f t="shared" si="14"/>
        <v/>
      </c>
      <c r="I70" t="str">
        <f>IF(A70="","",IFERROR(VLOOKUP(LEFT(A70,1),Map!$D$2:$E$20,2,FALSE),""))</f>
        <v/>
      </c>
      <c r="J70" t="str">
        <f>IF(OR(H70="",NOT(OR(LEFT(H70,1)="G",LEFT(H70,1)="R"))),"",IFERROR(VLOOKUP(MID(H70,2,1),Map!$J$2:$M$10,2,FALSE),""))</f>
        <v/>
      </c>
      <c r="K70" t="str">
        <f t="shared" si="15"/>
        <v/>
      </c>
      <c r="L70" t="str">
        <f t="shared" si="16"/>
        <v/>
      </c>
      <c r="M70" t="str">
        <f t="shared" si="17"/>
        <v/>
      </c>
      <c r="N70" t="str">
        <f t="shared" si="18"/>
        <v/>
      </c>
      <c r="O70" t="str">
        <f t="shared" si="19"/>
        <v/>
      </c>
      <c r="P70" t="str">
        <f>IF(OR(H70="",NOT(OR(LEFT(H70,1)="G",LEFT(H70,1)="R"))),"",IFERROR(VLOOKUP(MID(H70,3,1),Map!$G$2:$H$10,2,FALSE),""))</f>
        <v/>
      </c>
      <c r="Q70" t="str">
        <f>IF(A70="","",IFERROR(VLOOKUP(MID(A70,4,1),Map!$O$2:$P$10,2,FALSE),""))</f>
        <v/>
      </c>
    </row>
    <row r="71" spans="2:17" x14ac:dyDescent="0.25">
      <c r="B71" t="str">
        <f t="shared" si="10"/>
        <v/>
      </c>
      <c r="C71" t="str">
        <f t="shared" si="11"/>
        <v>**</v>
      </c>
      <c r="D71" t="str">
        <f t="shared" si="12"/>
        <v/>
      </c>
      <c r="E71" t="str">
        <f>IFERROR(VLOOKUP(MID(A71,7,2),Map!$A$2:$B$20,2,FALSE),"")</f>
        <v/>
      </c>
      <c r="F71" t="str">
        <f>IF(A71="","",IFERROR(VLOOKUP(MID(A71,9,2),Map!$R$2:$S$14,2,FALSE),""))</f>
        <v/>
      </c>
      <c r="G71" t="str">
        <f t="shared" si="13"/>
        <v/>
      </c>
      <c r="H71" t="str">
        <f t="shared" si="14"/>
        <v/>
      </c>
      <c r="I71" t="str">
        <f>IF(A71="","",IFERROR(VLOOKUP(LEFT(A71,1),Map!$D$2:$E$20,2,FALSE),""))</f>
        <v/>
      </c>
      <c r="J71" t="str">
        <f>IF(OR(H71="",NOT(OR(LEFT(H71,1)="G",LEFT(H71,1)="R"))),"",IFERROR(VLOOKUP(MID(H71,2,1),Map!$J$2:$M$10,2,FALSE),""))</f>
        <v/>
      </c>
      <c r="K71" t="str">
        <f t="shared" si="15"/>
        <v/>
      </c>
      <c r="L71" t="str">
        <f t="shared" si="16"/>
        <v/>
      </c>
      <c r="M71" t="str">
        <f t="shared" si="17"/>
        <v/>
      </c>
      <c r="N71" t="str">
        <f t="shared" si="18"/>
        <v/>
      </c>
      <c r="O71" t="str">
        <f t="shared" si="19"/>
        <v/>
      </c>
      <c r="P71" t="str">
        <f>IF(OR(H71="",NOT(OR(LEFT(H71,1)="G",LEFT(H71,1)="R"))),"",IFERROR(VLOOKUP(MID(H71,3,1),Map!$G$2:$H$10,2,FALSE),""))</f>
        <v/>
      </c>
      <c r="Q71" t="str">
        <f>IF(A71="","",IFERROR(VLOOKUP(MID(A71,4,1),Map!$O$2:$P$10,2,FALSE),""))</f>
        <v/>
      </c>
    </row>
    <row r="72" spans="2:17" x14ac:dyDescent="0.25">
      <c r="B72" t="str">
        <f t="shared" si="10"/>
        <v/>
      </c>
      <c r="C72" t="str">
        <f t="shared" si="11"/>
        <v>**</v>
      </c>
      <c r="D72" t="str">
        <f t="shared" si="12"/>
        <v/>
      </c>
      <c r="E72" t="str">
        <f>IFERROR(VLOOKUP(MID(A72,7,2),Map!$A$2:$B$20,2,FALSE),"")</f>
        <v/>
      </c>
      <c r="F72" t="str">
        <f>IF(A72="","",IFERROR(VLOOKUP(MID(A72,9,2),Map!$R$2:$S$14,2,FALSE),""))</f>
        <v/>
      </c>
      <c r="G72" t="str">
        <f t="shared" si="13"/>
        <v/>
      </c>
      <c r="H72" t="str">
        <f t="shared" si="14"/>
        <v/>
      </c>
      <c r="I72" t="str">
        <f>IF(A72="","",IFERROR(VLOOKUP(LEFT(A72,1),Map!$D$2:$E$20,2,FALSE),""))</f>
        <v/>
      </c>
      <c r="J72" t="str">
        <f>IF(OR(H72="",NOT(OR(LEFT(H72,1)="G",LEFT(H72,1)="R"))),"",IFERROR(VLOOKUP(MID(H72,2,1),Map!$J$2:$M$10,2,FALSE),""))</f>
        <v/>
      </c>
      <c r="K72" t="str">
        <f t="shared" si="15"/>
        <v/>
      </c>
      <c r="L72" t="str">
        <f t="shared" si="16"/>
        <v/>
      </c>
      <c r="M72" t="str">
        <f t="shared" si="17"/>
        <v/>
      </c>
      <c r="N72" t="str">
        <f t="shared" si="18"/>
        <v/>
      </c>
      <c r="O72" t="str">
        <f t="shared" si="19"/>
        <v/>
      </c>
      <c r="P72" t="str">
        <f>IF(OR(H72="",NOT(OR(LEFT(H72,1)="G",LEFT(H72,1)="R"))),"",IFERROR(VLOOKUP(MID(H72,3,1),Map!$G$2:$H$10,2,FALSE),""))</f>
        <v/>
      </c>
      <c r="Q72" t="str">
        <f>IF(A72="","",IFERROR(VLOOKUP(MID(A72,4,1),Map!$O$2:$P$10,2,FALSE),""))</f>
        <v/>
      </c>
    </row>
    <row r="73" spans="2:17" x14ac:dyDescent="0.25">
      <c r="B73" t="str">
        <f t="shared" si="10"/>
        <v/>
      </c>
      <c r="C73" t="str">
        <f t="shared" si="11"/>
        <v>**</v>
      </c>
      <c r="D73" t="str">
        <f t="shared" si="12"/>
        <v/>
      </c>
      <c r="E73" t="str">
        <f>IFERROR(VLOOKUP(MID(A73,7,2),Map!$A$2:$B$20,2,FALSE),"")</f>
        <v/>
      </c>
      <c r="F73" t="str">
        <f>IF(A73="","",IFERROR(VLOOKUP(MID(A73,9,2),Map!$R$2:$S$14,2,FALSE),""))</f>
        <v/>
      </c>
      <c r="G73" t="str">
        <f t="shared" si="13"/>
        <v/>
      </c>
      <c r="H73" t="str">
        <f t="shared" si="14"/>
        <v/>
      </c>
      <c r="I73" t="str">
        <f>IF(A73="","",IFERROR(VLOOKUP(LEFT(A73,1),Map!$D$2:$E$20,2,FALSE),""))</f>
        <v/>
      </c>
      <c r="J73" t="str">
        <f>IF(OR(H73="",NOT(OR(LEFT(H73,1)="G",LEFT(H73,1)="R"))),"",IFERROR(VLOOKUP(MID(H73,2,1),Map!$J$2:$M$10,2,FALSE),""))</f>
        <v/>
      </c>
      <c r="K73" t="str">
        <f t="shared" si="15"/>
        <v/>
      </c>
      <c r="L73" t="str">
        <f t="shared" si="16"/>
        <v/>
      </c>
      <c r="M73" t="str">
        <f t="shared" si="17"/>
        <v/>
      </c>
      <c r="N73" t="str">
        <f t="shared" si="18"/>
        <v/>
      </c>
      <c r="O73" t="str">
        <f t="shared" si="19"/>
        <v/>
      </c>
      <c r="P73" t="str">
        <f>IF(OR(H73="",NOT(OR(LEFT(H73,1)="G",LEFT(H73,1)="R"))),"",IFERROR(VLOOKUP(MID(H73,3,1),Map!$G$2:$H$10,2,FALSE),""))</f>
        <v/>
      </c>
      <c r="Q73" t="str">
        <f>IF(A73="","",IFERROR(VLOOKUP(MID(A73,4,1),Map!$O$2:$P$10,2,FALSE),""))</f>
        <v/>
      </c>
    </row>
    <row r="74" spans="2:17" x14ac:dyDescent="0.25">
      <c r="B74" t="str">
        <f t="shared" si="10"/>
        <v/>
      </c>
      <c r="C74" t="str">
        <f t="shared" si="11"/>
        <v>**</v>
      </c>
      <c r="D74" t="str">
        <f t="shared" si="12"/>
        <v/>
      </c>
      <c r="E74" t="str">
        <f>IFERROR(VLOOKUP(MID(A74,7,2),Map!$A$2:$B$20,2,FALSE),"")</f>
        <v/>
      </c>
      <c r="F74" t="str">
        <f>IF(A74="","",IFERROR(VLOOKUP(MID(A74,9,2),Map!$R$2:$S$14,2,FALSE),""))</f>
        <v/>
      </c>
      <c r="G74" t="str">
        <f t="shared" si="13"/>
        <v/>
      </c>
      <c r="H74" t="str">
        <f t="shared" si="14"/>
        <v/>
      </c>
      <c r="I74" t="str">
        <f>IF(A74="","",IFERROR(VLOOKUP(LEFT(A74,1),Map!$D$2:$E$20,2,FALSE),""))</f>
        <v/>
      </c>
      <c r="J74" t="str">
        <f>IF(OR(H74="",NOT(OR(LEFT(H74,1)="G",LEFT(H74,1)="R"))),"",IFERROR(VLOOKUP(MID(H74,2,1),Map!$J$2:$M$10,2,FALSE),""))</f>
        <v/>
      </c>
      <c r="K74" t="str">
        <f t="shared" si="15"/>
        <v/>
      </c>
      <c r="L74" t="str">
        <f t="shared" si="16"/>
        <v/>
      </c>
      <c r="M74" t="str">
        <f t="shared" si="17"/>
        <v/>
      </c>
      <c r="N74" t="str">
        <f t="shared" si="18"/>
        <v/>
      </c>
      <c r="O74" t="str">
        <f t="shared" si="19"/>
        <v/>
      </c>
      <c r="P74" t="str">
        <f>IF(OR(H74="",NOT(OR(LEFT(H74,1)="G",LEFT(H74,1)="R"))),"",IFERROR(VLOOKUP(MID(H74,3,1),Map!$G$2:$H$10,2,FALSE),""))</f>
        <v/>
      </c>
      <c r="Q74" t="str">
        <f>IF(A74="","",IFERROR(VLOOKUP(MID(A74,4,1),Map!$O$2:$P$10,2,FALSE),""))</f>
        <v/>
      </c>
    </row>
    <row r="75" spans="2:17" x14ac:dyDescent="0.25">
      <c r="B75" t="str">
        <f t="shared" si="10"/>
        <v/>
      </c>
      <c r="C75" t="str">
        <f t="shared" si="11"/>
        <v>**</v>
      </c>
      <c r="D75" t="str">
        <f t="shared" si="12"/>
        <v/>
      </c>
      <c r="E75" t="str">
        <f>IFERROR(VLOOKUP(MID(A75,7,2),Map!$A$2:$B$20,2,FALSE),"")</f>
        <v/>
      </c>
      <c r="F75" t="str">
        <f>IF(A75="","",IFERROR(VLOOKUP(MID(A75,9,2),Map!$R$2:$S$14,2,FALSE),""))</f>
        <v/>
      </c>
      <c r="G75" t="str">
        <f t="shared" si="13"/>
        <v/>
      </c>
      <c r="H75" t="str">
        <f t="shared" si="14"/>
        <v/>
      </c>
      <c r="I75" t="str">
        <f>IF(A75="","",IFERROR(VLOOKUP(LEFT(A75,1),Map!$D$2:$E$20,2,FALSE),""))</f>
        <v/>
      </c>
      <c r="J75" t="str">
        <f>IF(OR(H75="",NOT(OR(LEFT(H75,1)="G",LEFT(H75,1)="R"))),"",IFERROR(VLOOKUP(MID(H75,2,1),Map!$J$2:$M$10,2,FALSE),""))</f>
        <v/>
      </c>
      <c r="K75" t="str">
        <f t="shared" si="15"/>
        <v/>
      </c>
      <c r="L75" t="str">
        <f t="shared" si="16"/>
        <v/>
      </c>
      <c r="M75" t="str">
        <f t="shared" si="17"/>
        <v/>
      </c>
      <c r="N75" t="str">
        <f t="shared" si="18"/>
        <v/>
      </c>
      <c r="O75" t="str">
        <f t="shared" si="19"/>
        <v/>
      </c>
      <c r="P75" t="str">
        <f>IF(OR(H75="",NOT(OR(LEFT(H75,1)="G",LEFT(H75,1)="R"))),"",IFERROR(VLOOKUP(MID(H75,3,1),Map!$G$2:$H$10,2,FALSE),""))</f>
        <v/>
      </c>
      <c r="Q75" t="str">
        <f>IF(A75="","",IFERROR(VLOOKUP(MID(A75,4,1),Map!$O$2:$P$10,2,FALSE),""))</f>
        <v/>
      </c>
    </row>
    <row r="76" spans="2:17" x14ac:dyDescent="0.25">
      <c r="B76" t="str">
        <f t="shared" si="10"/>
        <v/>
      </c>
      <c r="C76" t="str">
        <f t="shared" si="11"/>
        <v>**</v>
      </c>
      <c r="D76" t="str">
        <f t="shared" si="12"/>
        <v/>
      </c>
      <c r="E76" t="str">
        <f>IFERROR(VLOOKUP(MID(A76,7,2),Map!$A$2:$B$20,2,FALSE),"")</f>
        <v/>
      </c>
      <c r="F76" t="str">
        <f>IF(A76="","",IFERROR(VLOOKUP(MID(A76,9,2),Map!$R$2:$S$14,2,FALSE),""))</f>
        <v/>
      </c>
      <c r="G76" t="str">
        <f t="shared" si="13"/>
        <v/>
      </c>
      <c r="H76" t="str">
        <f t="shared" si="14"/>
        <v/>
      </c>
      <c r="I76" t="str">
        <f>IF(A76="","",IFERROR(VLOOKUP(LEFT(A76,1),Map!$D$2:$E$20,2,FALSE),""))</f>
        <v/>
      </c>
      <c r="J76" t="str">
        <f>IF(OR(H76="",NOT(OR(LEFT(H76,1)="G",LEFT(H76,1)="R"))),"",IFERROR(VLOOKUP(MID(H76,2,1),Map!$J$2:$M$10,2,FALSE),""))</f>
        <v/>
      </c>
      <c r="K76" t="str">
        <f t="shared" si="15"/>
        <v/>
      </c>
      <c r="L76" t="str">
        <f t="shared" si="16"/>
        <v/>
      </c>
      <c r="M76" t="str">
        <f t="shared" si="17"/>
        <v/>
      </c>
      <c r="N76" t="str">
        <f t="shared" si="18"/>
        <v/>
      </c>
      <c r="O76" t="str">
        <f t="shared" si="19"/>
        <v/>
      </c>
      <c r="P76" t="str">
        <f>IF(OR(H76="",NOT(OR(LEFT(H76,1)="G",LEFT(H76,1)="R"))),"",IFERROR(VLOOKUP(MID(H76,3,1),Map!$G$2:$H$10,2,FALSE),""))</f>
        <v/>
      </c>
      <c r="Q76" t="str">
        <f>IF(A76="","",IFERROR(VLOOKUP(MID(A76,4,1),Map!$O$2:$P$10,2,FALSE),""))</f>
        <v/>
      </c>
    </row>
    <row r="77" spans="2:17" x14ac:dyDescent="0.25">
      <c r="B77" t="str">
        <f t="shared" si="10"/>
        <v/>
      </c>
      <c r="C77" t="str">
        <f t="shared" si="11"/>
        <v>**</v>
      </c>
      <c r="D77" t="str">
        <f t="shared" si="12"/>
        <v/>
      </c>
      <c r="E77" t="str">
        <f>IFERROR(VLOOKUP(MID(A77,7,2),Map!$A$2:$B$20,2,FALSE),"")</f>
        <v/>
      </c>
      <c r="F77" t="str">
        <f>IF(A77="","",IFERROR(VLOOKUP(MID(A77,9,2),Map!$R$2:$S$14,2,FALSE),""))</f>
        <v/>
      </c>
      <c r="G77" t="str">
        <f t="shared" si="13"/>
        <v/>
      </c>
      <c r="H77" t="str">
        <f t="shared" si="14"/>
        <v/>
      </c>
      <c r="I77" t="str">
        <f>IF(A77="","",IFERROR(VLOOKUP(LEFT(A77,1),Map!$D$2:$E$20,2,FALSE),""))</f>
        <v/>
      </c>
      <c r="J77" t="str">
        <f>IF(OR(H77="",NOT(OR(LEFT(H77,1)="G",LEFT(H77,1)="R"))),"",IFERROR(VLOOKUP(MID(H77,2,1),Map!$J$2:$M$10,2,FALSE),""))</f>
        <v/>
      </c>
      <c r="K77" t="str">
        <f t="shared" si="15"/>
        <v/>
      </c>
      <c r="L77" t="str">
        <f t="shared" si="16"/>
        <v/>
      </c>
      <c r="M77" t="str">
        <f t="shared" si="17"/>
        <v/>
      </c>
      <c r="N77" t="str">
        <f t="shared" si="18"/>
        <v/>
      </c>
      <c r="O77" t="str">
        <f t="shared" si="19"/>
        <v/>
      </c>
      <c r="P77" t="str">
        <f>IF(OR(H77="",NOT(OR(LEFT(H77,1)="G",LEFT(H77,1)="R"))),"",IFERROR(VLOOKUP(MID(H77,3,1),Map!$G$2:$H$10,2,FALSE),""))</f>
        <v/>
      </c>
      <c r="Q77" t="str">
        <f>IF(A77="","",IFERROR(VLOOKUP(MID(A77,4,1),Map!$O$2:$P$10,2,FALSE),""))</f>
        <v/>
      </c>
    </row>
    <row r="78" spans="2:17" x14ac:dyDescent="0.25">
      <c r="B78" t="str">
        <f t="shared" si="10"/>
        <v/>
      </c>
      <c r="C78" t="str">
        <f t="shared" si="11"/>
        <v>**</v>
      </c>
      <c r="D78" t="str">
        <f t="shared" si="12"/>
        <v/>
      </c>
      <c r="E78" t="str">
        <f>IFERROR(VLOOKUP(MID(A78,7,2),Map!$A$2:$B$20,2,FALSE),"")</f>
        <v/>
      </c>
      <c r="F78" t="str">
        <f>IF(A78="","",IFERROR(VLOOKUP(MID(A78,9,2),Map!$R$2:$S$14,2,FALSE),""))</f>
        <v/>
      </c>
      <c r="G78" t="str">
        <f t="shared" si="13"/>
        <v/>
      </c>
      <c r="H78" t="str">
        <f t="shared" si="14"/>
        <v/>
      </c>
      <c r="I78" t="str">
        <f>IF(A78="","",IFERROR(VLOOKUP(LEFT(A78,1),Map!$D$2:$E$20,2,FALSE),""))</f>
        <v/>
      </c>
      <c r="J78" t="str">
        <f>IF(OR(H78="",NOT(OR(LEFT(H78,1)="G",LEFT(H78,1)="R"))),"",IFERROR(VLOOKUP(MID(H78,2,1),Map!$J$2:$M$10,2,FALSE),""))</f>
        <v/>
      </c>
      <c r="K78" t="str">
        <f t="shared" si="15"/>
        <v/>
      </c>
      <c r="L78" t="str">
        <f t="shared" si="16"/>
        <v/>
      </c>
      <c r="M78" t="str">
        <f t="shared" si="17"/>
        <v/>
      </c>
      <c r="N78" t="str">
        <f t="shared" si="18"/>
        <v/>
      </c>
      <c r="O78" t="str">
        <f t="shared" si="19"/>
        <v/>
      </c>
      <c r="P78" t="str">
        <f>IF(OR(H78="",NOT(OR(LEFT(H78,1)="G",LEFT(H78,1)="R"))),"",IFERROR(VLOOKUP(MID(H78,3,1),Map!$G$2:$H$10,2,FALSE),""))</f>
        <v/>
      </c>
      <c r="Q78" t="str">
        <f>IF(A78="","",IFERROR(VLOOKUP(MID(A78,4,1),Map!$O$2:$P$10,2,FALSE),""))</f>
        <v/>
      </c>
    </row>
    <row r="79" spans="2:17" x14ac:dyDescent="0.25">
      <c r="B79" t="str">
        <f t="shared" si="10"/>
        <v/>
      </c>
      <c r="C79" t="str">
        <f t="shared" si="11"/>
        <v>**</v>
      </c>
      <c r="D79" t="str">
        <f t="shared" si="12"/>
        <v/>
      </c>
      <c r="E79" t="str">
        <f>IFERROR(VLOOKUP(MID(A79,7,2),Map!$A$2:$B$20,2,FALSE),"")</f>
        <v/>
      </c>
      <c r="F79" t="str">
        <f>IF(A79="","",IFERROR(VLOOKUP(MID(A79,9,2),Map!$R$2:$S$14,2,FALSE),""))</f>
        <v/>
      </c>
      <c r="G79" t="str">
        <f t="shared" si="13"/>
        <v/>
      </c>
      <c r="H79" t="str">
        <f t="shared" si="14"/>
        <v/>
      </c>
      <c r="I79" t="str">
        <f>IF(A79="","",IFERROR(VLOOKUP(LEFT(A79,1),Map!$D$2:$E$20,2,FALSE),""))</f>
        <v/>
      </c>
      <c r="J79" t="str">
        <f>IF(OR(H79="",NOT(OR(LEFT(H79,1)="G",LEFT(H79,1)="R"))),"",IFERROR(VLOOKUP(MID(H79,2,1),Map!$J$2:$M$10,2,FALSE),""))</f>
        <v/>
      </c>
      <c r="K79" t="str">
        <f t="shared" si="15"/>
        <v/>
      </c>
      <c r="L79" t="str">
        <f t="shared" si="16"/>
        <v/>
      </c>
      <c r="M79" t="str">
        <f t="shared" si="17"/>
        <v/>
      </c>
      <c r="N79" t="str">
        <f t="shared" si="18"/>
        <v/>
      </c>
      <c r="O79" t="str">
        <f t="shared" si="19"/>
        <v/>
      </c>
      <c r="P79" t="str">
        <f>IF(OR(H79="",NOT(OR(LEFT(H79,1)="G",LEFT(H79,1)="R"))),"",IFERROR(VLOOKUP(MID(H79,3,1),Map!$G$2:$H$10,2,FALSE),""))</f>
        <v/>
      </c>
      <c r="Q79" t="str">
        <f>IF(A79="","",IFERROR(VLOOKUP(MID(A79,4,1),Map!$O$2:$P$10,2,FALSE),""))</f>
        <v/>
      </c>
    </row>
    <row r="80" spans="2:17" x14ac:dyDescent="0.25">
      <c r="B80" t="str">
        <f t="shared" si="10"/>
        <v/>
      </c>
      <c r="C80" t="str">
        <f t="shared" si="11"/>
        <v>**</v>
      </c>
      <c r="D80" t="str">
        <f t="shared" si="12"/>
        <v/>
      </c>
      <c r="E80" t="str">
        <f>IFERROR(VLOOKUP(MID(A80,7,2),Map!$A$2:$B$20,2,FALSE),"")</f>
        <v/>
      </c>
      <c r="F80" t="str">
        <f>IF(A80="","",IFERROR(VLOOKUP(MID(A80,9,2),Map!$R$2:$S$14,2,FALSE),""))</f>
        <v/>
      </c>
      <c r="G80" t="str">
        <f t="shared" si="13"/>
        <v/>
      </c>
      <c r="H80" t="str">
        <f t="shared" si="14"/>
        <v/>
      </c>
      <c r="I80" t="str">
        <f>IF(A80="","",IFERROR(VLOOKUP(LEFT(A80,1),Map!$D$2:$E$20,2,FALSE),""))</f>
        <v/>
      </c>
      <c r="J80" t="str">
        <f>IF(OR(H80="",NOT(OR(LEFT(H80,1)="G",LEFT(H80,1)="R"))),"",IFERROR(VLOOKUP(MID(H80,2,1),Map!$J$2:$M$10,2,FALSE),""))</f>
        <v/>
      </c>
      <c r="K80" t="str">
        <f t="shared" si="15"/>
        <v/>
      </c>
      <c r="L80" t="str">
        <f t="shared" si="16"/>
        <v/>
      </c>
      <c r="M80" t="str">
        <f t="shared" si="17"/>
        <v/>
      </c>
      <c r="N80" t="str">
        <f t="shared" si="18"/>
        <v/>
      </c>
      <c r="O80" t="str">
        <f t="shared" si="19"/>
        <v/>
      </c>
      <c r="P80" t="str">
        <f>IF(OR(H80="",NOT(OR(LEFT(H80,1)="G",LEFT(H80,1)="R"))),"",IFERROR(VLOOKUP(MID(H80,3,1),Map!$G$2:$H$10,2,FALSE),""))</f>
        <v/>
      </c>
      <c r="Q80" t="str">
        <f>IF(A80="","",IFERROR(VLOOKUP(MID(A80,4,1),Map!$O$2:$P$10,2,FALSE),""))</f>
        <v/>
      </c>
    </row>
    <row r="81" spans="2:17" x14ac:dyDescent="0.25">
      <c r="B81" t="str">
        <f t="shared" si="10"/>
        <v/>
      </c>
      <c r="C81" t="str">
        <f t="shared" si="11"/>
        <v>**</v>
      </c>
      <c r="D81" t="str">
        <f t="shared" si="12"/>
        <v/>
      </c>
      <c r="E81" t="str">
        <f>IFERROR(VLOOKUP(MID(A81,7,2),Map!$A$2:$B$20,2,FALSE),"")</f>
        <v/>
      </c>
      <c r="F81" t="str">
        <f>IF(A81="","",IFERROR(VLOOKUP(MID(A81,9,2),Map!$R$2:$S$14,2,FALSE),""))</f>
        <v/>
      </c>
      <c r="G81" t="str">
        <f t="shared" si="13"/>
        <v/>
      </c>
      <c r="H81" t="str">
        <f t="shared" si="14"/>
        <v/>
      </c>
      <c r="I81" t="str">
        <f>IF(A81="","",IFERROR(VLOOKUP(LEFT(A81,1),Map!$D$2:$E$20,2,FALSE),""))</f>
        <v/>
      </c>
      <c r="J81" t="str">
        <f>IF(OR(H81="",NOT(OR(LEFT(H81,1)="G",LEFT(H81,1)="R"))),"",IFERROR(VLOOKUP(MID(H81,2,1),Map!$J$2:$M$10,2,FALSE),""))</f>
        <v/>
      </c>
      <c r="K81" t="str">
        <f t="shared" si="15"/>
        <v/>
      </c>
      <c r="L81" t="str">
        <f t="shared" si="16"/>
        <v/>
      </c>
      <c r="M81" t="str">
        <f t="shared" si="17"/>
        <v/>
      </c>
      <c r="N81" t="str">
        <f t="shared" si="18"/>
        <v/>
      </c>
      <c r="O81" t="str">
        <f t="shared" si="19"/>
        <v/>
      </c>
      <c r="P81" t="str">
        <f>IF(OR(H81="",NOT(OR(LEFT(H81,1)="G",LEFT(H81,1)="R"))),"",IFERROR(VLOOKUP(MID(H81,3,1),Map!$G$2:$H$10,2,FALSE),""))</f>
        <v/>
      </c>
      <c r="Q81" t="str">
        <f>IF(A81="","",IFERROR(VLOOKUP(MID(A81,4,1),Map!$O$2:$P$10,2,FALSE),""))</f>
        <v/>
      </c>
    </row>
    <row r="82" spans="2:17" x14ac:dyDescent="0.25">
      <c r="B82" t="str">
        <f t="shared" si="10"/>
        <v/>
      </c>
      <c r="C82" t="str">
        <f t="shared" si="11"/>
        <v>**</v>
      </c>
      <c r="D82" t="str">
        <f t="shared" si="12"/>
        <v/>
      </c>
      <c r="E82" t="str">
        <f>IFERROR(VLOOKUP(MID(A82,7,2),Map!$A$2:$B$20,2,FALSE),"")</f>
        <v/>
      </c>
      <c r="F82" t="str">
        <f>IF(A82="","",IFERROR(VLOOKUP(MID(A82,9,2),Map!$R$2:$S$14,2,FALSE),""))</f>
        <v/>
      </c>
      <c r="G82" t="str">
        <f t="shared" si="13"/>
        <v/>
      </c>
      <c r="H82" t="str">
        <f t="shared" si="14"/>
        <v/>
      </c>
      <c r="I82" t="str">
        <f>IF(A82="","",IFERROR(VLOOKUP(LEFT(A82,1),Map!$D$2:$E$20,2,FALSE),""))</f>
        <v/>
      </c>
      <c r="J82" t="str">
        <f>IF(OR(H82="",NOT(OR(LEFT(H82,1)="G",LEFT(H82,1)="R"))),"",IFERROR(VLOOKUP(MID(H82,2,1),Map!$J$2:$M$10,2,FALSE),""))</f>
        <v/>
      </c>
      <c r="K82" t="str">
        <f t="shared" si="15"/>
        <v/>
      </c>
      <c r="L82" t="str">
        <f t="shared" si="16"/>
        <v/>
      </c>
      <c r="M82" t="str">
        <f t="shared" si="17"/>
        <v/>
      </c>
      <c r="N82" t="str">
        <f t="shared" si="18"/>
        <v/>
      </c>
      <c r="O82" t="str">
        <f t="shared" si="19"/>
        <v/>
      </c>
      <c r="P82" t="str">
        <f>IF(OR(H82="",NOT(OR(LEFT(H82,1)="G",LEFT(H82,1)="R"))),"",IFERROR(VLOOKUP(MID(H82,3,1),Map!$G$2:$H$10,2,FALSE),""))</f>
        <v/>
      </c>
      <c r="Q82" t="str">
        <f>IF(A82="","",IFERROR(VLOOKUP(MID(A82,4,1),Map!$O$2:$P$10,2,FALSE),""))</f>
        <v/>
      </c>
    </row>
    <row r="83" spans="2:17" x14ac:dyDescent="0.25">
      <c r="B83" t="str">
        <f t="shared" si="10"/>
        <v/>
      </c>
      <c r="C83" t="str">
        <f t="shared" si="11"/>
        <v>**</v>
      </c>
      <c r="D83" t="str">
        <f t="shared" si="12"/>
        <v/>
      </c>
      <c r="E83" t="str">
        <f>IFERROR(VLOOKUP(MID(A83,7,2),Map!$A$2:$B$20,2,FALSE),"")</f>
        <v/>
      </c>
      <c r="F83" t="str">
        <f>IF(A83="","",IFERROR(VLOOKUP(MID(A83,9,2),Map!$R$2:$S$14,2,FALSE),""))</f>
        <v/>
      </c>
      <c r="G83" t="str">
        <f t="shared" si="13"/>
        <v/>
      </c>
      <c r="H83" t="str">
        <f t="shared" si="14"/>
        <v/>
      </c>
      <c r="I83" t="str">
        <f>IF(A83="","",IFERROR(VLOOKUP(LEFT(A83,1),Map!$D$2:$E$20,2,FALSE),""))</f>
        <v/>
      </c>
      <c r="J83" t="str">
        <f>IF(OR(H83="",NOT(OR(LEFT(H83,1)="G",LEFT(H83,1)="R"))),"",IFERROR(VLOOKUP(MID(H83,2,1),Map!$J$2:$M$10,2,FALSE),""))</f>
        <v/>
      </c>
      <c r="K83" t="str">
        <f t="shared" si="15"/>
        <v/>
      </c>
      <c r="L83" t="str">
        <f t="shared" si="16"/>
        <v/>
      </c>
      <c r="M83" t="str">
        <f t="shared" si="17"/>
        <v/>
      </c>
      <c r="N83" t="str">
        <f t="shared" si="18"/>
        <v/>
      </c>
      <c r="O83" t="str">
        <f t="shared" si="19"/>
        <v/>
      </c>
      <c r="P83" t="str">
        <f>IF(OR(H83="",NOT(OR(LEFT(H83,1)="G",LEFT(H83,1)="R"))),"",IFERROR(VLOOKUP(MID(H83,3,1),Map!$G$2:$H$10,2,FALSE),""))</f>
        <v/>
      </c>
      <c r="Q83" t="str">
        <f>IF(A83="","",IFERROR(VLOOKUP(MID(A83,4,1),Map!$O$2:$P$10,2,FALSE),""))</f>
        <v/>
      </c>
    </row>
    <row r="84" spans="2:17" x14ac:dyDescent="0.25">
      <c r="B84" t="str">
        <f t="shared" si="10"/>
        <v/>
      </c>
      <c r="C84" t="str">
        <f t="shared" si="11"/>
        <v>**</v>
      </c>
      <c r="D84" t="str">
        <f t="shared" si="12"/>
        <v/>
      </c>
      <c r="E84" t="str">
        <f>IFERROR(VLOOKUP(MID(A84,7,2),Map!$A$2:$B$20,2,FALSE),"")</f>
        <v/>
      </c>
      <c r="F84" t="str">
        <f>IF(A84="","",IFERROR(VLOOKUP(MID(A84,9,2),Map!$R$2:$S$14,2,FALSE),""))</f>
        <v/>
      </c>
      <c r="G84" t="str">
        <f t="shared" si="13"/>
        <v/>
      </c>
      <c r="H84" t="str">
        <f t="shared" si="14"/>
        <v/>
      </c>
      <c r="I84" t="str">
        <f>IF(A84="","",IFERROR(VLOOKUP(LEFT(A84,1),Map!$D$2:$E$20,2,FALSE),""))</f>
        <v/>
      </c>
      <c r="J84" t="str">
        <f>IF(OR(H84="",NOT(OR(LEFT(H84,1)="G",LEFT(H84,1)="R"))),"",IFERROR(VLOOKUP(MID(H84,2,1),Map!$J$2:$M$10,2,FALSE),""))</f>
        <v/>
      </c>
      <c r="K84" t="str">
        <f t="shared" si="15"/>
        <v/>
      </c>
      <c r="L84" t="str">
        <f t="shared" si="16"/>
        <v/>
      </c>
      <c r="M84" t="str">
        <f t="shared" si="17"/>
        <v/>
      </c>
      <c r="N84" t="str">
        <f t="shared" si="18"/>
        <v/>
      </c>
      <c r="O84" t="str">
        <f t="shared" si="19"/>
        <v/>
      </c>
      <c r="P84" t="str">
        <f>IF(OR(H84="",NOT(OR(LEFT(H84,1)="G",LEFT(H84,1)="R"))),"",IFERROR(VLOOKUP(MID(H84,3,1),Map!$G$2:$H$10,2,FALSE),""))</f>
        <v/>
      </c>
      <c r="Q84" t="str">
        <f>IF(A84="","",IFERROR(VLOOKUP(MID(A84,4,1),Map!$O$2:$P$10,2,FALSE),""))</f>
        <v/>
      </c>
    </row>
    <row r="85" spans="2:17" x14ac:dyDescent="0.25">
      <c r="B85" t="str">
        <f t="shared" si="10"/>
        <v/>
      </c>
      <c r="C85" t="str">
        <f t="shared" si="11"/>
        <v>**</v>
      </c>
      <c r="D85" t="str">
        <f t="shared" si="12"/>
        <v/>
      </c>
      <c r="E85" t="str">
        <f>IFERROR(VLOOKUP(MID(A85,7,2),Map!$A$2:$B$20,2,FALSE),"")</f>
        <v/>
      </c>
      <c r="F85" t="str">
        <f>IF(A85="","",IFERROR(VLOOKUP(MID(A85,9,2),Map!$R$2:$S$14,2,FALSE),""))</f>
        <v/>
      </c>
      <c r="G85" t="str">
        <f t="shared" si="13"/>
        <v/>
      </c>
      <c r="H85" t="str">
        <f t="shared" si="14"/>
        <v/>
      </c>
      <c r="I85" t="str">
        <f>IF(A85="","",IFERROR(VLOOKUP(LEFT(A85,1),Map!$D$2:$E$20,2,FALSE),""))</f>
        <v/>
      </c>
      <c r="J85" t="str">
        <f>IF(OR(H85="",NOT(OR(LEFT(H85,1)="G",LEFT(H85,1)="R"))),"",IFERROR(VLOOKUP(MID(H85,2,1),Map!$J$2:$M$10,2,FALSE),""))</f>
        <v/>
      </c>
      <c r="K85" t="str">
        <f t="shared" si="15"/>
        <v/>
      </c>
      <c r="L85" t="str">
        <f t="shared" si="16"/>
        <v/>
      </c>
      <c r="M85" t="str">
        <f t="shared" si="17"/>
        <v/>
      </c>
      <c r="N85" t="str">
        <f t="shared" si="18"/>
        <v/>
      </c>
      <c r="O85" t="str">
        <f t="shared" si="19"/>
        <v/>
      </c>
      <c r="P85" t="str">
        <f>IF(OR(H85="",NOT(OR(LEFT(H85,1)="G",LEFT(H85,1)="R"))),"",IFERROR(VLOOKUP(MID(H85,3,1),Map!$G$2:$H$10,2,FALSE),""))</f>
        <v/>
      </c>
      <c r="Q85" t="str">
        <f>IF(A85="","",IFERROR(VLOOKUP(MID(A85,4,1),Map!$O$2:$P$10,2,FALSE),""))</f>
        <v/>
      </c>
    </row>
    <row r="86" spans="2:17" x14ac:dyDescent="0.25">
      <c r="B86" t="str">
        <f t="shared" si="10"/>
        <v/>
      </c>
      <c r="C86" t="str">
        <f t="shared" si="11"/>
        <v>**</v>
      </c>
      <c r="D86" t="str">
        <f t="shared" si="12"/>
        <v/>
      </c>
      <c r="E86" t="str">
        <f>IFERROR(VLOOKUP(MID(A86,7,2),Map!$A$2:$B$20,2,FALSE),"")</f>
        <v/>
      </c>
      <c r="F86" t="str">
        <f>IF(A86="","",IFERROR(VLOOKUP(MID(A86,9,2),Map!$R$2:$S$14,2,FALSE),""))</f>
        <v/>
      </c>
      <c r="G86" t="str">
        <f t="shared" si="13"/>
        <v/>
      </c>
      <c r="H86" t="str">
        <f t="shared" si="14"/>
        <v/>
      </c>
      <c r="I86" t="str">
        <f>IF(A86="","",IFERROR(VLOOKUP(LEFT(A86,1),Map!$D$2:$E$20,2,FALSE),""))</f>
        <v/>
      </c>
      <c r="J86" t="str">
        <f>IF(OR(H86="",NOT(OR(LEFT(H86,1)="G",LEFT(H86,1)="R"))),"",IFERROR(VLOOKUP(MID(H86,2,1),Map!$J$2:$M$10,2,FALSE),""))</f>
        <v/>
      </c>
      <c r="K86" t="str">
        <f t="shared" si="15"/>
        <v/>
      </c>
      <c r="L86" t="str">
        <f t="shared" si="16"/>
        <v/>
      </c>
      <c r="M86" t="str">
        <f t="shared" si="17"/>
        <v/>
      </c>
      <c r="N86" t="str">
        <f t="shared" si="18"/>
        <v/>
      </c>
      <c r="O86" t="str">
        <f t="shared" si="19"/>
        <v/>
      </c>
      <c r="P86" t="str">
        <f>IF(OR(H86="",NOT(OR(LEFT(H86,1)="G",LEFT(H86,1)="R"))),"",IFERROR(VLOOKUP(MID(H86,3,1),Map!$G$2:$H$10,2,FALSE),""))</f>
        <v/>
      </c>
      <c r="Q86" t="str">
        <f>IF(A86="","",IFERROR(VLOOKUP(MID(A86,4,1),Map!$O$2:$P$10,2,FALSE),""))</f>
        <v/>
      </c>
    </row>
    <row r="87" spans="2:17" x14ac:dyDescent="0.25">
      <c r="B87" t="str">
        <f t="shared" si="10"/>
        <v/>
      </c>
      <c r="C87" t="str">
        <f t="shared" si="11"/>
        <v>**</v>
      </c>
      <c r="D87" t="str">
        <f t="shared" si="12"/>
        <v/>
      </c>
      <c r="E87" t="str">
        <f>IFERROR(VLOOKUP(MID(A87,7,2),Map!$A$2:$B$20,2,FALSE),"")</f>
        <v/>
      </c>
      <c r="F87" t="str">
        <f>IF(A87="","",IFERROR(VLOOKUP(MID(A87,9,2),Map!$R$2:$S$14,2,FALSE),""))</f>
        <v/>
      </c>
      <c r="G87" t="str">
        <f t="shared" si="13"/>
        <v/>
      </c>
      <c r="H87" t="str">
        <f t="shared" si="14"/>
        <v/>
      </c>
      <c r="I87" t="str">
        <f>IF(A87="","",IFERROR(VLOOKUP(LEFT(A87,1),Map!$D$2:$E$20,2,FALSE),""))</f>
        <v/>
      </c>
      <c r="J87" t="str">
        <f>IF(OR(H87="",NOT(OR(LEFT(H87,1)="G",LEFT(H87,1)="R"))),"",IFERROR(VLOOKUP(MID(H87,2,1),Map!$J$2:$M$10,2,FALSE),""))</f>
        <v/>
      </c>
      <c r="K87" t="str">
        <f t="shared" si="15"/>
        <v/>
      </c>
      <c r="L87" t="str">
        <f t="shared" si="16"/>
        <v/>
      </c>
      <c r="M87" t="str">
        <f t="shared" si="17"/>
        <v/>
      </c>
      <c r="N87" t="str">
        <f t="shared" si="18"/>
        <v/>
      </c>
      <c r="O87" t="str">
        <f t="shared" si="19"/>
        <v/>
      </c>
      <c r="P87" t="str">
        <f>IF(OR(H87="",NOT(OR(LEFT(H87,1)="G",LEFT(H87,1)="R"))),"",IFERROR(VLOOKUP(MID(H87,3,1),Map!$G$2:$H$10,2,FALSE),""))</f>
        <v/>
      </c>
      <c r="Q87" t="str">
        <f>IF(A87="","",IFERROR(VLOOKUP(MID(A87,4,1),Map!$O$2:$P$10,2,FALSE),""))</f>
        <v/>
      </c>
    </row>
    <row r="88" spans="2:17" x14ac:dyDescent="0.25">
      <c r="B88" t="str">
        <f t="shared" si="10"/>
        <v/>
      </c>
      <c r="C88" t="str">
        <f t="shared" si="11"/>
        <v>**</v>
      </c>
      <c r="D88" t="str">
        <f t="shared" si="12"/>
        <v/>
      </c>
      <c r="E88" t="str">
        <f>IFERROR(VLOOKUP(MID(A88,7,2),Map!$A$2:$B$20,2,FALSE),"")</f>
        <v/>
      </c>
      <c r="F88" t="str">
        <f>IF(A88="","",IFERROR(VLOOKUP(MID(A88,9,2),Map!$R$2:$S$14,2,FALSE),""))</f>
        <v/>
      </c>
      <c r="G88" t="str">
        <f t="shared" si="13"/>
        <v/>
      </c>
      <c r="H88" t="str">
        <f t="shared" si="14"/>
        <v/>
      </c>
      <c r="I88" t="str">
        <f>IF(A88="","",IFERROR(VLOOKUP(LEFT(A88,1),Map!$D$2:$E$20,2,FALSE),""))</f>
        <v/>
      </c>
      <c r="J88" t="str">
        <f>IF(OR(H88="",NOT(OR(LEFT(H88,1)="G",LEFT(H88,1)="R"))),"",IFERROR(VLOOKUP(MID(H88,2,1),Map!$J$2:$M$10,2,FALSE),""))</f>
        <v/>
      </c>
      <c r="K88" t="str">
        <f t="shared" si="15"/>
        <v/>
      </c>
      <c r="L88" t="str">
        <f t="shared" si="16"/>
        <v/>
      </c>
      <c r="M88" t="str">
        <f t="shared" si="17"/>
        <v/>
      </c>
      <c r="N88" t="str">
        <f t="shared" si="18"/>
        <v/>
      </c>
      <c r="O88" t="str">
        <f t="shared" si="19"/>
        <v/>
      </c>
      <c r="P88" t="str">
        <f>IF(OR(H88="",NOT(OR(LEFT(H88,1)="G",LEFT(H88,1)="R"))),"",IFERROR(VLOOKUP(MID(H88,3,1),Map!$G$2:$H$10,2,FALSE),""))</f>
        <v/>
      </c>
      <c r="Q88" t="str">
        <f>IF(A88="","",IFERROR(VLOOKUP(MID(A88,4,1),Map!$O$2:$P$10,2,FALSE),""))</f>
        <v/>
      </c>
    </row>
    <row r="89" spans="2:17" x14ac:dyDescent="0.25">
      <c r="B89" t="str">
        <f t="shared" si="10"/>
        <v/>
      </c>
      <c r="C89" t="str">
        <f t="shared" si="11"/>
        <v>**</v>
      </c>
      <c r="D89" t="str">
        <f t="shared" si="12"/>
        <v/>
      </c>
      <c r="E89" t="str">
        <f>IFERROR(VLOOKUP(MID(A89,7,2),Map!$A$2:$B$20,2,FALSE),"")</f>
        <v/>
      </c>
      <c r="F89" t="str">
        <f>IF(A89="","",IFERROR(VLOOKUP(MID(A89,9,2),Map!$R$2:$S$14,2,FALSE),""))</f>
        <v/>
      </c>
      <c r="G89" t="str">
        <f t="shared" si="13"/>
        <v/>
      </c>
      <c r="H89" t="str">
        <f t="shared" si="14"/>
        <v/>
      </c>
      <c r="I89" t="str">
        <f>IF(A89="","",IFERROR(VLOOKUP(LEFT(A89,1),Map!$D$2:$E$20,2,FALSE),""))</f>
        <v/>
      </c>
      <c r="J89" t="str">
        <f>IF(OR(H89="",NOT(OR(LEFT(H89,1)="G",LEFT(H89,1)="R"))),"",IFERROR(VLOOKUP(MID(H89,2,1),Map!$J$2:$M$10,2,FALSE),""))</f>
        <v/>
      </c>
      <c r="K89" t="str">
        <f t="shared" si="15"/>
        <v/>
      </c>
      <c r="L89" t="str">
        <f t="shared" si="16"/>
        <v/>
      </c>
      <c r="M89" t="str">
        <f t="shared" si="17"/>
        <v/>
      </c>
      <c r="N89" t="str">
        <f t="shared" si="18"/>
        <v/>
      </c>
      <c r="O89" t="str">
        <f t="shared" si="19"/>
        <v/>
      </c>
      <c r="P89" t="str">
        <f>IF(OR(H89="",NOT(OR(LEFT(H89,1)="G",LEFT(H89,1)="R"))),"",IFERROR(VLOOKUP(MID(H89,3,1),Map!$G$2:$H$10,2,FALSE),""))</f>
        <v/>
      </c>
      <c r="Q89" t="str">
        <f>IF(A89="","",IFERROR(VLOOKUP(MID(A89,4,1),Map!$O$2:$P$10,2,FALSE),""))</f>
        <v/>
      </c>
    </row>
    <row r="90" spans="2:17" x14ac:dyDescent="0.25">
      <c r="B90" t="str">
        <f t="shared" si="10"/>
        <v/>
      </c>
      <c r="C90" t="str">
        <f t="shared" si="11"/>
        <v>**</v>
      </c>
      <c r="D90" t="str">
        <f t="shared" si="12"/>
        <v/>
      </c>
      <c r="E90" t="str">
        <f>IFERROR(VLOOKUP(MID(A90,7,2),Map!$A$2:$B$20,2,FALSE),"")</f>
        <v/>
      </c>
      <c r="F90" t="str">
        <f>IF(A90="","",IFERROR(VLOOKUP(MID(A90,9,2),Map!$R$2:$S$14,2,FALSE),""))</f>
        <v/>
      </c>
      <c r="G90" t="str">
        <f t="shared" si="13"/>
        <v/>
      </c>
      <c r="H90" t="str">
        <f t="shared" si="14"/>
        <v/>
      </c>
      <c r="I90" t="str">
        <f>IF(A90="","",IFERROR(VLOOKUP(LEFT(A90,1),Map!$D$2:$E$20,2,FALSE),""))</f>
        <v/>
      </c>
      <c r="J90" t="str">
        <f>IF(OR(H90="",NOT(OR(LEFT(H90,1)="G",LEFT(H90,1)="R"))),"",IFERROR(VLOOKUP(MID(H90,2,1),Map!$J$2:$M$10,2,FALSE),""))</f>
        <v/>
      </c>
      <c r="K90" t="str">
        <f t="shared" si="15"/>
        <v/>
      </c>
      <c r="L90" t="str">
        <f t="shared" si="16"/>
        <v/>
      </c>
      <c r="M90" t="str">
        <f t="shared" si="17"/>
        <v/>
      </c>
      <c r="N90" t="str">
        <f t="shared" si="18"/>
        <v/>
      </c>
      <c r="O90" t="str">
        <f t="shared" si="19"/>
        <v/>
      </c>
      <c r="P90" t="str">
        <f>IF(OR(H90="",NOT(OR(LEFT(H90,1)="G",LEFT(H90,1)="R"))),"",IFERROR(VLOOKUP(MID(H90,3,1),Map!$G$2:$H$10,2,FALSE),""))</f>
        <v/>
      </c>
      <c r="Q90" t="str">
        <f>IF(A90="","",IFERROR(VLOOKUP(MID(A90,4,1),Map!$O$2:$P$10,2,FALSE),""))</f>
        <v/>
      </c>
    </row>
    <row r="91" spans="2:17" x14ac:dyDescent="0.25">
      <c r="B91" t="str">
        <f t="shared" si="10"/>
        <v/>
      </c>
      <c r="C91" t="str">
        <f t="shared" si="11"/>
        <v>**</v>
      </c>
      <c r="D91" t="str">
        <f t="shared" si="12"/>
        <v/>
      </c>
      <c r="E91" t="str">
        <f>IFERROR(VLOOKUP(MID(A91,7,2),Map!$A$2:$B$20,2,FALSE),"")</f>
        <v/>
      </c>
      <c r="F91" t="str">
        <f>IF(A91="","",IFERROR(VLOOKUP(MID(A91,9,2),Map!$R$2:$S$14,2,FALSE),""))</f>
        <v/>
      </c>
      <c r="G91" t="str">
        <f t="shared" si="13"/>
        <v/>
      </c>
      <c r="H91" t="str">
        <f t="shared" si="14"/>
        <v/>
      </c>
      <c r="I91" t="str">
        <f>IF(A91="","",IFERROR(VLOOKUP(LEFT(A91,1),Map!$D$2:$E$20,2,FALSE),""))</f>
        <v/>
      </c>
      <c r="J91" t="str">
        <f>IF(OR(H91="",NOT(OR(LEFT(H91,1)="G",LEFT(H91,1)="R"))),"",IFERROR(VLOOKUP(MID(H91,2,1),Map!$J$2:$M$10,2,FALSE),""))</f>
        <v/>
      </c>
      <c r="K91" t="str">
        <f t="shared" si="15"/>
        <v/>
      </c>
      <c r="L91" t="str">
        <f t="shared" si="16"/>
        <v/>
      </c>
      <c r="M91" t="str">
        <f t="shared" si="17"/>
        <v/>
      </c>
      <c r="N91" t="str">
        <f t="shared" si="18"/>
        <v/>
      </c>
      <c r="O91" t="str">
        <f t="shared" si="19"/>
        <v/>
      </c>
      <c r="P91" t="str">
        <f>IF(OR(H91="",NOT(OR(LEFT(H91,1)="G",LEFT(H91,1)="R"))),"",IFERROR(VLOOKUP(MID(H91,3,1),Map!$G$2:$H$10,2,FALSE),""))</f>
        <v/>
      </c>
      <c r="Q91" t="str">
        <f>IF(A91="","",IFERROR(VLOOKUP(MID(A91,4,1),Map!$O$2:$P$10,2,FALSE),""))</f>
        <v/>
      </c>
    </row>
    <row r="92" spans="2:17" x14ac:dyDescent="0.25">
      <c r="B92" t="str">
        <f t="shared" si="10"/>
        <v/>
      </c>
      <c r="C92" t="str">
        <f t="shared" si="11"/>
        <v>**</v>
      </c>
      <c r="D92" t="str">
        <f t="shared" si="12"/>
        <v/>
      </c>
      <c r="E92" t="str">
        <f>IFERROR(VLOOKUP(MID(A92,7,2),Map!$A$2:$B$20,2,FALSE),"")</f>
        <v/>
      </c>
      <c r="F92" t="str">
        <f>IF(A92="","",IFERROR(VLOOKUP(MID(A92,9,2),Map!$R$2:$S$14,2,FALSE),""))</f>
        <v/>
      </c>
      <c r="G92" t="str">
        <f t="shared" si="13"/>
        <v/>
      </c>
      <c r="H92" t="str">
        <f t="shared" si="14"/>
        <v/>
      </c>
      <c r="I92" t="str">
        <f>IF(A92="","",IFERROR(VLOOKUP(LEFT(A92,1),Map!$D$2:$E$20,2,FALSE),""))</f>
        <v/>
      </c>
      <c r="J92" t="str">
        <f>IF(OR(H92="",NOT(OR(LEFT(H92,1)="G",LEFT(H92,1)="R"))),"",IFERROR(VLOOKUP(MID(H92,2,1),Map!$J$2:$M$10,2,FALSE),""))</f>
        <v/>
      </c>
      <c r="K92" t="str">
        <f t="shared" si="15"/>
        <v/>
      </c>
      <c r="L92" t="str">
        <f t="shared" si="16"/>
        <v/>
      </c>
      <c r="M92" t="str">
        <f t="shared" si="17"/>
        <v/>
      </c>
      <c r="N92" t="str">
        <f t="shared" si="18"/>
        <v/>
      </c>
      <c r="O92" t="str">
        <f t="shared" si="19"/>
        <v/>
      </c>
      <c r="P92" t="str">
        <f>IF(OR(H92="",NOT(OR(LEFT(H92,1)="G",LEFT(H92,1)="R"))),"",IFERROR(VLOOKUP(MID(H92,3,1),Map!$G$2:$H$10,2,FALSE),""))</f>
        <v/>
      </c>
      <c r="Q92" t="str">
        <f>IF(A92="","",IFERROR(VLOOKUP(MID(A92,4,1),Map!$O$2:$P$10,2,FALSE),""))</f>
        <v/>
      </c>
    </row>
    <row r="93" spans="2:17" x14ac:dyDescent="0.25">
      <c r="B93" t="str">
        <f t="shared" si="10"/>
        <v/>
      </c>
      <c r="C93" t="str">
        <f t="shared" si="11"/>
        <v>**</v>
      </c>
      <c r="D93" t="str">
        <f t="shared" si="12"/>
        <v/>
      </c>
      <c r="E93" t="str">
        <f>IFERROR(VLOOKUP(MID(A93,7,2),Map!$A$2:$B$20,2,FALSE),"")</f>
        <v/>
      </c>
      <c r="F93" t="str">
        <f>IF(A93="","",IFERROR(VLOOKUP(MID(A93,9,2),Map!$R$2:$S$14,2,FALSE),""))</f>
        <v/>
      </c>
      <c r="G93" t="str">
        <f t="shared" si="13"/>
        <v/>
      </c>
      <c r="H93" t="str">
        <f t="shared" si="14"/>
        <v/>
      </c>
      <c r="I93" t="str">
        <f>IF(A93="","",IFERROR(VLOOKUP(LEFT(A93,1),Map!$D$2:$E$20,2,FALSE),""))</f>
        <v/>
      </c>
      <c r="J93" t="str">
        <f>IF(OR(H93="",NOT(OR(LEFT(H93,1)="G",LEFT(H93,1)="R"))),"",IFERROR(VLOOKUP(MID(H93,2,1),Map!$J$2:$M$10,2,FALSE),""))</f>
        <v/>
      </c>
      <c r="K93" t="str">
        <f t="shared" si="15"/>
        <v/>
      </c>
      <c r="L93" t="str">
        <f t="shared" si="16"/>
        <v/>
      </c>
      <c r="M93" t="str">
        <f t="shared" si="17"/>
        <v/>
      </c>
      <c r="N93" t="str">
        <f t="shared" si="18"/>
        <v/>
      </c>
      <c r="O93" t="str">
        <f t="shared" si="19"/>
        <v/>
      </c>
      <c r="P93" t="str">
        <f>IF(OR(H93="",NOT(OR(LEFT(H93,1)="G",LEFT(H93,1)="R"))),"",IFERROR(VLOOKUP(MID(H93,3,1),Map!$G$2:$H$10,2,FALSE),""))</f>
        <v/>
      </c>
      <c r="Q93" t="str">
        <f>IF(A93="","",IFERROR(VLOOKUP(MID(A93,4,1),Map!$O$2:$P$10,2,FALSE),""))</f>
        <v/>
      </c>
    </row>
    <row r="94" spans="2:17" x14ac:dyDescent="0.25">
      <c r="B94" t="str">
        <f t="shared" si="10"/>
        <v/>
      </c>
      <c r="C94" t="str">
        <f t="shared" si="11"/>
        <v>**</v>
      </c>
      <c r="D94" t="str">
        <f t="shared" si="12"/>
        <v/>
      </c>
      <c r="E94" t="str">
        <f>IFERROR(VLOOKUP(MID(A94,7,2),Map!$A$2:$B$20,2,FALSE),"")</f>
        <v/>
      </c>
      <c r="F94" t="str">
        <f>IF(A94="","",IFERROR(VLOOKUP(MID(A94,9,2),Map!$R$2:$S$14,2,FALSE),""))</f>
        <v/>
      </c>
      <c r="G94" t="str">
        <f t="shared" si="13"/>
        <v/>
      </c>
      <c r="H94" t="str">
        <f t="shared" si="14"/>
        <v/>
      </c>
      <c r="I94" t="str">
        <f>IF(A94="","",IFERROR(VLOOKUP(LEFT(A94,1),Map!$D$2:$E$20,2,FALSE),""))</f>
        <v/>
      </c>
      <c r="J94" t="str">
        <f>IF(OR(H94="",NOT(OR(LEFT(H94,1)="G",LEFT(H94,1)="R"))),"",IFERROR(VLOOKUP(MID(H94,2,1),Map!$J$2:$M$10,2,FALSE),""))</f>
        <v/>
      </c>
      <c r="K94" t="str">
        <f t="shared" si="15"/>
        <v/>
      </c>
      <c r="L94" t="str">
        <f t="shared" si="16"/>
        <v/>
      </c>
      <c r="M94" t="str">
        <f t="shared" si="17"/>
        <v/>
      </c>
      <c r="N94" t="str">
        <f t="shared" si="18"/>
        <v/>
      </c>
      <c r="O94" t="str">
        <f t="shared" si="19"/>
        <v/>
      </c>
      <c r="P94" t="str">
        <f>IF(OR(H94="",NOT(OR(LEFT(H94,1)="G",LEFT(H94,1)="R"))),"",IFERROR(VLOOKUP(MID(H94,3,1),Map!$G$2:$H$10,2,FALSE),""))</f>
        <v/>
      </c>
      <c r="Q94" t="str">
        <f>IF(A94="","",IFERROR(VLOOKUP(MID(A94,4,1),Map!$O$2:$P$10,2,FALSE),""))</f>
        <v/>
      </c>
    </row>
    <row r="95" spans="2:17" x14ac:dyDescent="0.25">
      <c r="B95" t="str">
        <f t="shared" si="10"/>
        <v/>
      </c>
      <c r="C95" t="str">
        <f t="shared" si="11"/>
        <v>**</v>
      </c>
      <c r="D95" t="str">
        <f t="shared" si="12"/>
        <v/>
      </c>
      <c r="E95" t="str">
        <f>IFERROR(VLOOKUP(MID(A95,7,2),Map!$A$2:$B$20,2,FALSE),"")</f>
        <v/>
      </c>
      <c r="F95" t="str">
        <f>IF(A95="","",IFERROR(VLOOKUP(MID(A95,9,2),Map!$R$2:$S$14,2,FALSE),""))</f>
        <v/>
      </c>
      <c r="G95" t="str">
        <f t="shared" si="13"/>
        <v/>
      </c>
      <c r="H95" t="str">
        <f t="shared" si="14"/>
        <v/>
      </c>
      <c r="I95" t="str">
        <f>IF(A95="","",IFERROR(VLOOKUP(LEFT(A95,1),Map!$D$2:$E$20,2,FALSE),""))</f>
        <v/>
      </c>
      <c r="J95" t="str">
        <f>IF(OR(H95="",NOT(OR(LEFT(H95,1)="G",LEFT(H95,1)="R"))),"",IFERROR(VLOOKUP(MID(H95,2,1),Map!$J$2:$M$10,2,FALSE),""))</f>
        <v/>
      </c>
      <c r="K95" t="str">
        <f t="shared" si="15"/>
        <v/>
      </c>
      <c r="L95" t="str">
        <f t="shared" si="16"/>
        <v/>
      </c>
      <c r="M95" t="str">
        <f t="shared" si="17"/>
        <v/>
      </c>
      <c r="N95" t="str">
        <f t="shared" si="18"/>
        <v/>
      </c>
      <c r="O95" t="str">
        <f t="shared" si="19"/>
        <v/>
      </c>
      <c r="P95" t="str">
        <f>IF(OR(H95="",NOT(OR(LEFT(H95,1)="G",LEFT(H95,1)="R"))),"",IFERROR(VLOOKUP(MID(H95,3,1),Map!$G$2:$H$10,2,FALSE),""))</f>
        <v/>
      </c>
      <c r="Q95" t="str">
        <f>IF(A95="","",IFERROR(VLOOKUP(MID(A95,4,1),Map!$O$2:$P$10,2,FALSE),""))</f>
        <v/>
      </c>
    </row>
    <row r="96" spans="2:17" x14ac:dyDescent="0.25">
      <c r="B96" t="str">
        <f t="shared" si="10"/>
        <v/>
      </c>
      <c r="C96" t="str">
        <f t="shared" si="11"/>
        <v>**</v>
      </c>
      <c r="D96" t="str">
        <f t="shared" si="12"/>
        <v/>
      </c>
      <c r="E96" t="str">
        <f>IFERROR(VLOOKUP(MID(A96,7,2),Map!$A$2:$B$20,2,FALSE),"")</f>
        <v/>
      </c>
      <c r="F96" t="str">
        <f>IF(A96="","",IFERROR(VLOOKUP(MID(A96,9,2),Map!$R$2:$S$14,2,FALSE),""))</f>
        <v/>
      </c>
      <c r="G96" t="str">
        <f t="shared" si="13"/>
        <v/>
      </c>
      <c r="H96" t="str">
        <f t="shared" si="14"/>
        <v/>
      </c>
      <c r="I96" t="str">
        <f>IF(A96="","",IFERROR(VLOOKUP(LEFT(A96,1),Map!$D$2:$E$20,2,FALSE),""))</f>
        <v/>
      </c>
      <c r="J96" t="str">
        <f>IF(OR(H96="",NOT(OR(LEFT(H96,1)="G",LEFT(H96,1)="R"))),"",IFERROR(VLOOKUP(MID(H96,2,1),Map!$J$2:$M$10,2,FALSE),""))</f>
        <v/>
      </c>
      <c r="K96" t="str">
        <f t="shared" si="15"/>
        <v/>
      </c>
      <c r="L96" t="str">
        <f t="shared" si="16"/>
        <v/>
      </c>
      <c r="M96" t="str">
        <f t="shared" si="17"/>
        <v/>
      </c>
      <c r="N96" t="str">
        <f t="shared" si="18"/>
        <v/>
      </c>
      <c r="O96" t="str">
        <f t="shared" si="19"/>
        <v/>
      </c>
      <c r="P96" t="str">
        <f>IF(OR(H96="",NOT(OR(LEFT(H96,1)="G",LEFT(H96,1)="R"))),"",IFERROR(VLOOKUP(MID(H96,3,1),Map!$G$2:$H$10,2,FALSE),""))</f>
        <v/>
      </c>
      <c r="Q96" t="str">
        <f>IF(A96="","",IFERROR(VLOOKUP(MID(A96,4,1),Map!$O$2:$P$10,2,FALSE),""))</f>
        <v/>
      </c>
    </row>
    <row r="97" spans="2:17" x14ac:dyDescent="0.25">
      <c r="B97" t="str">
        <f t="shared" si="10"/>
        <v/>
      </c>
      <c r="C97" t="str">
        <f t="shared" si="11"/>
        <v>**</v>
      </c>
      <c r="D97" t="str">
        <f t="shared" si="12"/>
        <v/>
      </c>
      <c r="E97" t="str">
        <f>IFERROR(VLOOKUP(MID(A97,7,2),Map!$A$2:$B$20,2,FALSE),"")</f>
        <v/>
      </c>
      <c r="F97" t="str">
        <f>IF(A97="","",IFERROR(VLOOKUP(MID(A97,9,2),Map!$R$2:$S$14,2,FALSE),""))</f>
        <v/>
      </c>
      <c r="G97" t="str">
        <f t="shared" si="13"/>
        <v/>
      </c>
      <c r="H97" t="str">
        <f t="shared" si="14"/>
        <v/>
      </c>
      <c r="I97" t="str">
        <f>IF(A97="","",IFERROR(VLOOKUP(LEFT(A97,1),Map!$D$2:$E$20,2,FALSE),""))</f>
        <v/>
      </c>
      <c r="J97" t="str">
        <f>IF(OR(H97="",NOT(OR(LEFT(H97,1)="G",LEFT(H97,1)="R"))),"",IFERROR(VLOOKUP(MID(H97,2,1),Map!$J$2:$M$10,2,FALSE),""))</f>
        <v/>
      </c>
      <c r="K97" t="str">
        <f t="shared" si="15"/>
        <v/>
      </c>
      <c r="L97" t="str">
        <f t="shared" si="16"/>
        <v/>
      </c>
      <c r="M97" t="str">
        <f t="shared" si="17"/>
        <v/>
      </c>
      <c r="N97" t="str">
        <f t="shared" si="18"/>
        <v/>
      </c>
      <c r="O97" t="str">
        <f t="shared" si="19"/>
        <v/>
      </c>
      <c r="P97" t="str">
        <f>IF(OR(H97="",NOT(OR(LEFT(H97,1)="G",LEFT(H97,1)="R"))),"",IFERROR(VLOOKUP(MID(H97,3,1),Map!$G$2:$H$10,2,FALSE),""))</f>
        <v/>
      </c>
      <c r="Q97" t="str">
        <f>IF(A97="","",IFERROR(VLOOKUP(MID(A97,4,1),Map!$O$2:$P$10,2,FALSE),""))</f>
        <v/>
      </c>
    </row>
    <row r="98" spans="2:17" x14ac:dyDescent="0.25">
      <c r="B98" t="str">
        <f t="shared" si="10"/>
        <v/>
      </c>
      <c r="C98" t="str">
        <f t="shared" si="11"/>
        <v>**</v>
      </c>
      <c r="D98" t="str">
        <f t="shared" si="12"/>
        <v/>
      </c>
      <c r="E98" t="str">
        <f>IFERROR(VLOOKUP(MID(A98,7,2),Map!$A$2:$B$20,2,FALSE),"")</f>
        <v/>
      </c>
      <c r="F98" t="str">
        <f>IF(A98="","",IFERROR(VLOOKUP(MID(A98,9,2),Map!$R$2:$S$14,2,FALSE),""))</f>
        <v/>
      </c>
      <c r="G98" t="str">
        <f t="shared" si="13"/>
        <v/>
      </c>
      <c r="H98" t="str">
        <f t="shared" si="14"/>
        <v/>
      </c>
      <c r="I98" t="str">
        <f>IF(A98="","",IFERROR(VLOOKUP(LEFT(A98,1),Map!$D$2:$E$20,2,FALSE),""))</f>
        <v/>
      </c>
      <c r="J98" t="str">
        <f>IF(OR(H98="",NOT(OR(LEFT(H98,1)="G",LEFT(H98,1)="R"))),"",IFERROR(VLOOKUP(MID(H98,2,1),Map!$J$2:$M$10,2,FALSE),""))</f>
        <v/>
      </c>
      <c r="K98" t="str">
        <f t="shared" si="15"/>
        <v/>
      </c>
      <c r="L98" t="str">
        <f t="shared" si="16"/>
        <v/>
      </c>
      <c r="M98" t="str">
        <f t="shared" si="17"/>
        <v/>
      </c>
      <c r="N98" t="str">
        <f t="shared" si="18"/>
        <v/>
      </c>
      <c r="O98" t="str">
        <f t="shared" si="19"/>
        <v/>
      </c>
      <c r="P98" t="str">
        <f>IF(OR(H98="",NOT(OR(LEFT(H98,1)="G",LEFT(H98,1)="R"))),"",IFERROR(VLOOKUP(MID(H98,3,1),Map!$G$2:$H$10,2,FALSE),""))</f>
        <v/>
      </c>
      <c r="Q98" t="str">
        <f>IF(A98="","",IFERROR(VLOOKUP(MID(A98,4,1),Map!$O$2:$P$10,2,FALSE),""))</f>
        <v/>
      </c>
    </row>
    <row r="99" spans="2:17" x14ac:dyDescent="0.25">
      <c r="B99" t="str">
        <f t="shared" si="10"/>
        <v/>
      </c>
      <c r="C99" t="str">
        <f t="shared" si="11"/>
        <v>**</v>
      </c>
      <c r="D99" t="str">
        <f t="shared" si="12"/>
        <v/>
      </c>
      <c r="E99" t="str">
        <f>IFERROR(VLOOKUP(MID(A99,7,2),Map!$A$2:$B$20,2,FALSE),"")</f>
        <v/>
      </c>
      <c r="F99" t="str">
        <f>IF(A99="","",IFERROR(VLOOKUP(MID(A99,9,2),Map!$R$2:$S$14,2,FALSE),""))</f>
        <v/>
      </c>
      <c r="G99" t="str">
        <f t="shared" si="13"/>
        <v/>
      </c>
      <c r="H99" t="str">
        <f t="shared" si="14"/>
        <v/>
      </c>
      <c r="I99" t="str">
        <f>IF(A99="","",IFERROR(VLOOKUP(LEFT(A99,1),Map!$D$2:$E$20,2,FALSE),""))</f>
        <v/>
      </c>
      <c r="J99" t="str">
        <f>IF(OR(H99="",NOT(OR(LEFT(H99,1)="G",LEFT(H99,1)="R"))),"",IFERROR(VLOOKUP(MID(H99,2,1),Map!$J$2:$M$10,2,FALSE),""))</f>
        <v/>
      </c>
      <c r="K99" t="str">
        <f t="shared" si="15"/>
        <v/>
      </c>
      <c r="L99" t="str">
        <f t="shared" si="16"/>
        <v/>
      </c>
      <c r="M99" t="str">
        <f t="shared" si="17"/>
        <v/>
      </c>
      <c r="N99" t="str">
        <f t="shared" si="18"/>
        <v/>
      </c>
      <c r="O99" t="str">
        <f t="shared" si="19"/>
        <v/>
      </c>
      <c r="P99" t="str">
        <f>IF(OR(H99="",NOT(OR(LEFT(H99,1)="G",LEFT(H99,1)="R"))),"",IFERROR(VLOOKUP(MID(H99,3,1),Map!$G$2:$H$10,2,FALSE),""))</f>
        <v/>
      </c>
      <c r="Q99" t="str">
        <f>IF(A99="","",IFERROR(VLOOKUP(MID(A99,4,1),Map!$O$2:$P$10,2,FALSE),""))</f>
        <v/>
      </c>
    </row>
    <row r="100" spans="2:17" x14ac:dyDescent="0.25">
      <c r="B100" t="str">
        <f t="shared" si="10"/>
        <v/>
      </c>
      <c r="C100" t="str">
        <f t="shared" si="11"/>
        <v>**</v>
      </c>
      <c r="D100" t="str">
        <f t="shared" si="12"/>
        <v/>
      </c>
      <c r="E100" t="str">
        <f>IFERROR(VLOOKUP(MID(A100,7,2),Map!$A$2:$B$20,2,FALSE),"")</f>
        <v/>
      </c>
      <c r="F100" t="str">
        <f>IF(A100="","",IFERROR(VLOOKUP(MID(A100,9,2),Map!$R$2:$S$14,2,FALSE),""))</f>
        <v/>
      </c>
      <c r="G100" t="str">
        <f t="shared" si="13"/>
        <v/>
      </c>
      <c r="H100" t="str">
        <f t="shared" si="14"/>
        <v/>
      </c>
      <c r="I100" t="str">
        <f>IF(A100="","",IFERROR(VLOOKUP(LEFT(A100,1),Map!$D$2:$E$20,2,FALSE),""))</f>
        <v/>
      </c>
      <c r="J100" t="str">
        <f>IF(OR(H100="",NOT(OR(LEFT(H100,1)="G",LEFT(H100,1)="R"))),"",IFERROR(VLOOKUP(MID(H100,2,1),Map!$J$2:$M$10,2,FALSE),""))</f>
        <v/>
      </c>
      <c r="K100" t="str">
        <f t="shared" si="15"/>
        <v/>
      </c>
      <c r="L100" t="str">
        <f t="shared" si="16"/>
        <v/>
      </c>
      <c r="M100" t="str">
        <f t="shared" si="17"/>
        <v/>
      </c>
      <c r="N100" t="str">
        <f t="shared" si="18"/>
        <v/>
      </c>
      <c r="O100" t="str">
        <f t="shared" si="19"/>
        <v/>
      </c>
      <c r="P100" t="str">
        <f>IF(OR(H100="",NOT(OR(LEFT(H100,1)="G",LEFT(H100,1)="R"))),"",IFERROR(VLOOKUP(MID(H100,3,1),Map!$G$2:$H$10,2,FALSE),""))</f>
        <v/>
      </c>
      <c r="Q100" t="str">
        <f>IF(A100="","",IFERROR(VLOOKUP(MID(A100,4,1),Map!$O$2:$P$10,2,FALSE),""))</f>
        <v/>
      </c>
    </row>
    <row r="101" spans="2:17" x14ac:dyDescent="0.25">
      <c r="B101" t="str">
        <f t="shared" si="10"/>
        <v/>
      </c>
      <c r="C101" t="str">
        <f t="shared" si="11"/>
        <v>**</v>
      </c>
      <c r="D101" t="str">
        <f t="shared" si="12"/>
        <v/>
      </c>
      <c r="E101" t="str">
        <f>IFERROR(VLOOKUP(MID(A101,7,2),Map!$A$2:$B$20,2,FALSE),"")</f>
        <v/>
      </c>
      <c r="F101" t="str">
        <f>IF(A101="","",IFERROR(VLOOKUP(MID(A101,9,2),Map!$R$2:$S$14,2,FALSE),""))</f>
        <v/>
      </c>
      <c r="G101" t="str">
        <f t="shared" si="13"/>
        <v/>
      </c>
      <c r="H101" t="str">
        <f t="shared" si="14"/>
        <v/>
      </c>
      <c r="I101" t="str">
        <f>IF(A101="","",IFERROR(VLOOKUP(LEFT(A101,1),Map!$D$2:$E$20,2,FALSE),""))</f>
        <v/>
      </c>
      <c r="J101" t="str">
        <f>IF(OR(H101="",NOT(OR(LEFT(H101,1)="G",LEFT(H101,1)="R"))),"",IFERROR(VLOOKUP(MID(H101,2,1),Map!$J$2:$M$10,2,FALSE),""))</f>
        <v/>
      </c>
      <c r="K101" t="str">
        <f t="shared" si="15"/>
        <v/>
      </c>
      <c r="L101" t="str">
        <f t="shared" si="16"/>
        <v/>
      </c>
      <c r="M101" t="str">
        <f t="shared" si="17"/>
        <v/>
      </c>
      <c r="N101" t="str">
        <f t="shared" si="18"/>
        <v/>
      </c>
      <c r="O101" t="str">
        <f t="shared" si="19"/>
        <v/>
      </c>
      <c r="P101" t="str">
        <f>IF(OR(H101="",NOT(OR(LEFT(H101,1)="G",LEFT(H101,1)="R"))),"",IFERROR(VLOOKUP(MID(H101,3,1),Map!$G$2:$H$10,2,FALSE),""))</f>
        <v/>
      </c>
      <c r="Q101" t="str">
        <f>IF(A101="","",IFERROR(VLOOKUP(MID(A101,4,1),Map!$O$2:$P$10,2,FALSE),""))</f>
        <v/>
      </c>
    </row>
    <row r="102" spans="2:17" x14ac:dyDescent="0.25">
      <c r="B102" t="str">
        <f t="shared" si="10"/>
        <v/>
      </c>
      <c r="C102" t="str">
        <f t="shared" si="11"/>
        <v>**</v>
      </c>
      <c r="D102" t="str">
        <f t="shared" si="12"/>
        <v/>
      </c>
      <c r="E102" t="str">
        <f>IFERROR(VLOOKUP(MID(A102,7,2),Map!$A$2:$B$20,2,FALSE),"")</f>
        <v/>
      </c>
      <c r="F102" t="str">
        <f>IF(A102="","",IFERROR(VLOOKUP(MID(A102,9,2),Map!$R$2:$S$14,2,FALSE),""))</f>
        <v/>
      </c>
      <c r="G102" t="str">
        <f t="shared" si="13"/>
        <v/>
      </c>
      <c r="H102" t="str">
        <f t="shared" si="14"/>
        <v/>
      </c>
      <c r="I102" t="str">
        <f>IF(A102="","",IFERROR(VLOOKUP(LEFT(A102,1),Map!$D$2:$E$20,2,FALSE),""))</f>
        <v/>
      </c>
      <c r="J102" t="str">
        <f>IF(OR(H102="",NOT(OR(LEFT(H102,1)="G",LEFT(H102,1)="R"))),"",IFERROR(VLOOKUP(MID(H102,2,1),Map!$J$2:$M$10,2,FALSE),""))</f>
        <v/>
      </c>
      <c r="K102" t="str">
        <f t="shared" si="15"/>
        <v/>
      </c>
      <c r="L102" t="str">
        <f t="shared" si="16"/>
        <v/>
      </c>
      <c r="M102" t="str">
        <f t="shared" si="17"/>
        <v/>
      </c>
      <c r="N102" t="str">
        <f t="shared" si="18"/>
        <v/>
      </c>
      <c r="O102" t="str">
        <f t="shared" si="19"/>
        <v/>
      </c>
      <c r="P102" t="str">
        <f>IF(OR(H102="",NOT(OR(LEFT(H102,1)="G",LEFT(H102,1)="R"))),"",IFERROR(VLOOKUP(MID(H102,3,1),Map!$G$2:$H$10,2,FALSE),""))</f>
        <v/>
      </c>
      <c r="Q102" t="str">
        <f>IF(A102="","",IFERROR(VLOOKUP(MID(A102,4,1),Map!$O$2:$P$10,2,FALSE),""))</f>
        <v/>
      </c>
    </row>
    <row r="103" spans="2:17" x14ac:dyDescent="0.25">
      <c r="B103" t="str">
        <f t="shared" si="10"/>
        <v/>
      </c>
      <c r="C103" t="str">
        <f t="shared" si="11"/>
        <v>**</v>
      </c>
      <c r="D103" t="str">
        <f t="shared" si="12"/>
        <v/>
      </c>
      <c r="E103" t="str">
        <f>IFERROR(VLOOKUP(MID(A103,7,2),Map!$A$2:$B$20,2,FALSE),"")</f>
        <v/>
      </c>
      <c r="F103" t="str">
        <f>IF(A103="","",IFERROR(VLOOKUP(MID(A103,9,2),Map!$R$2:$S$14,2,FALSE),""))</f>
        <v/>
      </c>
      <c r="G103" t="str">
        <f t="shared" si="13"/>
        <v/>
      </c>
      <c r="H103" t="str">
        <f t="shared" si="14"/>
        <v/>
      </c>
      <c r="I103" t="str">
        <f>IF(A103="","",IFERROR(VLOOKUP(LEFT(A103,1),Map!$D$2:$E$20,2,FALSE),""))</f>
        <v/>
      </c>
      <c r="J103" t="str">
        <f>IF(OR(H103="",NOT(OR(LEFT(H103,1)="G",LEFT(H103,1)="R"))),"",IFERROR(VLOOKUP(MID(H103,2,1),Map!$J$2:$M$10,2,FALSE),""))</f>
        <v/>
      </c>
      <c r="K103" t="str">
        <f t="shared" si="15"/>
        <v/>
      </c>
      <c r="L103" t="str">
        <f t="shared" si="16"/>
        <v/>
      </c>
      <c r="M103" t="str">
        <f t="shared" si="17"/>
        <v/>
      </c>
      <c r="N103" t="str">
        <f t="shared" si="18"/>
        <v/>
      </c>
      <c r="O103" t="str">
        <f t="shared" si="19"/>
        <v/>
      </c>
      <c r="P103" t="str">
        <f>IF(OR(H103="",NOT(OR(LEFT(H103,1)="G",LEFT(H103,1)="R"))),"",IFERROR(VLOOKUP(MID(H103,3,1),Map!$G$2:$H$10,2,FALSE),""))</f>
        <v/>
      </c>
      <c r="Q103" t="str">
        <f>IF(A103="","",IFERROR(VLOOKUP(MID(A103,4,1),Map!$O$2:$P$10,2,FALSE),""))</f>
        <v/>
      </c>
    </row>
    <row r="104" spans="2:17" x14ac:dyDescent="0.25">
      <c r="B104" t="str">
        <f t="shared" si="10"/>
        <v/>
      </c>
      <c r="C104" t="str">
        <f t="shared" si="11"/>
        <v>**</v>
      </c>
      <c r="D104" t="str">
        <f t="shared" si="12"/>
        <v/>
      </c>
      <c r="E104" t="str">
        <f>IFERROR(VLOOKUP(MID(A104,7,2),Map!$A$2:$B$20,2,FALSE),"")</f>
        <v/>
      </c>
      <c r="F104" t="str">
        <f>IF(A104="","",IFERROR(VLOOKUP(MID(A104,9,2),Map!$R$2:$S$14,2,FALSE),""))</f>
        <v/>
      </c>
      <c r="G104" t="str">
        <f t="shared" si="13"/>
        <v/>
      </c>
      <c r="H104" t="str">
        <f t="shared" si="14"/>
        <v/>
      </c>
      <c r="I104" t="str">
        <f>IF(A104="","",IFERROR(VLOOKUP(LEFT(A104,1),Map!$D$2:$E$20,2,FALSE),""))</f>
        <v/>
      </c>
      <c r="J104" t="str">
        <f>IF(OR(H104="",NOT(OR(LEFT(H104,1)="G",LEFT(H104,1)="R"))),"",IFERROR(VLOOKUP(MID(H104,2,1),Map!$J$2:$M$10,2,FALSE),""))</f>
        <v/>
      </c>
      <c r="K104" t="str">
        <f t="shared" si="15"/>
        <v/>
      </c>
      <c r="L104" t="str">
        <f t="shared" si="16"/>
        <v/>
      </c>
      <c r="M104" t="str">
        <f t="shared" si="17"/>
        <v/>
      </c>
      <c r="N104" t="str">
        <f t="shared" si="18"/>
        <v/>
      </c>
      <c r="O104" t="str">
        <f t="shared" si="19"/>
        <v/>
      </c>
      <c r="P104" t="str">
        <f>IF(OR(H104="",NOT(OR(LEFT(H104,1)="G",LEFT(H104,1)="R"))),"",IFERROR(VLOOKUP(MID(H104,3,1),Map!$G$2:$H$10,2,FALSE),""))</f>
        <v/>
      </c>
      <c r="Q104" t="str">
        <f>IF(A104="","",IFERROR(VLOOKUP(MID(A104,4,1),Map!$O$2:$P$10,2,FALSE),""))</f>
        <v/>
      </c>
    </row>
    <row r="105" spans="2:17" x14ac:dyDescent="0.25">
      <c r="B105" t="str">
        <f t="shared" si="10"/>
        <v/>
      </c>
      <c r="C105" t="str">
        <f t="shared" si="11"/>
        <v>**</v>
      </c>
      <c r="D105" t="str">
        <f t="shared" si="12"/>
        <v/>
      </c>
      <c r="E105" t="str">
        <f>IFERROR(VLOOKUP(MID(A105,7,2),Map!$A$2:$B$20,2,FALSE),"")</f>
        <v/>
      </c>
      <c r="F105" t="str">
        <f>IF(A105="","",IFERROR(VLOOKUP(MID(A105,9,2),Map!$R$2:$S$14,2,FALSE),""))</f>
        <v/>
      </c>
      <c r="G105" t="str">
        <f t="shared" si="13"/>
        <v/>
      </c>
      <c r="H105" t="str">
        <f t="shared" si="14"/>
        <v/>
      </c>
      <c r="I105" t="str">
        <f>IF(A105="","",IFERROR(VLOOKUP(LEFT(A105,1),Map!$D$2:$E$20,2,FALSE),""))</f>
        <v/>
      </c>
      <c r="J105" t="str">
        <f>IF(OR(H105="",NOT(OR(LEFT(H105,1)="G",LEFT(H105,1)="R"))),"",IFERROR(VLOOKUP(MID(H105,2,1),Map!$J$2:$M$10,2,FALSE),""))</f>
        <v/>
      </c>
      <c r="K105" t="str">
        <f t="shared" si="15"/>
        <v/>
      </c>
      <c r="L105" t="str">
        <f t="shared" si="16"/>
        <v/>
      </c>
      <c r="M105" t="str">
        <f t="shared" si="17"/>
        <v/>
      </c>
      <c r="N105" t="str">
        <f t="shared" si="18"/>
        <v/>
      </c>
      <c r="O105" t="str">
        <f t="shared" si="19"/>
        <v/>
      </c>
      <c r="P105" t="str">
        <f>IF(OR(H105="",NOT(OR(LEFT(H105,1)="G",LEFT(H105,1)="R"))),"",IFERROR(VLOOKUP(MID(H105,3,1),Map!$G$2:$H$10,2,FALSE),""))</f>
        <v/>
      </c>
      <c r="Q105" t="str">
        <f>IF(A105="","",IFERROR(VLOOKUP(MID(A105,4,1),Map!$O$2:$P$10,2,FALSE),""))</f>
        <v/>
      </c>
    </row>
    <row r="106" spans="2:17" x14ac:dyDescent="0.25">
      <c r="B106" t="str">
        <f t="shared" si="10"/>
        <v/>
      </c>
      <c r="C106" t="str">
        <f t="shared" si="11"/>
        <v>**</v>
      </c>
      <c r="D106" t="str">
        <f t="shared" si="12"/>
        <v/>
      </c>
      <c r="E106" t="str">
        <f>IFERROR(VLOOKUP(MID(A106,7,2),Map!$A$2:$B$20,2,FALSE),"")</f>
        <v/>
      </c>
      <c r="F106" t="str">
        <f>IF(A106="","",IFERROR(VLOOKUP(MID(A106,9,2),Map!$R$2:$S$14,2,FALSE),""))</f>
        <v/>
      </c>
      <c r="G106" t="str">
        <f t="shared" si="13"/>
        <v/>
      </c>
      <c r="H106" t="str">
        <f t="shared" si="14"/>
        <v/>
      </c>
      <c r="I106" t="str">
        <f>IF(A106="","",IFERROR(VLOOKUP(LEFT(A106,1),Map!$D$2:$E$20,2,FALSE),""))</f>
        <v/>
      </c>
      <c r="J106" t="str">
        <f>IF(OR(H106="",NOT(OR(LEFT(H106,1)="G",LEFT(H106,1)="R"))),"",IFERROR(VLOOKUP(MID(H106,2,1),Map!$J$2:$M$10,2,FALSE),""))</f>
        <v/>
      </c>
      <c r="K106" t="str">
        <f t="shared" si="15"/>
        <v/>
      </c>
      <c r="L106" t="str">
        <f t="shared" si="16"/>
        <v/>
      </c>
      <c r="M106" t="str">
        <f t="shared" si="17"/>
        <v/>
      </c>
      <c r="N106" t="str">
        <f t="shared" si="18"/>
        <v/>
      </c>
      <c r="O106" t="str">
        <f t="shared" si="19"/>
        <v/>
      </c>
      <c r="P106" t="str">
        <f>IF(OR(H106="",NOT(OR(LEFT(H106,1)="G",LEFT(H106,1)="R"))),"",IFERROR(VLOOKUP(MID(H106,3,1),Map!$G$2:$H$10,2,FALSE),""))</f>
        <v/>
      </c>
      <c r="Q106" t="str">
        <f>IF(A106="","",IFERROR(VLOOKUP(MID(A106,4,1),Map!$O$2:$P$10,2,FALSE),""))</f>
        <v/>
      </c>
    </row>
    <row r="107" spans="2:17" x14ac:dyDescent="0.25">
      <c r="B107" t="str">
        <f t="shared" si="10"/>
        <v/>
      </c>
      <c r="C107" t="str">
        <f t="shared" si="11"/>
        <v>**</v>
      </c>
      <c r="D107" t="str">
        <f t="shared" si="12"/>
        <v/>
      </c>
      <c r="E107" t="str">
        <f>IFERROR(VLOOKUP(MID(A107,7,2),Map!$A$2:$B$20,2,FALSE),"")</f>
        <v/>
      </c>
      <c r="F107" t="str">
        <f>IF(A107="","",IFERROR(VLOOKUP(MID(A107,9,2),Map!$R$2:$S$14,2,FALSE),""))</f>
        <v/>
      </c>
      <c r="G107" t="str">
        <f t="shared" si="13"/>
        <v/>
      </c>
      <c r="H107" t="str">
        <f t="shared" si="14"/>
        <v/>
      </c>
      <c r="I107" t="str">
        <f>IF(A107="","",IFERROR(VLOOKUP(LEFT(A107,1),Map!$D$2:$E$20,2,FALSE),""))</f>
        <v/>
      </c>
      <c r="J107" t="str">
        <f>IF(OR(H107="",NOT(OR(LEFT(H107,1)="G",LEFT(H107,1)="R"))),"",IFERROR(VLOOKUP(MID(H107,2,1),Map!$J$2:$M$10,2,FALSE),""))</f>
        <v/>
      </c>
      <c r="K107" t="str">
        <f t="shared" si="15"/>
        <v/>
      </c>
      <c r="L107" t="str">
        <f t="shared" si="16"/>
        <v/>
      </c>
      <c r="M107" t="str">
        <f t="shared" si="17"/>
        <v/>
      </c>
      <c r="N107" t="str">
        <f t="shared" si="18"/>
        <v/>
      </c>
      <c r="O107" t="str">
        <f t="shared" si="19"/>
        <v/>
      </c>
      <c r="P107" t="str">
        <f>IF(OR(H107="",NOT(OR(LEFT(H107,1)="G",LEFT(H107,1)="R"))),"",IFERROR(VLOOKUP(MID(H107,3,1),Map!$G$2:$H$10,2,FALSE),""))</f>
        <v/>
      </c>
      <c r="Q107" t="str">
        <f>IF(A107="","",IFERROR(VLOOKUP(MID(A107,4,1),Map!$O$2:$P$10,2,FALSE),""))</f>
        <v/>
      </c>
    </row>
    <row r="108" spans="2:17" x14ac:dyDescent="0.25">
      <c r="B108" t="str">
        <f t="shared" si="10"/>
        <v/>
      </c>
      <c r="C108" t="str">
        <f t="shared" si="11"/>
        <v>**</v>
      </c>
      <c r="D108" t="str">
        <f t="shared" si="12"/>
        <v/>
      </c>
      <c r="E108" t="str">
        <f>IFERROR(VLOOKUP(MID(A108,7,2),Map!$A$2:$B$20,2,FALSE),"")</f>
        <v/>
      </c>
      <c r="F108" t="str">
        <f>IF(A108="","",IFERROR(VLOOKUP(MID(A108,9,2),Map!$R$2:$S$14,2,FALSE),""))</f>
        <v/>
      </c>
      <c r="G108" t="str">
        <f t="shared" si="13"/>
        <v/>
      </c>
      <c r="H108" t="str">
        <f t="shared" si="14"/>
        <v/>
      </c>
      <c r="I108" t="str">
        <f>IF(A108="","",IFERROR(VLOOKUP(LEFT(A108,1),Map!$D$2:$E$20,2,FALSE),""))</f>
        <v/>
      </c>
      <c r="J108" t="str">
        <f>IF(OR(H108="",NOT(OR(LEFT(H108,1)="G",LEFT(H108,1)="R"))),"",IFERROR(VLOOKUP(MID(H108,2,1),Map!$J$2:$M$10,2,FALSE),""))</f>
        <v/>
      </c>
      <c r="K108" t="str">
        <f t="shared" si="15"/>
        <v/>
      </c>
      <c r="L108" t="str">
        <f t="shared" si="16"/>
        <v/>
      </c>
      <c r="M108" t="str">
        <f t="shared" si="17"/>
        <v/>
      </c>
      <c r="N108" t="str">
        <f t="shared" si="18"/>
        <v/>
      </c>
      <c r="O108" t="str">
        <f t="shared" si="19"/>
        <v/>
      </c>
      <c r="P108" t="str">
        <f>IF(OR(H108="",NOT(OR(LEFT(H108,1)="G",LEFT(H108,1)="R"))),"",IFERROR(VLOOKUP(MID(H108,3,1),Map!$G$2:$H$10,2,FALSE),""))</f>
        <v/>
      </c>
      <c r="Q108" t="str">
        <f>IF(A108="","",IFERROR(VLOOKUP(MID(A108,4,1),Map!$O$2:$P$10,2,FALSE),""))</f>
        <v/>
      </c>
    </row>
    <row r="109" spans="2:17" x14ac:dyDescent="0.25">
      <c r="B109" t="str">
        <f t="shared" si="10"/>
        <v/>
      </c>
      <c r="C109" t="str">
        <f t="shared" si="11"/>
        <v>**</v>
      </c>
      <c r="D109" t="str">
        <f t="shared" si="12"/>
        <v/>
      </c>
      <c r="E109" t="str">
        <f>IFERROR(VLOOKUP(MID(A109,7,2),Map!$A$2:$B$20,2,FALSE),"")</f>
        <v/>
      </c>
      <c r="F109" t="str">
        <f>IF(A109="","",IFERROR(VLOOKUP(MID(A109,9,2),Map!$R$2:$S$14,2,FALSE),""))</f>
        <v/>
      </c>
      <c r="G109" t="str">
        <f t="shared" si="13"/>
        <v/>
      </c>
      <c r="H109" t="str">
        <f t="shared" si="14"/>
        <v/>
      </c>
      <c r="I109" t="str">
        <f>IF(A109="","",IFERROR(VLOOKUP(LEFT(A109,1),Map!$D$2:$E$20,2,FALSE),""))</f>
        <v/>
      </c>
      <c r="J109" t="str">
        <f>IF(OR(H109="",NOT(OR(LEFT(H109,1)="G",LEFT(H109,1)="R"))),"",IFERROR(VLOOKUP(MID(H109,2,1),Map!$J$2:$M$10,2,FALSE),""))</f>
        <v/>
      </c>
      <c r="K109" t="str">
        <f t="shared" si="15"/>
        <v/>
      </c>
      <c r="L109" t="str">
        <f t="shared" si="16"/>
        <v/>
      </c>
      <c r="M109" t="str">
        <f t="shared" si="17"/>
        <v/>
      </c>
      <c r="N109" t="str">
        <f t="shared" si="18"/>
        <v/>
      </c>
      <c r="O109" t="str">
        <f t="shared" si="19"/>
        <v/>
      </c>
      <c r="P109" t="str">
        <f>IF(OR(H109="",NOT(OR(LEFT(H109,1)="G",LEFT(H109,1)="R"))),"",IFERROR(VLOOKUP(MID(H109,3,1),Map!$G$2:$H$10,2,FALSE),""))</f>
        <v/>
      </c>
      <c r="Q109" t="str">
        <f>IF(A109="","",IFERROR(VLOOKUP(MID(A109,4,1),Map!$O$2:$P$10,2,FALSE),""))</f>
        <v/>
      </c>
    </row>
    <row r="110" spans="2:17" x14ac:dyDescent="0.25">
      <c r="B110" t="str">
        <f t="shared" si="10"/>
        <v/>
      </c>
      <c r="C110" t="str">
        <f t="shared" si="11"/>
        <v>**</v>
      </c>
      <c r="D110" t="str">
        <f t="shared" si="12"/>
        <v/>
      </c>
      <c r="E110" t="str">
        <f>IFERROR(VLOOKUP(MID(A110,7,2),Map!$A$2:$B$20,2,FALSE),"")</f>
        <v/>
      </c>
      <c r="F110" t="str">
        <f>IF(A110="","",IFERROR(VLOOKUP(MID(A110,9,2),Map!$R$2:$S$14,2,FALSE),""))</f>
        <v/>
      </c>
      <c r="G110" t="str">
        <f t="shared" si="13"/>
        <v/>
      </c>
      <c r="H110" t="str">
        <f t="shared" si="14"/>
        <v/>
      </c>
      <c r="I110" t="str">
        <f>IF(A110="","",IFERROR(VLOOKUP(LEFT(A110,1),Map!$D$2:$E$20,2,FALSE),""))</f>
        <v/>
      </c>
      <c r="J110" t="str">
        <f>IF(OR(H110="",NOT(OR(LEFT(H110,1)="G",LEFT(H110,1)="R"))),"",IFERROR(VLOOKUP(MID(H110,2,1),Map!$J$2:$M$10,2,FALSE),""))</f>
        <v/>
      </c>
      <c r="K110" t="str">
        <f t="shared" si="15"/>
        <v/>
      </c>
      <c r="L110" t="str">
        <f t="shared" si="16"/>
        <v/>
      </c>
      <c r="M110" t="str">
        <f t="shared" si="17"/>
        <v/>
      </c>
      <c r="N110" t="str">
        <f t="shared" si="18"/>
        <v/>
      </c>
      <c r="O110" t="str">
        <f t="shared" si="19"/>
        <v/>
      </c>
      <c r="P110" t="str">
        <f>IF(OR(H110="",NOT(OR(LEFT(H110,1)="G",LEFT(H110,1)="R"))),"",IFERROR(VLOOKUP(MID(H110,3,1),Map!$G$2:$H$10,2,FALSE),""))</f>
        <v/>
      </c>
      <c r="Q110" t="str">
        <f>IF(A110="","",IFERROR(VLOOKUP(MID(A110,4,1),Map!$O$2:$P$10,2,FALSE),""))</f>
        <v/>
      </c>
    </row>
    <row r="111" spans="2:17" x14ac:dyDescent="0.25">
      <c r="B111" t="str">
        <f t="shared" si="10"/>
        <v/>
      </c>
      <c r="C111" t="str">
        <f t="shared" si="11"/>
        <v>**</v>
      </c>
      <c r="D111" t="str">
        <f t="shared" si="12"/>
        <v/>
      </c>
      <c r="E111" t="str">
        <f>IFERROR(VLOOKUP(MID(A111,7,2),Map!$A$2:$B$20,2,FALSE),"")</f>
        <v/>
      </c>
      <c r="F111" t="str">
        <f>IF(A111="","",IFERROR(VLOOKUP(MID(A111,9,2),Map!$R$2:$S$14,2,FALSE),""))</f>
        <v/>
      </c>
      <c r="G111" t="str">
        <f t="shared" si="13"/>
        <v/>
      </c>
      <c r="H111" t="str">
        <f t="shared" si="14"/>
        <v/>
      </c>
      <c r="I111" t="str">
        <f>IF(A111="","",IFERROR(VLOOKUP(LEFT(A111,1),Map!$D$2:$E$20,2,FALSE),""))</f>
        <v/>
      </c>
      <c r="J111" t="str">
        <f>IF(OR(H111="",NOT(OR(LEFT(H111,1)="G",LEFT(H111,1)="R"))),"",IFERROR(VLOOKUP(MID(H111,2,1),Map!$J$2:$M$10,2,FALSE),""))</f>
        <v/>
      </c>
      <c r="K111" t="str">
        <f t="shared" si="15"/>
        <v/>
      </c>
      <c r="L111" t="str">
        <f t="shared" si="16"/>
        <v/>
      </c>
      <c r="M111" t="str">
        <f t="shared" si="17"/>
        <v/>
      </c>
      <c r="N111" t="str">
        <f t="shared" si="18"/>
        <v/>
      </c>
      <c r="O111" t="str">
        <f t="shared" si="19"/>
        <v/>
      </c>
      <c r="P111" t="str">
        <f>IF(OR(H111="",NOT(OR(LEFT(H111,1)="G",LEFT(H111,1)="R"))),"",IFERROR(VLOOKUP(MID(H111,3,1),Map!$G$2:$H$10,2,FALSE),""))</f>
        <v/>
      </c>
      <c r="Q111" t="str">
        <f>IF(A111="","",IFERROR(VLOOKUP(MID(A111,4,1),Map!$O$2:$P$10,2,FALSE),""))</f>
        <v/>
      </c>
    </row>
    <row r="112" spans="2:17" x14ac:dyDescent="0.25">
      <c r="B112" t="str">
        <f t="shared" si="10"/>
        <v/>
      </c>
      <c r="C112" t="str">
        <f t="shared" si="11"/>
        <v>**</v>
      </c>
      <c r="D112" t="str">
        <f t="shared" si="12"/>
        <v/>
      </c>
      <c r="E112" t="str">
        <f>IFERROR(VLOOKUP(MID(A112,7,2),Map!$A$2:$B$20,2,FALSE),"")</f>
        <v/>
      </c>
      <c r="F112" t="str">
        <f>IF(A112="","",IFERROR(VLOOKUP(MID(A112,9,2),Map!$R$2:$S$14,2,FALSE),""))</f>
        <v/>
      </c>
      <c r="G112" t="str">
        <f t="shared" si="13"/>
        <v/>
      </c>
      <c r="H112" t="str">
        <f t="shared" si="14"/>
        <v/>
      </c>
      <c r="I112" t="str">
        <f>IF(A112="","",IFERROR(VLOOKUP(LEFT(A112,1),Map!$D$2:$E$20,2,FALSE),""))</f>
        <v/>
      </c>
      <c r="J112" t="str">
        <f>IF(OR(H112="",NOT(OR(LEFT(H112,1)="G",LEFT(H112,1)="R"))),"",IFERROR(VLOOKUP(MID(H112,2,1),Map!$J$2:$M$10,2,FALSE),""))</f>
        <v/>
      </c>
      <c r="K112" t="str">
        <f t="shared" si="15"/>
        <v/>
      </c>
      <c r="L112" t="str">
        <f t="shared" si="16"/>
        <v/>
      </c>
      <c r="M112" t="str">
        <f t="shared" si="17"/>
        <v/>
      </c>
      <c r="N112" t="str">
        <f t="shared" si="18"/>
        <v/>
      </c>
      <c r="O112" t="str">
        <f t="shared" si="19"/>
        <v/>
      </c>
      <c r="P112" t="str">
        <f>IF(OR(H112="",NOT(OR(LEFT(H112,1)="G",LEFT(H112,1)="R"))),"",IFERROR(VLOOKUP(MID(H112,3,1),Map!$G$2:$H$10,2,FALSE),""))</f>
        <v/>
      </c>
      <c r="Q112" t="str">
        <f>IF(A112="","",IFERROR(VLOOKUP(MID(A112,4,1),Map!$O$2:$P$10,2,FALSE),""))</f>
        <v/>
      </c>
    </row>
    <row r="113" spans="2:17" x14ac:dyDescent="0.25">
      <c r="B113" t="str">
        <f t="shared" si="10"/>
        <v/>
      </c>
      <c r="C113" t="str">
        <f t="shared" si="11"/>
        <v>**</v>
      </c>
      <c r="D113" t="str">
        <f t="shared" si="12"/>
        <v/>
      </c>
      <c r="E113" t="str">
        <f>IFERROR(VLOOKUP(MID(A113,7,2),Map!$A$2:$B$20,2,FALSE),"")</f>
        <v/>
      </c>
      <c r="F113" t="str">
        <f>IF(A113="","",IFERROR(VLOOKUP(MID(A113,9,2),Map!$R$2:$S$14,2,FALSE),""))</f>
        <v/>
      </c>
      <c r="G113" t="str">
        <f t="shared" si="13"/>
        <v/>
      </c>
      <c r="H113" t="str">
        <f t="shared" si="14"/>
        <v/>
      </c>
      <c r="I113" t="str">
        <f>IF(A113="","",IFERROR(VLOOKUP(LEFT(A113,1),Map!$D$2:$E$20,2,FALSE),""))</f>
        <v/>
      </c>
      <c r="J113" t="str">
        <f>IF(OR(H113="",NOT(OR(LEFT(H113,1)="G",LEFT(H113,1)="R"))),"",IFERROR(VLOOKUP(MID(H113,2,1),Map!$J$2:$M$10,2,FALSE),""))</f>
        <v/>
      </c>
      <c r="K113" t="str">
        <f t="shared" si="15"/>
        <v/>
      </c>
      <c r="L113" t="str">
        <f t="shared" si="16"/>
        <v/>
      </c>
      <c r="M113" t="str">
        <f t="shared" si="17"/>
        <v/>
      </c>
      <c r="N113" t="str">
        <f t="shared" si="18"/>
        <v/>
      </c>
      <c r="O113" t="str">
        <f t="shared" si="19"/>
        <v/>
      </c>
      <c r="P113" t="str">
        <f>IF(OR(H113="",NOT(OR(LEFT(H113,1)="G",LEFT(H113,1)="R"))),"",IFERROR(VLOOKUP(MID(H113,3,1),Map!$G$2:$H$10,2,FALSE),""))</f>
        <v/>
      </c>
      <c r="Q113" t="str">
        <f>IF(A113="","",IFERROR(VLOOKUP(MID(A113,4,1),Map!$O$2:$P$10,2,FALSE),""))</f>
        <v/>
      </c>
    </row>
    <row r="114" spans="2:17" x14ac:dyDescent="0.25">
      <c r="B114" t="str">
        <f t="shared" si="10"/>
        <v/>
      </c>
      <c r="C114" t="str">
        <f t="shared" si="11"/>
        <v>**</v>
      </c>
      <c r="D114" t="str">
        <f t="shared" si="12"/>
        <v/>
      </c>
      <c r="E114" t="str">
        <f>IFERROR(VLOOKUP(MID(A114,7,2),Map!$A$2:$B$20,2,FALSE),"")</f>
        <v/>
      </c>
      <c r="F114" t="str">
        <f>IF(A114="","",IFERROR(VLOOKUP(MID(A114,9,2),Map!$R$2:$S$14,2,FALSE),""))</f>
        <v/>
      </c>
      <c r="G114" t="str">
        <f t="shared" si="13"/>
        <v/>
      </c>
      <c r="H114" t="str">
        <f t="shared" si="14"/>
        <v/>
      </c>
      <c r="I114" t="str">
        <f>IF(A114="","",IFERROR(VLOOKUP(LEFT(A114,1),Map!$D$2:$E$20,2,FALSE),""))</f>
        <v/>
      </c>
      <c r="J114" t="str">
        <f>IF(OR(H114="",NOT(OR(LEFT(H114,1)="G",LEFT(H114,1)="R"))),"",IFERROR(VLOOKUP(MID(H114,2,1),Map!$J$2:$M$10,2,FALSE),""))</f>
        <v/>
      </c>
      <c r="K114" t="str">
        <f t="shared" si="15"/>
        <v/>
      </c>
      <c r="L114" t="str">
        <f t="shared" si="16"/>
        <v/>
      </c>
      <c r="M114" t="str">
        <f t="shared" si="17"/>
        <v/>
      </c>
      <c r="N114" t="str">
        <f t="shared" si="18"/>
        <v/>
      </c>
      <c r="O114" t="str">
        <f t="shared" si="19"/>
        <v/>
      </c>
      <c r="P114" t="str">
        <f>IF(OR(H114="",NOT(OR(LEFT(H114,1)="G",LEFT(H114,1)="R"))),"",IFERROR(VLOOKUP(MID(H114,3,1),Map!$G$2:$H$10,2,FALSE),""))</f>
        <v/>
      </c>
      <c r="Q114" t="str">
        <f>IF(A114="","",IFERROR(VLOOKUP(MID(A114,4,1),Map!$O$2:$P$10,2,FALSE),""))</f>
        <v/>
      </c>
    </row>
    <row r="115" spans="2:17" x14ac:dyDescent="0.25">
      <c r="B115" t="str">
        <f t="shared" si="10"/>
        <v/>
      </c>
      <c r="C115" t="str">
        <f t="shared" si="11"/>
        <v>**</v>
      </c>
      <c r="D115" t="str">
        <f t="shared" si="12"/>
        <v/>
      </c>
      <c r="E115" t="str">
        <f>IFERROR(VLOOKUP(MID(A115,7,2),Map!$A$2:$B$20,2,FALSE),"")</f>
        <v/>
      </c>
      <c r="F115" t="str">
        <f>IF(A115="","",IFERROR(VLOOKUP(MID(A115,9,2),Map!$R$2:$S$14,2,FALSE),""))</f>
        <v/>
      </c>
      <c r="G115" t="str">
        <f t="shared" si="13"/>
        <v/>
      </c>
      <c r="H115" t="str">
        <f t="shared" si="14"/>
        <v/>
      </c>
      <c r="I115" t="str">
        <f>IF(A115="","",IFERROR(VLOOKUP(LEFT(A115,1),Map!$D$2:$E$20,2,FALSE),""))</f>
        <v/>
      </c>
      <c r="J115" t="str">
        <f>IF(OR(H115="",NOT(OR(LEFT(H115,1)="G",LEFT(H115,1)="R"))),"",IFERROR(VLOOKUP(MID(H115,2,1),Map!$J$2:$M$10,2,FALSE),""))</f>
        <v/>
      </c>
      <c r="K115" t="str">
        <f t="shared" si="15"/>
        <v/>
      </c>
      <c r="L115" t="str">
        <f t="shared" si="16"/>
        <v/>
      </c>
      <c r="M115" t="str">
        <f t="shared" si="17"/>
        <v/>
      </c>
      <c r="N115" t="str">
        <f t="shared" si="18"/>
        <v/>
      </c>
      <c r="O115" t="str">
        <f t="shared" si="19"/>
        <v/>
      </c>
      <c r="P115" t="str">
        <f>IF(OR(H115="",NOT(OR(LEFT(H115,1)="G",LEFT(H115,1)="R"))),"",IFERROR(VLOOKUP(MID(H115,3,1),Map!$G$2:$H$10,2,FALSE),""))</f>
        <v/>
      </c>
      <c r="Q115" t="str">
        <f>IF(A115="","",IFERROR(VLOOKUP(MID(A115,4,1),Map!$O$2:$P$10,2,FALSE),""))</f>
        <v/>
      </c>
    </row>
    <row r="116" spans="2:17" x14ac:dyDescent="0.25">
      <c r="B116" t="str">
        <f t="shared" si="10"/>
        <v/>
      </c>
      <c r="C116" t="str">
        <f t="shared" si="11"/>
        <v>**</v>
      </c>
      <c r="D116" t="str">
        <f t="shared" si="12"/>
        <v/>
      </c>
      <c r="E116" t="str">
        <f>IFERROR(VLOOKUP(MID(A116,7,2),Map!$A$2:$B$20,2,FALSE),"")</f>
        <v/>
      </c>
      <c r="F116" t="str">
        <f>IF(A116="","",IFERROR(VLOOKUP(MID(A116,9,2),Map!$R$2:$S$14,2,FALSE),""))</f>
        <v/>
      </c>
      <c r="G116" t="str">
        <f t="shared" si="13"/>
        <v/>
      </c>
      <c r="H116" t="str">
        <f t="shared" si="14"/>
        <v/>
      </c>
      <c r="I116" t="str">
        <f>IF(A116="","",IFERROR(VLOOKUP(LEFT(A116,1),Map!$D$2:$E$20,2,FALSE),""))</f>
        <v/>
      </c>
      <c r="J116" t="str">
        <f>IF(OR(H116="",NOT(OR(LEFT(H116,1)="G",LEFT(H116,1)="R"))),"",IFERROR(VLOOKUP(MID(H116,2,1),Map!$J$2:$M$10,2,FALSE),""))</f>
        <v/>
      </c>
      <c r="K116" t="str">
        <f t="shared" si="15"/>
        <v/>
      </c>
      <c r="L116" t="str">
        <f t="shared" si="16"/>
        <v/>
      </c>
      <c r="M116" t="str">
        <f t="shared" si="17"/>
        <v/>
      </c>
      <c r="N116" t="str">
        <f t="shared" si="18"/>
        <v/>
      </c>
      <c r="O116" t="str">
        <f t="shared" si="19"/>
        <v/>
      </c>
      <c r="P116" t="str">
        <f>IF(OR(H116="",NOT(OR(LEFT(H116,1)="G",LEFT(H116,1)="R"))),"",IFERROR(VLOOKUP(MID(H116,3,1),Map!$G$2:$H$10,2,FALSE),""))</f>
        <v/>
      </c>
      <c r="Q116" t="str">
        <f>IF(A116="","",IFERROR(VLOOKUP(MID(A116,4,1),Map!$O$2:$P$10,2,FALSE),""))</f>
        <v/>
      </c>
    </row>
    <row r="117" spans="2:17" x14ac:dyDescent="0.25">
      <c r="B117" t="str">
        <f t="shared" si="10"/>
        <v/>
      </c>
      <c r="C117" t="str">
        <f t="shared" si="11"/>
        <v>**</v>
      </c>
      <c r="D117" t="str">
        <f t="shared" si="12"/>
        <v/>
      </c>
      <c r="E117" t="str">
        <f>IFERROR(VLOOKUP(MID(A117,7,2),Map!$A$2:$B$20,2,FALSE),"")</f>
        <v/>
      </c>
      <c r="F117" t="str">
        <f>IF(A117="","",IFERROR(VLOOKUP(MID(A117,9,2),Map!$R$2:$S$14,2,FALSE),""))</f>
        <v/>
      </c>
      <c r="G117" t="str">
        <f t="shared" si="13"/>
        <v/>
      </c>
      <c r="H117" t="str">
        <f t="shared" si="14"/>
        <v/>
      </c>
      <c r="I117" t="str">
        <f>IF(A117="","",IFERROR(VLOOKUP(LEFT(A117,1),Map!$D$2:$E$20,2,FALSE),""))</f>
        <v/>
      </c>
      <c r="J117" t="str">
        <f>IF(OR(H117="",NOT(OR(LEFT(H117,1)="G",LEFT(H117,1)="R"))),"",IFERROR(VLOOKUP(MID(H117,2,1),Map!$J$2:$M$10,2,FALSE),""))</f>
        <v/>
      </c>
      <c r="K117" t="str">
        <f t="shared" si="15"/>
        <v/>
      </c>
      <c r="L117" t="str">
        <f t="shared" si="16"/>
        <v/>
      </c>
      <c r="M117" t="str">
        <f t="shared" si="17"/>
        <v/>
      </c>
      <c r="N117" t="str">
        <f t="shared" si="18"/>
        <v/>
      </c>
      <c r="O117" t="str">
        <f t="shared" si="19"/>
        <v/>
      </c>
      <c r="P117" t="str">
        <f>IF(OR(H117="",NOT(OR(LEFT(H117,1)="G",LEFT(H117,1)="R"))),"",IFERROR(VLOOKUP(MID(H117,3,1),Map!$G$2:$H$10,2,FALSE),""))</f>
        <v/>
      </c>
      <c r="Q117" t="str">
        <f>IF(A117="","",IFERROR(VLOOKUP(MID(A117,4,1),Map!$O$2:$P$10,2,FALSE),""))</f>
        <v/>
      </c>
    </row>
    <row r="118" spans="2:17" x14ac:dyDescent="0.25">
      <c r="B118" t="str">
        <f t="shared" si="10"/>
        <v/>
      </c>
      <c r="C118" t="str">
        <f t="shared" si="11"/>
        <v>**</v>
      </c>
      <c r="D118" t="str">
        <f t="shared" si="12"/>
        <v/>
      </c>
      <c r="E118" t="str">
        <f>IFERROR(VLOOKUP(MID(A118,7,2),Map!$A$2:$B$20,2,FALSE),"")</f>
        <v/>
      </c>
      <c r="F118" t="str">
        <f>IF(A118="","",IFERROR(VLOOKUP(MID(A118,9,2),Map!$R$2:$S$14,2,FALSE),""))</f>
        <v/>
      </c>
      <c r="G118" t="str">
        <f t="shared" si="13"/>
        <v/>
      </c>
      <c r="H118" t="str">
        <f t="shared" si="14"/>
        <v/>
      </c>
      <c r="I118" t="str">
        <f>IF(A118="","",IFERROR(VLOOKUP(LEFT(A118,1),Map!$D$2:$E$20,2,FALSE),""))</f>
        <v/>
      </c>
      <c r="J118" t="str">
        <f>IF(OR(H118="",NOT(OR(LEFT(H118,1)="G",LEFT(H118,1)="R"))),"",IFERROR(VLOOKUP(MID(H118,2,1),Map!$J$2:$M$10,2,FALSE),""))</f>
        <v/>
      </c>
      <c r="K118" t="str">
        <f t="shared" si="15"/>
        <v/>
      </c>
      <c r="L118" t="str">
        <f t="shared" si="16"/>
        <v/>
      </c>
      <c r="M118" t="str">
        <f t="shared" si="17"/>
        <v/>
      </c>
      <c r="N118" t="str">
        <f t="shared" si="18"/>
        <v/>
      </c>
      <c r="O118" t="str">
        <f t="shared" si="19"/>
        <v/>
      </c>
      <c r="P118" t="str">
        <f>IF(OR(H118="",NOT(OR(LEFT(H118,1)="G",LEFT(H118,1)="R"))),"",IFERROR(VLOOKUP(MID(H118,3,1),Map!$G$2:$H$10,2,FALSE),""))</f>
        <v/>
      </c>
      <c r="Q118" t="str">
        <f>IF(A118="","",IFERROR(VLOOKUP(MID(A118,4,1),Map!$O$2:$P$10,2,FALSE),""))</f>
        <v/>
      </c>
    </row>
    <row r="119" spans="2:17" x14ac:dyDescent="0.25">
      <c r="B119" t="str">
        <f t="shared" si="10"/>
        <v/>
      </c>
      <c r="C119" t="str">
        <f t="shared" si="11"/>
        <v>**</v>
      </c>
      <c r="D119" t="str">
        <f t="shared" si="12"/>
        <v/>
      </c>
      <c r="E119" t="str">
        <f>IFERROR(VLOOKUP(MID(A119,7,2),Map!$A$2:$B$20,2,FALSE),"")</f>
        <v/>
      </c>
      <c r="F119" t="str">
        <f>IF(A119="","",IFERROR(VLOOKUP(MID(A119,9,2),Map!$R$2:$S$14,2,FALSE),""))</f>
        <v/>
      </c>
      <c r="G119" t="str">
        <f t="shared" si="13"/>
        <v/>
      </c>
      <c r="H119" t="str">
        <f t="shared" si="14"/>
        <v/>
      </c>
      <c r="I119" t="str">
        <f>IF(A119="","",IFERROR(VLOOKUP(LEFT(A119,1),Map!$D$2:$E$20,2,FALSE),""))</f>
        <v/>
      </c>
      <c r="J119" t="str">
        <f>IF(OR(H119="",NOT(OR(LEFT(H119,1)="G",LEFT(H119,1)="R"))),"",IFERROR(VLOOKUP(MID(H119,2,1),Map!$J$2:$M$10,2,FALSE),""))</f>
        <v/>
      </c>
      <c r="K119" t="str">
        <f t="shared" si="15"/>
        <v/>
      </c>
      <c r="L119" t="str">
        <f t="shared" si="16"/>
        <v/>
      </c>
      <c r="M119" t="str">
        <f t="shared" si="17"/>
        <v/>
      </c>
      <c r="N119" t="str">
        <f t="shared" si="18"/>
        <v/>
      </c>
      <c r="O119" t="str">
        <f t="shared" si="19"/>
        <v/>
      </c>
      <c r="P119" t="str">
        <f>IF(OR(H119="",NOT(OR(LEFT(H119,1)="G",LEFT(H119,1)="R"))),"",IFERROR(VLOOKUP(MID(H119,3,1),Map!$G$2:$H$10,2,FALSE),""))</f>
        <v/>
      </c>
      <c r="Q119" t="str">
        <f>IF(A119="","",IFERROR(VLOOKUP(MID(A119,4,1),Map!$O$2:$P$10,2,FALSE),""))</f>
        <v/>
      </c>
    </row>
    <row r="120" spans="2:17" x14ac:dyDescent="0.25">
      <c r="B120" t="str">
        <f t="shared" si="10"/>
        <v/>
      </c>
      <c r="C120" t="str">
        <f t="shared" si="11"/>
        <v>**</v>
      </c>
      <c r="D120" t="str">
        <f t="shared" si="12"/>
        <v/>
      </c>
      <c r="E120" t="str">
        <f>IFERROR(VLOOKUP(MID(A120,7,2),Map!$A$2:$B$20,2,FALSE),"")</f>
        <v/>
      </c>
      <c r="F120" t="str">
        <f>IF(A120="","",IFERROR(VLOOKUP(MID(A120,9,2),Map!$R$2:$S$14,2,FALSE),""))</f>
        <v/>
      </c>
      <c r="G120" t="str">
        <f t="shared" si="13"/>
        <v/>
      </c>
      <c r="H120" t="str">
        <f t="shared" si="14"/>
        <v/>
      </c>
      <c r="I120" t="str">
        <f>IF(A120="","",IFERROR(VLOOKUP(LEFT(A120,1),Map!$D$2:$E$20,2,FALSE),""))</f>
        <v/>
      </c>
      <c r="J120" t="str">
        <f>IF(OR(H120="",NOT(OR(LEFT(H120,1)="G",LEFT(H120,1)="R"))),"",IFERROR(VLOOKUP(MID(H120,2,1),Map!$J$2:$M$10,2,FALSE),""))</f>
        <v/>
      </c>
      <c r="K120" t="str">
        <f t="shared" si="15"/>
        <v/>
      </c>
      <c r="L120" t="str">
        <f t="shared" si="16"/>
        <v/>
      </c>
      <c r="M120" t="str">
        <f t="shared" si="17"/>
        <v/>
      </c>
      <c r="N120" t="str">
        <f t="shared" si="18"/>
        <v/>
      </c>
      <c r="O120" t="str">
        <f t="shared" si="19"/>
        <v/>
      </c>
      <c r="P120" t="str">
        <f>IF(OR(H120="",NOT(OR(LEFT(H120,1)="G",LEFT(H120,1)="R"))),"",IFERROR(VLOOKUP(MID(H120,3,1),Map!$G$2:$H$10,2,FALSE),""))</f>
        <v/>
      </c>
      <c r="Q120" t="str">
        <f>IF(A120="","",IFERROR(VLOOKUP(MID(A120,4,1),Map!$O$2:$P$10,2,FALSE),""))</f>
        <v/>
      </c>
    </row>
    <row r="121" spans="2:17" x14ac:dyDescent="0.25">
      <c r="B121" t="str">
        <f t="shared" si="10"/>
        <v/>
      </c>
      <c r="C121" t="str">
        <f t="shared" si="11"/>
        <v>**</v>
      </c>
      <c r="D121" t="str">
        <f t="shared" si="12"/>
        <v/>
      </c>
      <c r="E121" t="str">
        <f>IFERROR(VLOOKUP(MID(A121,7,2),Map!$A$2:$B$20,2,FALSE),"")</f>
        <v/>
      </c>
      <c r="F121" t="str">
        <f>IF(A121="","",IFERROR(VLOOKUP(MID(A121,9,2),Map!$R$2:$S$14,2,FALSE),""))</f>
        <v/>
      </c>
      <c r="G121" t="str">
        <f t="shared" si="13"/>
        <v/>
      </c>
      <c r="H121" t="str">
        <f t="shared" si="14"/>
        <v/>
      </c>
      <c r="I121" t="str">
        <f>IF(A121="","",IFERROR(VLOOKUP(LEFT(A121,1),Map!$D$2:$E$20,2,FALSE),""))</f>
        <v/>
      </c>
      <c r="J121" t="str">
        <f>IF(OR(H121="",NOT(OR(LEFT(H121,1)="G",LEFT(H121,1)="R"))),"",IFERROR(VLOOKUP(MID(H121,2,1),Map!$J$2:$M$10,2,FALSE),""))</f>
        <v/>
      </c>
      <c r="K121" t="str">
        <f t="shared" si="15"/>
        <v/>
      </c>
      <c r="L121" t="str">
        <f t="shared" si="16"/>
        <v/>
      </c>
      <c r="M121" t="str">
        <f t="shared" si="17"/>
        <v/>
      </c>
      <c r="N121" t="str">
        <f t="shared" si="18"/>
        <v/>
      </c>
      <c r="O121" t="str">
        <f t="shared" si="19"/>
        <v/>
      </c>
      <c r="P121" t="str">
        <f>IF(OR(H121="",NOT(OR(LEFT(H121,1)="G",LEFT(H121,1)="R"))),"",IFERROR(VLOOKUP(MID(H121,3,1),Map!$G$2:$H$10,2,FALSE),""))</f>
        <v/>
      </c>
      <c r="Q121" t="str">
        <f>IF(A121="","",IFERROR(VLOOKUP(MID(A121,4,1),Map!$O$2:$P$10,2,FALSE),""))</f>
        <v/>
      </c>
    </row>
    <row r="122" spans="2:17" x14ac:dyDescent="0.25">
      <c r="B122" t="str">
        <f t="shared" si="10"/>
        <v/>
      </c>
      <c r="C122" t="str">
        <f t="shared" si="11"/>
        <v>**</v>
      </c>
      <c r="D122" t="str">
        <f t="shared" si="12"/>
        <v/>
      </c>
      <c r="E122" t="str">
        <f>IFERROR(VLOOKUP(MID(A122,7,2),Map!$A$2:$B$20,2,FALSE),"")</f>
        <v/>
      </c>
      <c r="F122" t="str">
        <f>IF(A122="","",IFERROR(VLOOKUP(MID(A122,9,2),Map!$R$2:$S$14,2,FALSE),""))</f>
        <v/>
      </c>
      <c r="G122" t="str">
        <f t="shared" si="13"/>
        <v/>
      </c>
      <c r="H122" t="str">
        <f t="shared" si="14"/>
        <v/>
      </c>
      <c r="I122" t="str">
        <f>IF(A122="","",IFERROR(VLOOKUP(LEFT(A122,1),Map!$D$2:$E$20,2,FALSE),""))</f>
        <v/>
      </c>
      <c r="J122" t="str">
        <f>IF(OR(H122="",NOT(OR(LEFT(H122,1)="G",LEFT(H122,1)="R"))),"",IFERROR(VLOOKUP(MID(H122,2,1),Map!$J$2:$M$10,2,FALSE),""))</f>
        <v/>
      </c>
      <c r="K122" t="str">
        <f t="shared" si="15"/>
        <v/>
      </c>
      <c r="L122" t="str">
        <f t="shared" si="16"/>
        <v/>
      </c>
      <c r="M122" t="str">
        <f t="shared" si="17"/>
        <v/>
      </c>
      <c r="N122" t="str">
        <f t="shared" si="18"/>
        <v/>
      </c>
      <c r="O122" t="str">
        <f t="shared" si="19"/>
        <v/>
      </c>
      <c r="P122" t="str">
        <f>IF(OR(H122="",NOT(OR(LEFT(H122,1)="G",LEFT(H122,1)="R"))),"",IFERROR(VLOOKUP(MID(H122,3,1),Map!$G$2:$H$10,2,FALSE),""))</f>
        <v/>
      </c>
      <c r="Q122" t="str">
        <f>IF(A122="","",IFERROR(VLOOKUP(MID(A122,4,1),Map!$O$2:$P$10,2,FALSE),""))</f>
        <v/>
      </c>
    </row>
    <row r="123" spans="2:17" x14ac:dyDescent="0.25">
      <c r="B123" t="str">
        <f t="shared" si="10"/>
        <v/>
      </c>
      <c r="C123" t="str">
        <f t="shared" si="11"/>
        <v>**</v>
      </c>
      <c r="D123" t="str">
        <f t="shared" si="12"/>
        <v/>
      </c>
      <c r="E123" t="str">
        <f>IFERROR(VLOOKUP(MID(A123,7,2),Map!$A$2:$B$20,2,FALSE),"")</f>
        <v/>
      </c>
      <c r="F123" t="str">
        <f>IF(A123="","",IFERROR(VLOOKUP(MID(A123,9,2),Map!$R$2:$S$14,2,FALSE),""))</f>
        <v/>
      </c>
      <c r="G123" t="str">
        <f t="shared" si="13"/>
        <v/>
      </c>
      <c r="H123" t="str">
        <f t="shared" si="14"/>
        <v/>
      </c>
      <c r="I123" t="str">
        <f>IF(A123="","",IFERROR(VLOOKUP(LEFT(A123,1),Map!$D$2:$E$20,2,FALSE),""))</f>
        <v/>
      </c>
      <c r="J123" t="str">
        <f>IF(OR(H123="",NOT(OR(LEFT(H123,1)="G",LEFT(H123,1)="R"))),"",IFERROR(VLOOKUP(MID(H123,2,1),Map!$J$2:$M$10,2,FALSE),""))</f>
        <v/>
      </c>
      <c r="K123" t="str">
        <f t="shared" si="15"/>
        <v/>
      </c>
      <c r="L123" t="str">
        <f t="shared" si="16"/>
        <v/>
      </c>
      <c r="M123" t="str">
        <f t="shared" si="17"/>
        <v/>
      </c>
      <c r="N123" t="str">
        <f t="shared" si="18"/>
        <v/>
      </c>
      <c r="O123" t="str">
        <f t="shared" si="19"/>
        <v/>
      </c>
      <c r="P123" t="str">
        <f>IF(OR(H123="",NOT(OR(LEFT(H123,1)="G",LEFT(H123,1)="R"))),"",IFERROR(VLOOKUP(MID(H123,3,1),Map!$G$2:$H$10,2,FALSE),""))</f>
        <v/>
      </c>
      <c r="Q123" t="str">
        <f>IF(A123="","",IFERROR(VLOOKUP(MID(A123,4,1),Map!$O$2:$P$10,2,FALSE),""))</f>
        <v/>
      </c>
    </row>
    <row r="124" spans="2:17" x14ac:dyDescent="0.25">
      <c r="B124" t="str">
        <f t="shared" si="10"/>
        <v/>
      </c>
      <c r="C124" t="str">
        <f t="shared" si="11"/>
        <v>**</v>
      </c>
      <c r="D124" t="str">
        <f t="shared" si="12"/>
        <v/>
      </c>
      <c r="E124" t="str">
        <f>IFERROR(VLOOKUP(MID(A124,7,2),Map!$A$2:$B$20,2,FALSE),"")</f>
        <v/>
      </c>
      <c r="F124" t="str">
        <f>IF(A124="","",IFERROR(VLOOKUP(MID(A124,9,2),Map!$R$2:$S$14,2,FALSE),""))</f>
        <v/>
      </c>
      <c r="G124" t="str">
        <f t="shared" si="13"/>
        <v/>
      </c>
      <c r="H124" t="str">
        <f t="shared" si="14"/>
        <v/>
      </c>
      <c r="I124" t="str">
        <f>IF(A124="","",IFERROR(VLOOKUP(LEFT(A124,1),Map!$D$2:$E$20,2,FALSE),""))</f>
        <v/>
      </c>
      <c r="J124" t="str">
        <f>IF(OR(H124="",NOT(OR(LEFT(H124,1)="G",LEFT(H124,1)="R"))),"",IFERROR(VLOOKUP(MID(H124,2,1),Map!$J$2:$M$10,2,FALSE),""))</f>
        <v/>
      </c>
      <c r="K124" t="str">
        <f t="shared" si="15"/>
        <v/>
      </c>
      <c r="L124" t="str">
        <f t="shared" si="16"/>
        <v/>
      </c>
      <c r="M124" t="str">
        <f t="shared" si="17"/>
        <v/>
      </c>
      <c r="N124" t="str">
        <f t="shared" si="18"/>
        <v/>
      </c>
      <c r="O124" t="str">
        <f t="shared" si="19"/>
        <v/>
      </c>
      <c r="P124" t="str">
        <f>IF(OR(H124="",NOT(OR(LEFT(H124,1)="G",LEFT(H124,1)="R"))),"",IFERROR(VLOOKUP(MID(H124,3,1),Map!$G$2:$H$10,2,FALSE),""))</f>
        <v/>
      </c>
      <c r="Q124" t="str">
        <f>IF(A124="","",IFERROR(VLOOKUP(MID(A124,4,1),Map!$O$2:$P$10,2,FALSE),""))</f>
        <v/>
      </c>
    </row>
    <row r="125" spans="2:17" x14ac:dyDescent="0.25">
      <c r="B125" t="str">
        <f t="shared" si="10"/>
        <v/>
      </c>
      <c r="C125" t="str">
        <f t="shared" si="11"/>
        <v>**</v>
      </c>
      <c r="D125" t="str">
        <f t="shared" si="12"/>
        <v/>
      </c>
      <c r="E125" t="str">
        <f>IFERROR(VLOOKUP(MID(A125,7,2),Map!$A$2:$B$20,2,FALSE),"")</f>
        <v/>
      </c>
      <c r="F125" t="str">
        <f>IF(A125="","",IFERROR(VLOOKUP(MID(A125,9,2),Map!$R$2:$S$14,2,FALSE),""))</f>
        <v/>
      </c>
      <c r="G125" t="str">
        <f t="shared" si="13"/>
        <v/>
      </c>
      <c r="H125" t="str">
        <f t="shared" si="14"/>
        <v/>
      </c>
      <c r="I125" t="str">
        <f>IF(A125="","",IFERROR(VLOOKUP(LEFT(A125,1),Map!$D$2:$E$20,2,FALSE),""))</f>
        <v/>
      </c>
      <c r="J125" t="str">
        <f>IF(OR(H125="",NOT(OR(LEFT(H125,1)="G",LEFT(H125,1)="R"))),"",IFERROR(VLOOKUP(MID(H125,2,1),Map!$J$2:$M$10,2,FALSE),""))</f>
        <v/>
      </c>
      <c r="K125" t="str">
        <f t="shared" si="15"/>
        <v/>
      </c>
      <c r="L125" t="str">
        <f t="shared" si="16"/>
        <v/>
      </c>
      <c r="M125" t="str">
        <f t="shared" si="17"/>
        <v/>
      </c>
      <c r="N125" t="str">
        <f t="shared" si="18"/>
        <v/>
      </c>
      <c r="O125" t="str">
        <f t="shared" si="19"/>
        <v/>
      </c>
      <c r="P125" t="str">
        <f>IF(OR(H125="",NOT(OR(LEFT(H125,1)="G",LEFT(H125,1)="R"))),"",IFERROR(VLOOKUP(MID(H125,3,1),Map!$G$2:$H$10,2,FALSE),""))</f>
        <v/>
      </c>
      <c r="Q125" t="str">
        <f>IF(A125="","",IFERROR(VLOOKUP(MID(A125,4,1),Map!$O$2:$P$10,2,FALSE),""))</f>
        <v/>
      </c>
    </row>
    <row r="126" spans="2:17" x14ac:dyDescent="0.25">
      <c r="B126" t="str">
        <f t="shared" si="10"/>
        <v/>
      </c>
      <c r="C126" t="str">
        <f t="shared" si="11"/>
        <v>**</v>
      </c>
      <c r="D126" t="str">
        <f t="shared" si="12"/>
        <v/>
      </c>
      <c r="E126" t="str">
        <f>IFERROR(VLOOKUP(MID(A126,7,2),Map!$A$2:$B$20,2,FALSE),"")</f>
        <v/>
      </c>
      <c r="F126" t="str">
        <f>IF(A126="","",IFERROR(VLOOKUP(MID(A126,9,2),Map!$R$2:$S$14,2,FALSE),""))</f>
        <v/>
      </c>
      <c r="G126" t="str">
        <f t="shared" si="13"/>
        <v/>
      </c>
      <c r="H126" t="str">
        <f t="shared" si="14"/>
        <v/>
      </c>
      <c r="I126" t="str">
        <f>IF(A126="","",IFERROR(VLOOKUP(LEFT(A126,1),Map!$D$2:$E$20,2,FALSE),""))</f>
        <v/>
      </c>
      <c r="J126" t="str">
        <f>IF(OR(H126="",NOT(OR(LEFT(H126,1)="G",LEFT(H126,1)="R"))),"",IFERROR(VLOOKUP(MID(H126,2,1),Map!$J$2:$M$10,2,FALSE),""))</f>
        <v/>
      </c>
      <c r="K126" t="str">
        <f t="shared" si="15"/>
        <v/>
      </c>
      <c r="L126" t="str">
        <f t="shared" si="16"/>
        <v/>
      </c>
      <c r="M126" t="str">
        <f t="shared" si="17"/>
        <v/>
      </c>
      <c r="N126" t="str">
        <f t="shared" si="18"/>
        <v/>
      </c>
      <c r="O126" t="str">
        <f t="shared" si="19"/>
        <v/>
      </c>
      <c r="P126" t="str">
        <f>IF(OR(H126="",NOT(OR(LEFT(H126,1)="G",LEFT(H126,1)="R"))),"",IFERROR(VLOOKUP(MID(H126,3,1),Map!$G$2:$H$10,2,FALSE),""))</f>
        <v/>
      </c>
      <c r="Q126" t="str">
        <f>IF(A126="","",IFERROR(VLOOKUP(MID(A126,4,1),Map!$O$2:$P$10,2,FALSE),""))</f>
        <v/>
      </c>
    </row>
    <row r="127" spans="2:17" x14ac:dyDescent="0.25">
      <c r="B127" t="str">
        <f t="shared" si="10"/>
        <v/>
      </c>
      <c r="C127" t="str">
        <f t="shared" si="11"/>
        <v>**</v>
      </c>
      <c r="D127" t="str">
        <f t="shared" si="12"/>
        <v/>
      </c>
      <c r="E127" t="str">
        <f>IFERROR(VLOOKUP(MID(A127,7,2),Map!$A$2:$B$20,2,FALSE),"")</f>
        <v/>
      </c>
      <c r="F127" t="str">
        <f>IF(A127="","",IFERROR(VLOOKUP(MID(A127,9,2),Map!$R$2:$S$14,2,FALSE),""))</f>
        <v/>
      </c>
      <c r="G127" t="str">
        <f t="shared" si="13"/>
        <v/>
      </c>
      <c r="H127" t="str">
        <f t="shared" si="14"/>
        <v/>
      </c>
      <c r="I127" t="str">
        <f>IF(A127="","",IFERROR(VLOOKUP(LEFT(A127,1),Map!$D$2:$E$20,2,FALSE),""))</f>
        <v/>
      </c>
      <c r="J127" t="str">
        <f>IF(OR(H127="",NOT(OR(LEFT(H127,1)="G",LEFT(H127,1)="R"))),"",IFERROR(VLOOKUP(MID(H127,2,1),Map!$J$2:$M$10,2,FALSE),""))</f>
        <v/>
      </c>
      <c r="K127" t="str">
        <f t="shared" si="15"/>
        <v/>
      </c>
      <c r="L127" t="str">
        <f t="shared" si="16"/>
        <v/>
      </c>
      <c r="M127" t="str">
        <f t="shared" si="17"/>
        <v/>
      </c>
      <c r="N127" t="str">
        <f t="shared" si="18"/>
        <v/>
      </c>
      <c r="O127" t="str">
        <f t="shared" si="19"/>
        <v/>
      </c>
      <c r="P127" t="str">
        <f>IF(OR(H127="",NOT(OR(LEFT(H127,1)="G",LEFT(H127,1)="R"))),"",IFERROR(VLOOKUP(MID(H127,3,1),Map!$G$2:$H$10,2,FALSE),""))</f>
        <v/>
      </c>
      <c r="Q127" t="str">
        <f>IF(A127="","",IFERROR(VLOOKUP(MID(A127,4,1),Map!$O$2:$P$10,2,FALSE),""))</f>
        <v/>
      </c>
    </row>
    <row r="128" spans="2:17" x14ac:dyDescent="0.25">
      <c r="B128" t="str">
        <f t="shared" si="10"/>
        <v/>
      </c>
      <c r="C128" t="str">
        <f t="shared" si="11"/>
        <v>**</v>
      </c>
      <c r="D128" t="str">
        <f t="shared" si="12"/>
        <v/>
      </c>
      <c r="E128" t="str">
        <f>IFERROR(VLOOKUP(MID(A128,7,2),Map!$A$2:$B$20,2,FALSE),"")</f>
        <v/>
      </c>
      <c r="F128" t="str">
        <f>IF(A128="","",IFERROR(VLOOKUP(MID(A128,9,2),Map!$R$2:$S$14,2,FALSE),""))</f>
        <v/>
      </c>
      <c r="G128" t="str">
        <f t="shared" si="13"/>
        <v/>
      </c>
      <c r="H128" t="str">
        <f t="shared" si="14"/>
        <v/>
      </c>
      <c r="I128" t="str">
        <f>IF(A128="","",IFERROR(VLOOKUP(LEFT(A128,1),Map!$D$2:$E$20,2,FALSE),""))</f>
        <v/>
      </c>
      <c r="J128" t="str">
        <f>IF(OR(H128="",NOT(OR(LEFT(H128,1)="G",LEFT(H128,1)="R"))),"",IFERROR(VLOOKUP(MID(H128,2,1),Map!$J$2:$M$10,2,FALSE),""))</f>
        <v/>
      </c>
      <c r="K128" t="str">
        <f t="shared" si="15"/>
        <v/>
      </c>
      <c r="L128" t="str">
        <f t="shared" si="16"/>
        <v/>
      </c>
      <c r="M128" t="str">
        <f t="shared" si="17"/>
        <v/>
      </c>
      <c r="N128" t="str">
        <f t="shared" si="18"/>
        <v/>
      </c>
      <c r="O128" t="str">
        <f t="shared" si="19"/>
        <v/>
      </c>
      <c r="P128" t="str">
        <f>IF(OR(H128="",NOT(OR(LEFT(H128,1)="G",LEFT(H128,1)="R"))),"",IFERROR(VLOOKUP(MID(H128,3,1),Map!$G$2:$H$10,2,FALSE),""))</f>
        <v/>
      </c>
      <c r="Q128" t="str">
        <f>IF(A128="","",IFERROR(VLOOKUP(MID(A128,4,1),Map!$O$2:$P$10,2,FALSE),""))</f>
        <v/>
      </c>
    </row>
    <row r="129" spans="2:17" x14ac:dyDescent="0.25">
      <c r="B129" t="str">
        <f t="shared" si="10"/>
        <v/>
      </c>
      <c r="C129" t="str">
        <f t="shared" si="11"/>
        <v>**</v>
      </c>
      <c r="D129" t="str">
        <f t="shared" si="12"/>
        <v/>
      </c>
      <c r="E129" t="str">
        <f>IFERROR(VLOOKUP(MID(A129,7,2),Map!$A$2:$B$20,2,FALSE),"")</f>
        <v/>
      </c>
      <c r="F129" t="str">
        <f>IF(A129="","",IFERROR(VLOOKUP(MID(A129,9,2),Map!$R$2:$S$14,2,FALSE),""))</f>
        <v/>
      </c>
      <c r="G129" t="str">
        <f t="shared" si="13"/>
        <v/>
      </c>
      <c r="H129" t="str">
        <f t="shared" si="14"/>
        <v/>
      </c>
      <c r="I129" t="str">
        <f>IF(A129="","",IFERROR(VLOOKUP(LEFT(A129,1),Map!$D$2:$E$20,2,FALSE),""))</f>
        <v/>
      </c>
      <c r="J129" t="str">
        <f>IF(OR(H129="",NOT(OR(LEFT(H129,1)="G",LEFT(H129,1)="R"))),"",IFERROR(VLOOKUP(MID(H129,2,1),Map!$J$2:$M$10,2,FALSE),""))</f>
        <v/>
      </c>
      <c r="K129" t="str">
        <f t="shared" si="15"/>
        <v/>
      </c>
      <c r="L129" t="str">
        <f t="shared" si="16"/>
        <v/>
      </c>
      <c r="M129" t="str">
        <f t="shared" si="17"/>
        <v/>
      </c>
      <c r="N129" t="str">
        <f t="shared" si="18"/>
        <v/>
      </c>
      <c r="O129" t="str">
        <f t="shared" si="19"/>
        <v/>
      </c>
      <c r="P129" t="str">
        <f>IF(OR(H129="",NOT(OR(LEFT(H129,1)="G",LEFT(H129,1)="R"))),"",IFERROR(VLOOKUP(MID(H129,3,1),Map!$G$2:$H$10,2,FALSE),""))</f>
        <v/>
      </c>
      <c r="Q129" t="str">
        <f>IF(A129="","",IFERROR(VLOOKUP(MID(A129,4,1),Map!$O$2:$P$10,2,FALSE),""))</f>
        <v/>
      </c>
    </row>
    <row r="130" spans="2:17" x14ac:dyDescent="0.25">
      <c r="B130" t="str">
        <f t="shared" ref="B130:B193" si="20">LEFT(A130,4)</f>
        <v/>
      </c>
      <c r="C130" t="str">
        <f t="shared" ref="C130:C193" si="21">LEFT(A130,2)&amp;"**"</f>
        <v>**</v>
      </c>
      <c r="D130" t="str">
        <f t="shared" ref="D130:D193" si="22">MID(A130,5,2)</f>
        <v/>
      </c>
      <c r="E130" t="str">
        <f>IFERROR(VLOOKUP(MID(A130,7,2),Map!$A$2:$B$20,2,FALSE),"")</f>
        <v/>
      </c>
      <c r="F130" t="str">
        <f>IF(A130="","",IFERROR(VLOOKUP(MID(A130,9,2),Map!$R$2:$S$14,2,FALSE),""))</f>
        <v/>
      </c>
      <c r="G130" t="str">
        <f t="shared" ref="G130:G193" si="23">IFERROR(MID(A130,FIND("-",A130)+1,FIND("-",A130,FIND("-",A130)+1)-FIND("-",A130)-1),"")</f>
        <v/>
      </c>
      <c r="H130" t="str">
        <f t="shared" ref="H130:H193" si="24">IFERROR(RIGHT(A130,LEN(A130)-FIND("-",A130,FIND("-",A130)+1)),"")</f>
        <v/>
      </c>
      <c r="I130" t="str">
        <f>IF(A130="","",IFERROR(VLOOKUP(LEFT(A130,1),Map!$D$2:$E$20,2,FALSE),""))</f>
        <v/>
      </c>
      <c r="J130" t="str">
        <f>IF(OR(H130="",NOT(OR(LEFT(H130,1)="G",LEFT(H130,1)="R"))),"",IFERROR(VLOOKUP(MID(H130,2,1),Map!$J$2:$M$10,2,FALSE),""))</f>
        <v/>
      </c>
      <c r="K130" t="str">
        <f t="shared" ref="K130:K193" si="25">IF(OR(H130="",NOT(OR(LEFT(H130,1)="G",LEFT(H130,1)="R")),MID(H130,2,1)&lt;&gt;"A"),"","M")</f>
        <v/>
      </c>
      <c r="L130" t="str">
        <f t="shared" ref="L130:L193" si="26">IF(OR(H130="",NOT(OR(LEFT(H130,1)="G",LEFT(H130,1)="R")),MID(H130,2,1)&lt;&gt;"A"),"","K")</f>
        <v/>
      </c>
      <c r="M130" t="str">
        <f t="shared" ref="M130:M193" si="27">IF(OR(H130="",NOT(OR(LEFT(H130,1)="G",LEFT(H130,1)="R"))),"","")</f>
        <v/>
      </c>
      <c r="N130" t="str">
        <f t="shared" ref="N130:N193" si="28">IF(OR(H130="",NOT(OR(LEFT(H130,1)="G",LEFT(H130,1)="R"))),"","")</f>
        <v/>
      </c>
      <c r="O130" t="str">
        <f t="shared" ref="O130:O193" si="29">IF(OR(H130="",NOT(OR(LEFT(H130,1)="G",LEFT(H130,1)="R"))),"","")</f>
        <v/>
      </c>
      <c r="P130" t="str">
        <f>IF(OR(H130="",NOT(OR(LEFT(H130,1)="G",LEFT(H130,1)="R"))),"",IFERROR(VLOOKUP(MID(H130,3,1),Map!$G$2:$H$10,2,FALSE),""))</f>
        <v/>
      </c>
      <c r="Q130" t="str">
        <f>IF(A130="","",IFERROR(VLOOKUP(MID(A130,4,1),Map!$O$2:$P$10,2,FALSE),""))</f>
        <v/>
      </c>
    </row>
    <row r="131" spans="2:17" x14ac:dyDescent="0.25">
      <c r="B131" t="str">
        <f t="shared" si="20"/>
        <v/>
      </c>
      <c r="C131" t="str">
        <f t="shared" si="21"/>
        <v>**</v>
      </c>
      <c r="D131" t="str">
        <f t="shared" si="22"/>
        <v/>
      </c>
      <c r="E131" t="str">
        <f>IFERROR(VLOOKUP(MID(A131,7,2),Map!$A$2:$B$20,2,FALSE),"")</f>
        <v/>
      </c>
      <c r="F131" t="str">
        <f>IF(A131="","",IFERROR(VLOOKUP(MID(A131,9,2),Map!$R$2:$S$14,2,FALSE),""))</f>
        <v/>
      </c>
      <c r="G131" t="str">
        <f t="shared" si="23"/>
        <v/>
      </c>
      <c r="H131" t="str">
        <f t="shared" si="24"/>
        <v/>
      </c>
      <c r="I131" t="str">
        <f>IF(A131="","",IFERROR(VLOOKUP(LEFT(A131,1),Map!$D$2:$E$20,2,FALSE),""))</f>
        <v/>
      </c>
      <c r="J131" t="str">
        <f>IF(OR(H131="",NOT(OR(LEFT(H131,1)="G",LEFT(H131,1)="R"))),"",IFERROR(VLOOKUP(MID(H131,2,1),Map!$J$2:$M$10,2,FALSE),""))</f>
        <v/>
      </c>
      <c r="K131" t="str">
        <f t="shared" si="25"/>
        <v/>
      </c>
      <c r="L131" t="str">
        <f t="shared" si="26"/>
        <v/>
      </c>
      <c r="M131" t="str">
        <f t="shared" si="27"/>
        <v/>
      </c>
      <c r="N131" t="str">
        <f t="shared" si="28"/>
        <v/>
      </c>
      <c r="O131" t="str">
        <f t="shared" si="29"/>
        <v/>
      </c>
      <c r="P131" t="str">
        <f>IF(OR(H131="",NOT(OR(LEFT(H131,1)="G",LEFT(H131,1)="R"))),"",IFERROR(VLOOKUP(MID(H131,3,1),Map!$G$2:$H$10,2,FALSE),""))</f>
        <v/>
      </c>
      <c r="Q131" t="str">
        <f>IF(A131="","",IFERROR(VLOOKUP(MID(A131,4,1),Map!$O$2:$P$10,2,FALSE),""))</f>
        <v/>
      </c>
    </row>
    <row r="132" spans="2:17" x14ac:dyDescent="0.25">
      <c r="B132" t="str">
        <f t="shared" si="20"/>
        <v/>
      </c>
      <c r="C132" t="str">
        <f t="shared" si="21"/>
        <v>**</v>
      </c>
      <c r="D132" t="str">
        <f t="shared" si="22"/>
        <v/>
      </c>
      <c r="E132" t="str">
        <f>IFERROR(VLOOKUP(MID(A132,7,2),Map!$A$2:$B$20,2,FALSE),"")</f>
        <v/>
      </c>
      <c r="F132" t="str">
        <f>IF(A132="","",IFERROR(VLOOKUP(MID(A132,9,2),Map!$R$2:$S$14,2,FALSE),""))</f>
        <v/>
      </c>
      <c r="G132" t="str">
        <f t="shared" si="23"/>
        <v/>
      </c>
      <c r="H132" t="str">
        <f t="shared" si="24"/>
        <v/>
      </c>
      <c r="I132" t="str">
        <f>IF(A132="","",IFERROR(VLOOKUP(LEFT(A132,1),Map!$D$2:$E$20,2,FALSE),""))</f>
        <v/>
      </c>
      <c r="J132" t="str">
        <f>IF(OR(H132="",NOT(OR(LEFT(H132,1)="G",LEFT(H132,1)="R"))),"",IFERROR(VLOOKUP(MID(H132,2,1),Map!$J$2:$M$10,2,FALSE),""))</f>
        <v/>
      </c>
      <c r="K132" t="str">
        <f t="shared" si="25"/>
        <v/>
      </c>
      <c r="L132" t="str">
        <f t="shared" si="26"/>
        <v/>
      </c>
      <c r="M132" t="str">
        <f t="shared" si="27"/>
        <v/>
      </c>
      <c r="N132" t="str">
        <f t="shared" si="28"/>
        <v/>
      </c>
      <c r="O132" t="str">
        <f t="shared" si="29"/>
        <v/>
      </c>
      <c r="P132" t="str">
        <f>IF(OR(H132="",NOT(OR(LEFT(H132,1)="G",LEFT(H132,1)="R"))),"",IFERROR(VLOOKUP(MID(H132,3,1),Map!$G$2:$H$10,2,FALSE),""))</f>
        <v/>
      </c>
      <c r="Q132" t="str">
        <f>IF(A132="","",IFERROR(VLOOKUP(MID(A132,4,1),Map!$O$2:$P$10,2,FALSE),""))</f>
        <v/>
      </c>
    </row>
    <row r="133" spans="2:17" x14ac:dyDescent="0.25">
      <c r="B133" t="str">
        <f t="shared" si="20"/>
        <v/>
      </c>
      <c r="C133" t="str">
        <f t="shared" si="21"/>
        <v>**</v>
      </c>
      <c r="D133" t="str">
        <f t="shared" si="22"/>
        <v/>
      </c>
      <c r="E133" t="str">
        <f>IFERROR(VLOOKUP(MID(A133,7,2),Map!$A$2:$B$20,2,FALSE),"")</f>
        <v/>
      </c>
      <c r="F133" t="str">
        <f>IF(A133="","",IFERROR(VLOOKUP(MID(A133,9,2),Map!$R$2:$S$14,2,FALSE),""))</f>
        <v/>
      </c>
      <c r="G133" t="str">
        <f t="shared" si="23"/>
        <v/>
      </c>
      <c r="H133" t="str">
        <f t="shared" si="24"/>
        <v/>
      </c>
      <c r="I133" t="str">
        <f>IF(A133="","",IFERROR(VLOOKUP(LEFT(A133,1),Map!$D$2:$E$20,2,FALSE),""))</f>
        <v/>
      </c>
      <c r="J133" t="str">
        <f>IF(OR(H133="",NOT(OR(LEFT(H133,1)="G",LEFT(H133,1)="R"))),"",IFERROR(VLOOKUP(MID(H133,2,1),Map!$J$2:$M$10,2,FALSE),""))</f>
        <v/>
      </c>
      <c r="K133" t="str">
        <f t="shared" si="25"/>
        <v/>
      </c>
      <c r="L133" t="str">
        <f t="shared" si="26"/>
        <v/>
      </c>
      <c r="M133" t="str">
        <f t="shared" si="27"/>
        <v/>
      </c>
      <c r="N133" t="str">
        <f t="shared" si="28"/>
        <v/>
      </c>
      <c r="O133" t="str">
        <f t="shared" si="29"/>
        <v/>
      </c>
      <c r="P133" t="str">
        <f>IF(OR(H133="",NOT(OR(LEFT(H133,1)="G",LEFT(H133,1)="R"))),"",IFERROR(VLOOKUP(MID(H133,3,1),Map!$G$2:$H$10,2,FALSE),""))</f>
        <v/>
      </c>
      <c r="Q133" t="str">
        <f>IF(A133="","",IFERROR(VLOOKUP(MID(A133,4,1),Map!$O$2:$P$10,2,FALSE),""))</f>
        <v/>
      </c>
    </row>
    <row r="134" spans="2:17" x14ac:dyDescent="0.25">
      <c r="B134" t="str">
        <f t="shared" si="20"/>
        <v/>
      </c>
      <c r="C134" t="str">
        <f t="shared" si="21"/>
        <v>**</v>
      </c>
      <c r="D134" t="str">
        <f t="shared" si="22"/>
        <v/>
      </c>
      <c r="E134" t="str">
        <f>IFERROR(VLOOKUP(MID(A134,7,2),Map!$A$2:$B$20,2,FALSE),"")</f>
        <v/>
      </c>
      <c r="F134" t="str">
        <f>IF(A134="","",IFERROR(VLOOKUP(MID(A134,9,2),Map!$R$2:$S$14,2,FALSE),""))</f>
        <v/>
      </c>
      <c r="G134" t="str">
        <f t="shared" si="23"/>
        <v/>
      </c>
      <c r="H134" t="str">
        <f t="shared" si="24"/>
        <v/>
      </c>
      <c r="I134" t="str">
        <f>IF(A134="","",IFERROR(VLOOKUP(LEFT(A134,1),Map!$D$2:$E$20,2,FALSE),""))</f>
        <v/>
      </c>
      <c r="J134" t="str">
        <f>IF(OR(H134="",NOT(OR(LEFT(H134,1)="G",LEFT(H134,1)="R"))),"",IFERROR(VLOOKUP(MID(H134,2,1),Map!$J$2:$M$10,2,FALSE),""))</f>
        <v/>
      </c>
      <c r="K134" t="str">
        <f t="shared" si="25"/>
        <v/>
      </c>
      <c r="L134" t="str">
        <f t="shared" si="26"/>
        <v/>
      </c>
      <c r="M134" t="str">
        <f t="shared" si="27"/>
        <v/>
      </c>
      <c r="N134" t="str">
        <f t="shared" si="28"/>
        <v/>
      </c>
      <c r="O134" t="str">
        <f t="shared" si="29"/>
        <v/>
      </c>
      <c r="P134" t="str">
        <f>IF(OR(H134="",NOT(OR(LEFT(H134,1)="G",LEFT(H134,1)="R"))),"",IFERROR(VLOOKUP(MID(H134,3,1),Map!$G$2:$H$10,2,FALSE),""))</f>
        <v/>
      </c>
      <c r="Q134" t="str">
        <f>IF(A134="","",IFERROR(VLOOKUP(MID(A134,4,1),Map!$O$2:$P$10,2,FALSE),""))</f>
        <v/>
      </c>
    </row>
    <row r="135" spans="2:17" x14ac:dyDescent="0.25">
      <c r="B135" t="str">
        <f t="shared" si="20"/>
        <v/>
      </c>
      <c r="C135" t="str">
        <f t="shared" si="21"/>
        <v>**</v>
      </c>
      <c r="D135" t="str">
        <f t="shared" si="22"/>
        <v/>
      </c>
      <c r="E135" t="str">
        <f>IFERROR(VLOOKUP(MID(A135,7,2),Map!$A$2:$B$20,2,FALSE),"")</f>
        <v/>
      </c>
      <c r="F135" t="str">
        <f>IF(A135="","",IFERROR(VLOOKUP(MID(A135,9,2),Map!$R$2:$S$14,2,FALSE),""))</f>
        <v/>
      </c>
      <c r="G135" t="str">
        <f t="shared" si="23"/>
        <v/>
      </c>
      <c r="H135" t="str">
        <f t="shared" si="24"/>
        <v/>
      </c>
      <c r="I135" t="str">
        <f>IF(A135="","",IFERROR(VLOOKUP(LEFT(A135,1),Map!$D$2:$E$20,2,FALSE),""))</f>
        <v/>
      </c>
      <c r="J135" t="str">
        <f>IF(OR(H135="",NOT(OR(LEFT(H135,1)="G",LEFT(H135,1)="R"))),"",IFERROR(VLOOKUP(MID(H135,2,1),Map!$J$2:$M$10,2,FALSE),""))</f>
        <v/>
      </c>
      <c r="K135" t="str">
        <f t="shared" si="25"/>
        <v/>
      </c>
      <c r="L135" t="str">
        <f t="shared" si="26"/>
        <v/>
      </c>
      <c r="M135" t="str">
        <f t="shared" si="27"/>
        <v/>
      </c>
      <c r="N135" t="str">
        <f t="shared" si="28"/>
        <v/>
      </c>
      <c r="O135" t="str">
        <f t="shared" si="29"/>
        <v/>
      </c>
      <c r="P135" t="str">
        <f>IF(OR(H135="",NOT(OR(LEFT(H135,1)="G",LEFT(H135,1)="R"))),"",IFERROR(VLOOKUP(MID(H135,3,1),Map!$G$2:$H$10,2,FALSE),""))</f>
        <v/>
      </c>
      <c r="Q135" t="str">
        <f>IF(A135="","",IFERROR(VLOOKUP(MID(A135,4,1),Map!$O$2:$P$10,2,FALSE),""))</f>
        <v/>
      </c>
    </row>
    <row r="136" spans="2:17" x14ac:dyDescent="0.25">
      <c r="B136" t="str">
        <f t="shared" si="20"/>
        <v/>
      </c>
      <c r="C136" t="str">
        <f t="shared" si="21"/>
        <v>**</v>
      </c>
      <c r="D136" t="str">
        <f t="shared" si="22"/>
        <v/>
      </c>
      <c r="E136" t="str">
        <f>IFERROR(VLOOKUP(MID(A136,7,2),Map!$A$2:$B$20,2,FALSE),"")</f>
        <v/>
      </c>
      <c r="F136" t="str">
        <f>IF(A136="","",IFERROR(VLOOKUP(MID(A136,9,2),Map!$R$2:$S$14,2,FALSE),""))</f>
        <v/>
      </c>
      <c r="G136" t="str">
        <f t="shared" si="23"/>
        <v/>
      </c>
      <c r="H136" t="str">
        <f t="shared" si="24"/>
        <v/>
      </c>
      <c r="I136" t="str">
        <f>IF(A136="","",IFERROR(VLOOKUP(LEFT(A136,1),Map!$D$2:$E$20,2,FALSE),""))</f>
        <v/>
      </c>
      <c r="J136" t="str">
        <f>IF(OR(H136="",NOT(OR(LEFT(H136,1)="G",LEFT(H136,1)="R"))),"",IFERROR(VLOOKUP(MID(H136,2,1),Map!$J$2:$M$10,2,FALSE),""))</f>
        <v/>
      </c>
      <c r="K136" t="str">
        <f t="shared" si="25"/>
        <v/>
      </c>
      <c r="L136" t="str">
        <f t="shared" si="26"/>
        <v/>
      </c>
      <c r="M136" t="str">
        <f t="shared" si="27"/>
        <v/>
      </c>
      <c r="N136" t="str">
        <f t="shared" si="28"/>
        <v/>
      </c>
      <c r="O136" t="str">
        <f t="shared" si="29"/>
        <v/>
      </c>
      <c r="P136" t="str">
        <f>IF(OR(H136="",NOT(OR(LEFT(H136,1)="G",LEFT(H136,1)="R"))),"",IFERROR(VLOOKUP(MID(H136,3,1),Map!$G$2:$H$10,2,FALSE),""))</f>
        <v/>
      </c>
      <c r="Q136" t="str">
        <f>IF(A136="","",IFERROR(VLOOKUP(MID(A136,4,1),Map!$O$2:$P$10,2,FALSE),""))</f>
        <v/>
      </c>
    </row>
    <row r="137" spans="2:17" x14ac:dyDescent="0.25">
      <c r="B137" t="str">
        <f t="shared" si="20"/>
        <v/>
      </c>
      <c r="C137" t="str">
        <f t="shared" si="21"/>
        <v>**</v>
      </c>
      <c r="D137" t="str">
        <f t="shared" si="22"/>
        <v/>
      </c>
      <c r="E137" t="str">
        <f>IFERROR(VLOOKUP(MID(A137,7,2),Map!$A$2:$B$20,2,FALSE),"")</f>
        <v/>
      </c>
      <c r="F137" t="str">
        <f>IF(A137="","",IFERROR(VLOOKUP(MID(A137,9,2),Map!$R$2:$S$14,2,FALSE),""))</f>
        <v/>
      </c>
      <c r="G137" t="str">
        <f t="shared" si="23"/>
        <v/>
      </c>
      <c r="H137" t="str">
        <f t="shared" si="24"/>
        <v/>
      </c>
      <c r="I137" t="str">
        <f>IF(A137="","",IFERROR(VLOOKUP(LEFT(A137,1),Map!$D$2:$E$20,2,FALSE),""))</f>
        <v/>
      </c>
      <c r="J137" t="str">
        <f>IF(OR(H137="",NOT(OR(LEFT(H137,1)="G",LEFT(H137,1)="R"))),"",IFERROR(VLOOKUP(MID(H137,2,1),Map!$J$2:$M$10,2,FALSE),""))</f>
        <v/>
      </c>
      <c r="K137" t="str">
        <f t="shared" si="25"/>
        <v/>
      </c>
      <c r="L137" t="str">
        <f t="shared" si="26"/>
        <v/>
      </c>
      <c r="M137" t="str">
        <f t="shared" si="27"/>
        <v/>
      </c>
      <c r="N137" t="str">
        <f t="shared" si="28"/>
        <v/>
      </c>
      <c r="O137" t="str">
        <f t="shared" si="29"/>
        <v/>
      </c>
      <c r="P137" t="str">
        <f>IF(OR(H137="",NOT(OR(LEFT(H137,1)="G",LEFT(H137,1)="R"))),"",IFERROR(VLOOKUP(MID(H137,3,1),Map!$G$2:$H$10,2,FALSE),""))</f>
        <v/>
      </c>
      <c r="Q137" t="str">
        <f>IF(A137="","",IFERROR(VLOOKUP(MID(A137,4,1),Map!$O$2:$P$10,2,FALSE),""))</f>
        <v/>
      </c>
    </row>
    <row r="138" spans="2:17" x14ac:dyDescent="0.25">
      <c r="B138" t="str">
        <f t="shared" si="20"/>
        <v/>
      </c>
      <c r="C138" t="str">
        <f t="shared" si="21"/>
        <v>**</v>
      </c>
      <c r="D138" t="str">
        <f t="shared" si="22"/>
        <v/>
      </c>
      <c r="E138" t="str">
        <f>IFERROR(VLOOKUP(MID(A138,7,2),Map!$A$2:$B$20,2,FALSE),"")</f>
        <v/>
      </c>
      <c r="F138" t="str">
        <f>IF(A138="","",IFERROR(VLOOKUP(MID(A138,9,2),Map!$R$2:$S$14,2,FALSE),""))</f>
        <v/>
      </c>
      <c r="G138" t="str">
        <f t="shared" si="23"/>
        <v/>
      </c>
      <c r="H138" t="str">
        <f t="shared" si="24"/>
        <v/>
      </c>
      <c r="I138" t="str">
        <f>IF(A138="","",IFERROR(VLOOKUP(LEFT(A138,1),Map!$D$2:$E$20,2,FALSE),""))</f>
        <v/>
      </c>
      <c r="J138" t="str">
        <f>IF(OR(H138="",NOT(OR(LEFT(H138,1)="G",LEFT(H138,1)="R"))),"",IFERROR(VLOOKUP(MID(H138,2,1),Map!$J$2:$M$10,2,FALSE),""))</f>
        <v/>
      </c>
      <c r="K138" t="str">
        <f t="shared" si="25"/>
        <v/>
      </c>
      <c r="L138" t="str">
        <f t="shared" si="26"/>
        <v/>
      </c>
      <c r="M138" t="str">
        <f t="shared" si="27"/>
        <v/>
      </c>
      <c r="N138" t="str">
        <f t="shared" si="28"/>
        <v/>
      </c>
      <c r="O138" t="str">
        <f t="shared" si="29"/>
        <v/>
      </c>
      <c r="P138" t="str">
        <f>IF(OR(H138="",NOT(OR(LEFT(H138,1)="G",LEFT(H138,1)="R"))),"",IFERROR(VLOOKUP(MID(H138,3,1),Map!$G$2:$H$10,2,FALSE),""))</f>
        <v/>
      </c>
      <c r="Q138" t="str">
        <f>IF(A138="","",IFERROR(VLOOKUP(MID(A138,4,1),Map!$O$2:$P$10,2,FALSE),""))</f>
        <v/>
      </c>
    </row>
    <row r="139" spans="2:17" x14ac:dyDescent="0.25">
      <c r="B139" t="str">
        <f t="shared" si="20"/>
        <v/>
      </c>
      <c r="C139" t="str">
        <f t="shared" si="21"/>
        <v>**</v>
      </c>
      <c r="D139" t="str">
        <f t="shared" si="22"/>
        <v/>
      </c>
      <c r="E139" t="str">
        <f>IFERROR(VLOOKUP(MID(A139,7,2),Map!$A$2:$B$20,2,FALSE),"")</f>
        <v/>
      </c>
      <c r="F139" t="str">
        <f>IF(A139="","",IFERROR(VLOOKUP(MID(A139,9,2),Map!$R$2:$S$14,2,FALSE),""))</f>
        <v/>
      </c>
      <c r="G139" t="str">
        <f t="shared" si="23"/>
        <v/>
      </c>
      <c r="H139" t="str">
        <f t="shared" si="24"/>
        <v/>
      </c>
      <c r="I139" t="str">
        <f>IF(A139="","",IFERROR(VLOOKUP(LEFT(A139,1),Map!$D$2:$E$20,2,FALSE),""))</f>
        <v/>
      </c>
      <c r="J139" t="str">
        <f>IF(OR(H139="",NOT(OR(LEFT(H139,1)="G",LEFT(H139,1)="R"))),"",IFERROR(VLOOKUP(MID(H139,2,1),Map!$J$2:$M$10,2,FALSE),""))</f>
        <v/>
      </c>
      <c r="K139" t="str">
        <f t="shared" si="25"/>
        <v/>
      </c>
      <c r="L139" t="str">
        <f t="shared" si="26"/>
        <v/>
      </c>
      <c r="M139" t="str">
        <f t="shared" si="27"/>
        <v/>
      </c>
      <c r="N139" t="str">
        <f t="shared" si="28"/>
        <v/>
      </c>
      <c r="O139" t="str">
        <f t="shared" si="29"/>
        <v/>
      </c>
      <c r="P139" t="str">
        <f>IF(OR(H139="",NOT(OR(LEFT(H139,1)="G",LEFT(H139,1)="R"))),"",IFERROR(VLOOKUP(MID(H139,3,1),Map!$G$2:$H$10,2,FALSE),""))</f>
        <v/>
      </c>
      <c r="Q139" t="str">
        <f>IF(A139="","",IFERROR(VLOOKUP(MID(A139,4,1),Map!$O$2:$P$10,2,FALSE),""))</f>
        <v/>
      </c>
    </row>
    <row r="140" spans="2:17" x14ac:dyDescent="0.25">
      <c r="B140" t="str">
        <f t="shared" si="20"/>
        <v/>
      </c>
      <c r="C140" t="str">
        <f t="shared" si="21"/>
        <v>**</v>
      </c>
      <c r="D140" t="str">
        <f t="shared" si="22"/>
        <v/>
      </c>
      <c r="E140" t="str">
        <f>IFERROR(VLOOKUP(MID(A140,7,2),Map!$A$2:$B$20,2,FALSE),"")</f>
        <v/>
      </c>
      <c r="F140" t="str">
        <f>IF(A140="","",IFERROR(VLOOKUP(MID(A140,9,2),Map!$R$2:$S$14,2,FALSE),""))</f>
        <v/>
      </c>
      <c r="G140" t="str">
        <f t="shared" si="23"/>
        <v/>
      </c>
      <c r="H140" t="str">
        <f t="shared" si="24"/>
        <v/>
      </c>
      <c r="I140" t="str">
        <f>IF(A140="","",IFERROR(VLOOKUP(LEFT(A140,1),Map!$D$2:$E$20,2,FALSE),""))</f>
        <v/>
      </c>
      <c r="J140" t="str">
        <f>IF(OR(H140="",NOT(OR(LEFT(H140,1)="G",LEFT(H140,1)="R"))),"",IFERROR(VLOOKUP(MID(H140,2,1),Map!$J$2:$M$10,2,FALSE),""))</f>
        <v/>
      </c>
      <c r="K140" t="str">
        <f t="shared" si="25"/>
        <v/>
      </c>
      <c r="L140" t="str">
        <f t="shared" si="26"/>
        <v/>
      </c>
      <c r="M140" t="str">
        <f t="shared" si="27"/>
        <v/>
      </c>
      <c r="N140" t="str">
        <f t="shared" si="28"/>
        <v/>
      </c>
      <c r="O140" t="str">
        <f t="shared" si="29"/>
        <v/>
      </c>
      <c r="P140" t="str">
        <f>IF(OR(H140="",NOT(OR(LEFT(H140,1)="G",LEFT(H140,1)="R"))),"",IFERROR(VLOOKUP(MID(H140,3,1),Map!$G$2:$H$10,2,FALSE),""))</f>
        <v/>
      </c>
      <c r="Q140" t="str">
        <f>IF(A140="","",IFERROR(VLOOKUP(MID(A140,4,1),Map!$O$2:$P$10,2,FALSE),""))</f>
        <v/>
      </c>
    </row>
    <row r="141" spans="2:17" x14ac:dyDescent="0.25">
      <c r="B141" t="str">
        <f t="shared" si="20"/>
        <v/>
      </c>
      <c r="C141" t="str">
        <f t="shared" si="21"/>
        <v>**</v>
      </c>
      <c r="D141" t="str">
        <f t="shared" si="22"/>
        <v/>
      </c>
      <c r="E141" t="str">
        <f>IFERROR(VLOOKUP(MID(A141,7,2),Map!$A$2:$B$20,2,FALSE),"")</f>
        <v/>
      </c>
      <c r="F141" t="str">
        <f>IF(A141="","",IFERROR(VLOOKUP(MID(A141,9,2),Map!$R$2:$S$14,2,FALSE),""))</f>
        <v/>
      </c>
      <c r="G141" t="str">
        <f t="shared" si="23"/>
        <v/>
      </c>
      <c r="H141" t="str">
        <f t="shared" si="24"/>
        <v/>
      </c>
      <c r="I141" t="str">
        <f>IF(A141="","",IFERROR(VLOOKUP(LEFT(A141,1),Map!$D$2:$E$20,2,FALSE),""))</f>
        <v/>
      </c>
      <c r="J141" t="str">
        <f>IF(OR(H141="",NOT(OR(LEFT(H141,1)="G",LEFT(H141,1)="R"))),"",IFERROR(VLOOKUP(MID(H141,2,1),Map!$J$2:$M$10,2,FALSE),""))</f>
        <v/>
      </c>
      <c r="K141" t="str">
        <f t="shared" si="25"/>
        <v/>
      </c>
      <c r="L141" t="str">
        <f t="shared" si="26"/>
        <v/>
      </c>
      <c r="M141" t="str">
        <f t="shared" si="27"/>
        <v/>
      </c>
      <c r="N141" t="str">
        <f t="shared" si="28"/>
        <v/>
      </c>
      <c r="O141" t="str">
        <f t="shared" si="29"/>
        <v/>
      </c>
      <c r="P141" t="str">
        <f>IF(OR(H141="",NOT(OR(LEFT(H141,1)="G",LEFT(H141,1)="R"))),"",IFERROR(VLOOKUP(MID(H141,3,1),Map!$G$2:$H$10,2,FALSE),""))</f>
        <v/>
      </c>
      <c r="Q141" t="str">
        <f>IF(A141="","",IFERROR(VLOOKUP(MID(A141,4,1),Map!$O$2:$P$10,2,FALSE),""))</f>
        <v/>
      </c>
    </row>
    <row r="142" spans="2:17" x14ac:dyDescent="0.25">
      <c r="B142" t="str">
        <f t="shared" si="20"/>
        <v/>
      </c>
      <c r="C142" t="str">
        <f t="shared" si="21"/>
        <v>**</v>
      </c>
      <c r="D142" t="str">
        <f t="shared" si="22"/>
        <v/>
      </c>
      <c r="E142" t="str">
        <f>IFERROR(VLOOKUP(MID(A142,7,2),Map!$A$2:$B$20,2,FALSE),"")</f>
        <v/>
      </c>
      <c r="F142" t="str">
        <f>IF(A142="","",IFERROR(VLOOKUP(MID(A142,9,2),Map!$R$2:$S$14,2,FALSE),""))</f>
        <v/>
      </c>
      <c r="G142" t="str">
        <f t="shared" si="23"/>
        <v/>
      </c>
      <c r="H142" t="str">
        <f t="shared" si="24"/>
        <v/>
      </c>
      <c r="I142" t="str">
        <f>IF(A142="","",IFERROR(VLOOKUP(LEFT(A142,1),Map!$D$2:$E$20,2,FALSE),""))</f>
        <v/>
      </c>
      <c r="J142" t="str">
        <f>IF(OR(H142="",NOT(OR(LEFT(H142,1)="G",LEFT(H142,1)="R"))),"",IFERROR(VLOOKUP(MID(H142,2,1),Map!$J$2:$M$10,2,FALSE),""))</f>
        <v/>
      </c>
      <c r="K142" t="str">
        <f t="shared" si="25"/>
        <v/>
      </c>
      <c r="L142" t="str">
        <f t="shared" si="26"/>
        <v/>
      </c>
      <c r="M142" t="str">
        <f t="shared" si="27"/>
        <v/>
      </c>
      <c r="N142" t="str">
        <f t="shared" si="28"/>
        <v/>
      </c>
      <c r="O142" t="str">
        <f t="shared" si="29"/>
        <v/>
      </c>
      <c r="P142" t="str">
        <f>IF(OR(H142="",NOT(OR(LEFT(H142,1)="G",LEFT(H142,1)="R"))),"",IFERROR(VLOOKUP(MID(H142,3,1),Map!$G$2:$H$10,2,FALSE),""))</f>
        <v/>
      </c>
      <c r="Q142" t="str">
        <f>IF(A142="","",IFERROR(VLOOKUP(MID(A142,4,1),Map!$O$2:$P$10,2,FALSE),""))</f>
        <v/>
      </c>
    </row>
    <row r="143" spans="2:17" x14ac:dyDescent="0.25">
      <c r="B143" t="str">
        <f t="shared" si="20"/>
        <v/>
      </c>
      <c r="C143" t="str">
        <f t="shared" si="21"/>
        <v>**</v>
      </c>
      <c r="D143" t="str">
        <f t="shared" si="22"/>
        <v/>
      </c>
      <c r="E143" t="str">
        <f>IFERROR(VLOOKUP(MID(A143,7,2),Map!$A$2:$B$20,2,FALSE),"")</f>
        <v/>
      </c>
      <c r="F143" t="str">
        <f>IF(A143="","",IFERROR(VLOOKUP(MID(A143,9,2),Map!$R$2:$S$14,2,FALSE),""))</f>
        <v/>
      </c>
      <c r="G143" t="str">
        <f t="shared" si="23"/>
        <v/>
      </c>
      <c r="H143" t="str">
        <f t="shared" si="24"/>
        <v/>
      </c>
      <c r="I143" t="str">
        <f>IF(A143="","",IFERROR(VLOOKUP(LEFT(A143,1),Map!$D$2:$E$20,2,FALSE),""))</f>
        <v/>
      </c>
      <c r="J143" t="str">
        <f>IF(OR(H143="",NOT(OR(LEFT(H143,1)="G",LEFT(H143,1)="R"))),"",IFERROR(VLOOKUP(MID(H143,2,1),Map!$J$2:$M$10,2,FALSE),""))</f>
        <v/>
      </c>
      <c r="K143" t="str">
        <f t="shared" si="25"/>
        <v/>
      </c>
      <c r="L143" t="str">
        <f t="shared" si="26"/>
        <v/>
      </c>
      <c r="M143" t="str">
        <f t="shared" si="27"/>
        <v/>
      </c>
      <c r="N143" t="str">
        <f t="shared" si="28"/>
        <v/>
      </c>
      <c r="O143" t="str">
        <f t="shared" si="29"/>
        <v/>
      </c>
      <c r="P143" t="str">
        <f>IF(OR(H143="",NOT(OR(LEFT(H143,1)="G",LEFT(H143,1)="R"))),"",IFERROR(VLOOKUP(MID(H143,3,1),Map!$G$2:$H$10,2,FALSE),""))</f>
        <v/>
      </c>
      <c r="Q143" t="str">
        <f>IF(A143="","",IFERROR(VLOOKUP(MID(A143,4,1),Map!$O$2:$P$10,2,FALSE),""))</f>
        <v/>
      </c>
    </row>
    <row r="144" spans="2:17" x14ac:dyDescent="0.25">
      <c r="B144" t="str">
        <f t="shared" si="20"/>
        <v/>
      </c>
      <c r="C144" t="str">
        <f t="shared" si="21"/>
        <v>**</v>
      </c>
      <c r="D144" t="str">
        <f t="shared" si="22"/>
        <v/>
      </c>
      <c r="E144" t="str">
        <f>IFERROR(VLOOKUP(MID(A144,7,2),Map!$A$2:$B$20,2,FALSE),"")</f>
        <v/>
      </c>
      <c r="F144" t="str">
        <f>IF(A144="","",IFERROR(VLOOKUP(MID(A144,9,2),Map!$R$2:$S$14,2,FALSE),""))</f>
        <v/>
      </c>
      <c r="G144" t="str">
        <f t="shared" si="23"/>
        <v/>
      </c>
      <c r="H144" t="str">
        <f t="shared" si="24"/>
        <v/>
      </c>
      <c r="I144" t="str">
        <f>IF(A144="","",IFERROR(VLOOKUP(LEFT(A144,1),Map!$D$2:$E$20,2,FALSE),""))</f>
        <v/>
      </c>
      <c r="J144" t="str">
        <f>IF(OR(H144="",NOT(OR(LEFT(H144,1)="G",LEFT(H144,1)="R"))),"",IFERROR(VLOOKUP(MID(H144,2,1),Map!$J$2:$M$10,2,FALSE),""))</f>
        <v/>
      </c>
      <c r="K144" t="str">
        <f t="shared" si="25"/>
        <v/>
      </c>
      <c r="L144" t="str">
        <f t="shared" si="26"/>
        <v/>
      </c>
      <c r="M144" t="str">
        <f t="shared" si="27"/>
        <v/>
      </c>
      <c r="N144" t="str">
        <f t="shared" si="28"/>
        <v/>
      </c>
      <c r="O144" t="str">
        <f t="shared" si="29"/>
        <v/>
      </c>
      <c r="P144" t="str">
        <f>IF(OR(H144="",NOT(OR(LEFT(H144,1)="G",LEFT(H144,1)="R"))),"",IFERROR(VLOOKUP(MID(H144,3,1),Map!$G$2:$H$10,2,FALSE),""))</f>
        <v/>
      </c>
      <c r="Q144" t="str">
        <f>IF(A144="","",IFERROR(VLOOKUP(MID(A144,4,1),Map!$O$2:$P$10,2,FALSE),""))</f>
        <v/>
      </c>
    </row>
    <row r="145" spans="2:17" x14ac:dyDescent="0.25">
      <c r="B145" t="str">
        <f t="shared" si="20"/>
        <v/>
      </c>
      <c r="C145" t="str">
        <f t="shared" si="21"/>
        <v>**</v>
      </c>
      <c r="D145" t="str">
        <f t="shared" si="22"/>
        <v/>
      </c>
      <c r="E145" t="str">
        <f>IFERROR(VLOOKUP(MID(A145,7,2),Map!$A$2:$B$20,2,FALSE),"")</f>
        <v/>
      </c>
      <c r="F145" t="str">
        <f>IF(A145="","",IFERROR(VLOOKUP(MID(A145,9,2),Map!$R$2:$S$14,2,FALSE),""))</f>
        <v/>
      </c>
      <c r="G145" t="str">
        <f t="shared" si="23"/>
        <v/>
      </c>
      <c r="H145" t="str">
        <f t="shared" si="24"/>
        <v/>
      </c>
      <c r="I145" t="str">
        <f>IF(A145="","",IFERROR(VLOOKUP(LEFT(A145,1),Map!$D$2:$E$20,2,FALSE),""))</f>
        <v/>
      </c>
      <c r="J145" t="str">
        <f>IF(OR(H145="",NOT(OR(LEFT(H145,1)="G",LEFT(H145,1)="R"))),"",IFERROR(VLOOKUP(MID(H145,2,1),Map!$J$2:$M$10,2,FALSE),""))</f>
        <v/>
      </c>
      <c r="K145" t="str">
        <f t="shared" si="25"/>
        <v/>
      </c>
      <c r="L145" t="str">
        <f t="shared" si="26"/>
        <v/>
      </c>
      <c r="M145" t="str">
        <f t="shared" si="27"/>
        <v/>
      </c>
      <c r="N145" t="str">
        <f t="shared" si="28"/>
        <v/>
      </c>
      <c r="O145" t="str">
        <f t="shared" si="29"/>
        <v/>
      </c>
      <c r="P145" t="str">
        <f>IF(OR(H145="",NOT(OR(LEFT(H145,1)="G",LEFT(H145,1)="R"))),"",IFERROR(VLOOKUP(MID(H145,3,1),Map!$G$2:$H$10,2,FALSE),""))</f>
        <v/>
      </c>
      <c r="Q145" t="str">
        <f>IF(A145="","",IFERROR(VLOOKUP(MID(A145,4,1),Map!$O$2:$P$10,2,FALSE),""))</f>
        <v/>
      </c>
    </row>
    <row r="146" spans="2:17" x14ac:dyDescent="0.25">
      <c r="B146" t="str">
        <f t="shared" si="20"/>
        <v/>
      </c>
      <c r="C146" t="str">
        <f t="shared" si="21"/>
        <v>**</v>
      </c>
      <c r="D146" t="str">
        <f t="shared" si="22"/>
        <v/>
      </c>
      <c r="E146" t="str">
        <f>IFERROR(VLOOKUP(MID(A146,7,2),Map!$A$2:$B$20,2,FALSE),"")</f>
        <v/>
      </c>
      <c r="F146" t="str">
        <f>IF(A146="","",IFERROR(VLOOKUP(MID(A146,9,2),Map!$R$2:$S$14,2,FALSE),""))</f>
        <v/>
      </c>
      <c r="G146" t="str">
        <f t="shared" si="23"/>
        <v/>
      </c>
      <c r="H146" t="str">
        <f t="shared" si="24"/>
        <v/>
      </c>
      <c r="I146" t="str">
        <f>IF(A146="","",IFERROR(VLOOKUP(LEFT(A146,1),Map!$D$2:$E$20,2,FALSE),""))</f>
        <v/>
      </c>
      <c r="J146" t="str">
        <f>IF(OR(H146="",NOT(OR(LEFT(H146,1)="G",LEFT(H146,1)="R"))),"",IFERROR(VLOOKUP(MID(H146,2,1),Map!$J$2:$M$10,2,FALSE),""))</f>
        <v/>
      </c>
      <c r="K146" t="str">
        <f t="shared" si="25"/>
        <v/>
      </c>
      <c r="L146" t="str">
        <f t="shared" si="26"/>
        <v/>
      </c>
      <c r="M146" t="str">
        <f t="shared" si="27"/>
        <v/>
      </c>
      <c r="N146" t="str">
        <f t="shared" si="28"/>
        <v/>
      </c>
      <c r="O146" t="str">
        <f t="shared" si="29"/>
        <v/>
      </c>
      <c r="P146" t="str">
        <f>IF(OR(H146="",NOT(OR(LEFT(H146,1)="G",LEFT(H146,1)="R"))),"",IFERROR(VLOOKUP(MID(H146,3,1),Map!$G$2:$H$10,2,FALSE),""))</f>
        <v/>
      </c>
      <c r="Q146" t="str">
        <f>IF(A146="","",IFERROR(VLOOKUP(MID(A146,4,1),Map!$O$2:$P$10,2,FALSE),""))</f>
        <v/>
      </c>
    </row>
    <row r="147" spans="2:17" x14ac:dyDescent="0.25">
      <c r="B147" t="str">
        <f t="shared" si="20"/>
        <v/>
      </c>
      <c r="C147" t="str">
        <f t="shared" si="21"/>
        <v>**</v>
      </c>
      <c r="D147" t="str">
        <f t="shared" si="22"/>
        <v/>
      </c>
      <c r="E147" t="str">
        <f>IFERROR(VLOOKUP(MID(A147,7,2),Map!$A$2:$B$20,2,FALSE),"")</f>
        <v/>
      </c>
      <c r="F147" t="str">
        <f>IF(A147="","",IFERROR(VLOOKUP(MID(A147,9,2),Map!$R$2:$S$14,2,FALSE),""))</f>
        <v/>
      </c>
      <c r="G147" t="str">
        <f t="shared" si="23"/>
        <v/>
      </c>
      <c r="H147" t="str">
        <f t="shared" si="24"/>
        <v/>
      </c>
      <c r="I147" t="str">
        <f>IF(A147="","",IFERROR(VLOOKUP(LEFT(A147,1),Map!$D$2:$E$20,2,FALSE),""))</f>
        <v/>
      </c>
      <c r="J147" t="str">
        <f>IF(OR(H147="",NOT(OR(LEFT(H147,1)="G",LEFT(H147,1)="R"))),"",IFERROR(VLOOKUP(MID(H147,2,1),Map!$J$2:$M$10,2,FALSE),""))</f>
        <v/>
      </c>
      <c r="K147" t="str">
        <f t="shared" si="25"/>
        <v/>
      </c>
      <c r="L147" t="str">
        <f t="shared" si="26"/>
        <v/>
      </c>
      <c r="M147" t="str">
        <f t="shared" si="27"/>
        <v/>
      </c>
      <c r="N147" t="str">
        <f t="shared" si="28"/>
        <v/>
      </c>
      <c r="O147" t="str">
        <f t="shared" si="29"/>
        <v/>
      </c>
      <c r="P147" t="str">
        <f>IF(OR(H147="",NOT(OR(LEFT(H147,1)="G",LEFT(H147,1)="R"))),"",IFERROR(VLOOKUP(MID(H147,3,1),Map!$G$2:$H$10,2,FALSE),""))</f>
        <v/>
      </c>
      <c r="Q147" t="str">
        <f>IF(A147="","",IFERROR(VLOOKUP(MID(A147,4,1),Map!$O$2:$P$10,2,FALSE),""))</f>
        <v/>
      </c>
    </row>
    <row r="148" spans="2:17" x14ac:dyDescent="0.25">
      <c r="B148" t="str">
        <f t="shared" si="20"/>
        <v/>
      </c>
      <c r="C148" t="str">
        <f t="shared" si="21"/>
        <v>**</v>
      </c>
      <c r="D148" t="str">
        <f t="shared" si="22"/>
        <v/>
      </c>
      <c r="E148" t="str">
        <f>IFERROR(VLOOKUP(MID(A148,7,2),Map!$A$2:$B$20,2,FALSE),"")</f>
        <v/>
      </c>
      <c r="F148" t="str">
        <f>IF(A148="","",IFERROR(VLOOKUP(MID(A148,9,2),Map!$R$2:$S$14,2,FALSE),""))</f>
        <v/>
      </c>
      <c r="G148" t="str">
        <f t="shared" si="23"/>
        <v/>
      </c>
      <c r="H148" t="str">
        <f t="shared" si="24"/>
        <v/>
      </c>
      <c r="I148" t="str">
        <f>IF(A148="","",IFERROR(VLOOKUP(LEFT(A148,1),Map!$D$2:$E$20,2,FALSE),""))</f>
        <v/>
      </c>
      <c r="J148" t="str">
        <f>IF(OR(H148="",NOT(OR(LEFT(H148,1)="G",LEFT(H148,1)="R"))),"",IFERROR(VLOOKUP(MID(H148,2,1),Map!$J$2:$M$10,2,FALSE),""))</f>
        <v/>
      </c>
      <c r="K148" t="str">
        <f t="shared" si="25"/>
        <v/>
      </c>
      <c r="L148" t="str">
        <f t="shared" si="26"/>
        <v/>
      </c>
      <c r="M148" t="str">
        <f t="shared" si="27"/>
        <v/>
      </c>
      <c r="N148" t="str">
        <f t="shared" si="28"/>
        <v/>
      </c>
      <c r="O148" t="str">
        <f t="shared" si="29"/>
        <v/>
      </c>
      <c r="P148" t="str">
        <f>IF(OR(H148="",NOT(OR(LEFT(H148,1)="G",LEFT(H148,1)="R"))),"",IFERROR(VLOOKUP(MID(H148,3,1),Map!$G$2:$H$10,2,FALSE),""))</f>
        <v/>
      </c>
      <c r="Q148" t="str">
        <f>IF(A148="","",IFERROR(VLOOKUP(MID(A148,4,1),Map!$O$2:$P$10,2,FALSE),""))</f>
        <v/>
      </c>
    </row>
    <row r="149" spans="2:17" x14ac:dyDescent="0.25">
      <c r="B149" t="str">
        <f t="shared" si="20"/>
        <v/>
      </c>
      <c r="C149" t="str">
        <f t="shared" si="21"/>
        <v>**</v>
      </c>
      <c r="D149" t="str">
        <f t="shared" si="22"/>
        <v/>
      </c>
      <c r="E149" t="str">
        <f>IFERROR(VLOOKUP(MID(A149,7,2),Map!$A$2:$B$20,2,FALSE),"")</f>
        <v/>
      </c>
      <c r="F149" t="str">
        <f>IF(A149="","",IFERROR(VLOOKUP(MID(A149,9,2),Map!$R$2:$S$14,2,FALSE),""))</f>
        <v/>
      </c>
      <c r="G149" t="str">
        <f t="shared" si="23"/>
        <v/>
      </c>
      <c r="H149" t="str">
        <f t="shared" si="24"/>
        <v/>
      </c>
      <c r="I149" t="str">
        <f>IF(A149="","",IFERROR(VLOOKUP(LEFT(A149,1),Map!$D$2:$E$20,2,FALSE),""))</f>
        <v/>
      </c>
      <c r="J149" t="str">
        <f>IF(OR(H149="",NOT(OR(LEFT(H149,1)="G",LEFT(H149,1)="R"))),"",IFERROR(VLOOKUP(MID(H149,2,1),Map!$J$2:$M$10,2,FALSE),""))</f>
        <v/>
      </c>
      <c r="K149" t="str">
        <f t="shared" si="25"/>
        <v/>
      </c>
      <c r="L149" t="str">
        <f t="shared" si="26"/>
        <v/>
      </c>
      <c r="M149" t="str">
        <f t="shared" si="27"/>
        <v/>
      </c>
      <c r="N149" t="str">
        <f t="shared" si="28"/>
        <v/>
      </c>
      <c r="O149" t="str">
        <f t="shared" si="29"/>
        <v/>
      </c>
      <c r="P149" t="str">
        <f>IF(OR(H149="",NOT(OR(LEFT(H149,1)="G",LEFT(H149,1)="R"))),"",IFERROR(VLOOKUP(MID(H149,3,1),Map!$G$2:$H$10,2,FALSE),""))</f>
        <v/>
      </c>
      <c r="Q149" t="str">
        <f>IF(A149="","",IFERROR(VLOOKUP(MID(A149,4,1),Map!$O$2:$P$10,2,FALSE),""))</f>
        <v/>
      </c>
    </row>
    <row r="150" spans="2:17" x14ac:dyDescent="0.25">
      <c r="B150" t="str">
        <f t="shared" si="20"/>
        <v/>
      </c>
      <c r="C150" t="str">
        <f t="shared" si="21"/>
        <v>**</v>
      </c>
      <c r="D150" t="str">
        <f t="shared" si="22"/>
        <v/>
      </c>
      <c r="E150" t="str">
        <f>IFERROR(VLOOKUP(MID(A150,7,2),Map!$A$2:$B$20,2,FALSE),"")</f>
        <v/>
      </c>
      <c r="F150" t="str">
        <f>IF(A150="","",IFERROR(VLOOKUP(MID(A150,9,2),Map!$R$2:$S$14,2,FALSE),""))</f>
        <v/>
      </c>
      <c r="G150" t="str">
        <f t="shared" si="23"/>
        <v/>
      </c>
      <c r="H150" t="str">
        <f t="shared" si="24"/>
        <v/>
      </c>
      <c r="I150" t="str">
        <f>IF(A150="","",IFERROR(VLOOKUP(LEFT(A150,1),Map!$D$2:$E$20,2,FALSE),""))</f>
        <v/>
      </c>
      <c r="J150" t="str">
        <f>IF(OR(H150="",NOT(OR(LEFT(H150,1)="G",LEFT(H150,1)="R"))),"",IFERROR(VLOOKUP(MID(H150,2,1),Map!$J$2:$M$10,2,FALSE),""))</f>
        <v/>
      </c>
      <c r="K150" t="str">
        <f t="shared" si="25"/>
        <v/>
      </c>
      <c r="L150" t="str">
        <f t="shared" si="26"/>
        <v/>
      </c>
      <c r="M150" t="str">
        <f t="shared" si="27"/>
        <v/>
      </c>
      <c r="N150" t="str">
        <f t="shared" si="28"/>
        <v/>
      </c>
      <c r="O150" t="str">
        <f t="shared" si="29"/>
        <v/>
      </c>
      <c r="P150" t="str">
        <f>IF(OR(H150="",NOT(OR(LEFT(H150,1)="G",LEFT(H150,1)="R"))),"",IFERROR(VLOOKUP(MID(H150,3,1),Map!$G$2:$H$10,2,FALSE),""))</f>
        <v/>
      </c>
      <c r="Q150" t="str">
        <f>IF(A150="","",IFERROR(VLOOKUP(MID(A150,4,1),Map!$O$2:$P$10,2,FALSE),""))</f>
        <v/>
      </c>
    </row>
    <row r="151" spans="2:17" x14ac:dyDescent="0.25">
      <c r="B151" t="str">
        <f t="shared" si="20"/>
        <v/>
      </c>
      <c r="C151" t="str">
        <f t="shared" si="21"/>
        <v>**</v>
      </c>
      <c r="D151" t="str">
        <f t="shared" si="22"/>
        <v/>
      </c>
      <c r="E151" t="str">
        <f>IFERROR(VLOOKUP(MID(A151,7,2),Map!$A$2:$B$20,2,FALSE),"")</f>
        <v/>
      </c>
      <c r="F151" t="str">
        <f>IF(A151="","",IFERROR(VLOOKUP(MID(A151,9,2),Map!$R$2:$S$14,2,FALSE),""))</f>
        <v/>
      </c>
      <c r="G151" t="str">
        <f t="shared" si="23"/>
        <v/>
      </c>
      <c r="H151" t="str">
        <f t="shared" si="24"/>
        <v/>
      </c>
      <c r="I151" t="str">
        <f>IF(A151="","",IFERROR(VLOOKUP(LEFT(A151,1),Map!$D$2:$E$20,2,FALSE),""))</f>
        <v/>
      </c>
      <c r="J151" t="str">
        <f>IF(OR(H151="",NOT(OR(LEFT(H151,1)="G",LEFT(H151,1)="R"))),"",IFERROR(VLOOKUP(MID(H151,2,1),Map!$J$2:$M$10,2,FALSE),""))</f>
        <v/>
      </c>
      <c r="K151" t="str">
        <f t="shared" si="25"/>
        <v/>
      </c>
      <c r="L151" t="str">
        <f t="shared" si="26"/>
        <v/>
      </c>
      <c r="M151" t="str">
        <f t="shared" si="27"/>
        <v/>
      </c>
      <c r="N151" t="str">
        <f t="shared" si="28"/>
        <v/>
      </c>
      <c r="O151" t="str">
        <f t="shared" si="29"/>
        <v/>
      </c>
      <c r="P151" t="str">
        <f>IF(OR(H151="",NOT(OR(LEFT(H151,1)="G",LEFT(H151,1)="R"))),"",IFERROR(VLOOKUP(MID(H151,3,1),Map!$G$2:$H$10,2,FALSE),""))</f>
        <v/>
      </c>
      <c r="Q151" t="str">
        <f>IF(A151="","",IFERROR(VLOOKUP(MID(A151,4,1),Map!$O$2:$P$10,2,FALSE),""))</f>
        <v/>
      </c>
    </row>
    <row r="152" spans="2:17" x14ac:dyDescent="0.25">
      <c r="B152" t="str">
        <f t="shared" si="20"/>
        <v/>
      </c>
      <c r="C152" t="str">
        <f t="shared" si="21"/>
        <v>**</v>
      </c>
      <c r="D152" t="str">
        <f t="shared" si="22"/>
        <v/>
      </c>
      <c r="E152" t="str">
        <f>IFERROR(VLOOKUP(MID(A152,7,2),Map!$A$2:$B$20,2,FALSE),"")</f>
        <v/>
      </c>
      <c r="F152" t="str">
        <f>IF(A152="","",IFERROR(VLOOKUP(MID(A152,9,2),Map!$R$2:$S$14,2,FALSE),""))</f>
        <v/>
      </c>
      <c r="G152" t="str">
        <f t="shared" si="23"/>
        <v/>
      </c>
      <c r="H152" t="str">
        <f t="shared" si="24"/>
        <v/>
      </c>
      <c r="I152" t="str">
        <f>IF(A152="","",IFERROR(VLOOKUP(LEFT(A152,1),Map!$D$2:$E$20,2,FALSE),""))</f>
        <v/>
      </c>
      <c r="J152" t="str">
        <f>IF(OR(H152="",NOT(OR(LEFT(H152,1)="G",LEFT(H152,1)="R"))),"",IFERROR(VLOOKUP(MID(H152,2,1),Map!$J$2:$M$10,2,FALSE),""))</f>
        <v/>
      </c>
      <c r="K152" t="str">
        <f t="shared" si="25"/>
        <v/>
      </c>
      <c r="L152" t="str">
        <f t="shared" si="26"/>
        <v/>
      </c>
      <c r="M152" t="str">
        <f t="shared" si="27"/>
        <v/>
      </c>
      <c r="N152" t="str">
        <f t="shared" si="28"/>
        <v/>
      </c>
      <c r="O152" t="str">
        <f t="shared" si="29"/>
        <v/>
      </c>
      <c r="P152" t="str">
        <f>IF(OR(H152="",NOT(OR(LEFT(H152,1)="G",LEFT(H152,1)="R"))),"",IFERROR(VLOOKUP(MID(H152,3,1),Map!$G$2:$H$10,2,FALSE),""))</f>
        <v/>
      </c>
      <c r="Q152" t="str">
        <f>IF(A152="","",IFERROR(VLOOKUP(MID(A152,4,1),Map!$O$2:$P$10,2,FALSE),""))</f>
        <v/>
      </c>
    </row>
    <row r="153" spans="2:17" x14ac:dyDescent="0.25">
      <c r="B153" t="str">
        <f t="shared" si="20"/>
        <v/>
      </c>
      <c r="C153" t="str">
        <f t="shared" si="21"/>
        <v>**</v>
      </c>
      <c r="D153" t="str">
        <f t="shared" si="22"/>
        <v/>
      </c>
      <c r="E153" t="str">
        <f>IFERROR(VLOOKUP(MID(A153,7,2),Map!$A$2:$B$20,2,FALSE),"")</f>
        <v/>
      </c>
      <c r="F153" t="str">
        <f>IF(A153="","",IFERROR(VLOOKUP(MID(A153,9,2),Map!$R$2:$S$14,2,FALSE),""))</f>
        <v/>
      </c>
      <c r="G153" t="str">
        <f t="shared" si="23"/>
        <v/>
      </c>
      <c r="H153" t="str">
        <f t="shared" si="24"/>
        <v/>
      </c>
      <c r="I153" t="str">
        <f>IF(A153="","",IFERROR(VLOOKUP(LEFT(A153,1),Map!$D$2:$E$20,2,FALSE),""))</f>
        <v/>
      </c>
      <c r="J153" t="str">
        <f>IF(OR(H153="",NOT(OR(LEFT(H153,1)="G",LEFT(H153,1)="R"))),"",IFERROR(VLOOKUP(MID(H153,2,1),Map!$J$2:$M$10,2,FALSE),""))</f>
        <v/>
      </c>
      <c r="K153" t="str">
        <f t="shared" si="25"/>
        <v/>
      </c>
      <c r="L153" t="str">
        <f t="shared" si="26"/>
        <v/>
      </c>
      <c r="M153" t="str">
        <f t="shared" si="27"/>
        <v/>
      </c>
      <c r="N153" t="str">
        <f t="shared" si="28"/>
        <v/>
      </c>
      <c r="O153" t="str">
        <f t="shared" si="29"/>
        <v/>
      </c>
      <c r="P153" t="str">
        <f>IF(OR(H153="",NOT(OR(LEFT(H153,1)="G",LEFT(H153,1)="R"))),"",IFERROR(VLOOKUP(MID(H153,3,1),Map!$G$2:$H$10,2,FALSE),""))</f>
        <v/>
      </c>
      <c r="Q153" t="str">
        <f>IF(A153="","",IFERROR(VLOOKUP(MID(A153,4,1),Map!$O$2:$P$10,2,FALSE),""))</f>
        <v/>
      </c>
    </row>
    <row r="154" spans="2:17" x14ac:dyDescent="0.25">
      <c r="B154" t="str">
        <f t="shared" si="20"/>
        <v/>
      </c>
      <c r="C154" t="str">
        <f t="shared" si="21"/>
        <v>**</v>
      </c>
      <c r="D154" t="str">
        <f t="shared" si="22"/>
        <v/>
      </c>
      <c r="E154" t="str">
        <f>IFERROR(VLOOKUP(MID(A154,7,2),Map!$A$2:$B$20,2,FALSE),"")</f>
        <v/>
      </c>
      <c r="F154" t="str">
        <f>IF(A154="","",IFERROR(VLOOKUP(MID(A154,9,2),Map!$R$2:$S$14,2,FALSE),""))</f>
        <v/>
      </c>
      <c r="G154" t="str">
        <f t="shared" si="23"/>
        <v/>
      </c>
      <c r="H154" t="str">
        <f t="shared" si="24"/>
        <v/>
      </c>
      <c r="I154" t="str">
        <f>IF(A154="","",IFERROR(VLOOKUP(LEFT(A154,1),Map!$D$2:$E$20,2,FALSE),""))</f>
        <v/>
      </c>
      <c r="J154" t="str">
        <f>IF(OR(H154="",NOT(OR(LEFT(H154,1)="G",LEFT(H154,1)="R"))),"",IFERROR(VLOOKUP(MID(H154,2,1),Map!$J$2:$M$10,2,FALSE),""))</f>
        <v/>
      </c>
      <c r="K154" t="str">
        <f t="shared" si="25"/>
        <v/>
      </c>
      <c r="L154" t="str">
        <f t="shared" si="26"/>
        <v/>
      </c>
      <c r="M154" t="str">
        <f t="shared" si="27"/>
        <v/>
      </c>
      <c r="N154" t="str">
        <f t="shared" si="28"/>
        <v/>
      </c>
      <c r="O154" t="str">
        <f t="shared" si="29"/>
        <v/>
      </c>
      <c r="P154" t="str">
        <f>IF(OR(H154="",NOT(OR(LEFT(H154,1)="G",LEFT(H154,1)="R"))),"",IFERROR(VLOOKUP(MID(H154,3,1),Map!$G$2:$H$10,2,FALSE),""))</f>
        <v/>
      </c>
      <c r="Q154" t="str">
        <f>IF(A154="","",IFERROR(VLOOKUP(MID(A154,4,1),Map!$O$2:$P$10,2,FALSE),""))</f>
        <v/>
      </c>
    </row>
    <row r="155" spans="2:17" x14ac:dyDescent="0.25">
      <c r="B155" t="str">
        <f t="shared" si="20"/>
        <v/>
      </c>
      <c r="C155" t="str">
        <f t="shared" si="21"/>
        <v>**</v>
      </c>
      <c r="D155" t="str">
        <f t="shared" si="22"/>
        <v/>
      </c>
      <c r="E155" t="str">
        <f>IFERROR(VLOOKUP(MID(A155,7,2),Map!$A$2:$B$20,2,FALSE),"")</f>
        <v/>
      </c>
      <c r="F155" t="str">
        <f>IF(A155="","",IFERROR(VLOOKUP(MID(A155,9,2),Map!$R$2:$S$14,2,FALSE),""))</f>
        <v/>
      </c>
      <c r="G155" t="str">
        <f t="shared" si="23"/>
        <v/>
      </c>
      <c r="H155" t="str">
        <f t="shared" si="24"/>
        <v/>
      </c>
      <c r="I155" t="str">
        <f>IF(A155="","",IFERROR(VLOOKUP(LEFT(A155,1),Map!$D$2:$E$20,2,FALSE),""))</f>
        <v/>
      </c>
      <c r="J155" t="str">
        <f>IF(OR(H155="",NOT(OR(LEFT(H155,1)="G",LEFT(H155,1)="R"))),"",IFERROR(VLOOKUP(MID(H155,2,1),Map!$J$2:$M$10,2,FALSE),""))</f>
        <v/>
      </c>
      <c r="K155" t="str">
        <f t="shared" si="25"/>
        <v/>
      </c>
      <c r="L155" t="str">
        <f t="shared" si="26"/>
        <v/>
      </c>
      <c r="M155" t="str">
        <f t="shared" si="27"/>
        <v/>
      </c>
      <c r="N155" t="str">
        <f t="shared" si="28"/>
        <v/>
      </c>
      <c r="O155" t="str">
        <f t="shared" si="29"/>
        <v/>
      </c>
      <c r="P155" t="str">
        <f>IF(OR(H155="",NOT(OR(LEFT(H155,1)="G",LEFT(H155,1)="R"))),"",IFERROR(VLOOKUP(MID(H155,3,1),Map!$G$2:$H$10,2,FALSE),""))</f>
        <v/>
      </c>
      <c r="Q155" t="str">
        <f>IF(A155="","",IFERROR(VLOOKUP(MID(A155,4,1),Map!$O$2:$P$10,2,FALSE),""))</f>
        <v/>
      </c>
    </row>
    <row r="156" spans="2:17" x14ac:dyDescent="0.25">
      <c r="B156" t="str">
        <f t="shared" si="20"/>
        <v/>
      </c>
      <c r="C156" t="str">
        <f t="shared" si="21"/>
        <v>**</v>
      </c>
      <c r="D156" t="str">
        <f t="shared" si="22"/>
        <v/>
      </c>
      <c r="E156" t="str">
        <f>IFERROR(VLOOKUP(MID(A156,7,2),Map!$A$2:$B$20,2,FALSE),"")</f>
        <v/>
      </c>
      <c r="F156" t="str">
        <f>IF(A156="","",IFERROR(VLOOKUP(MID(A156,9,2),Map!$R$2:$S$14,2,FALSE),""))</f>
        <v/>
      </c>
      <c r="G156" t="str">
        <f t="shared" si="23"/>
        <v/>
      </c>
      <c r="H156" t="str">
        <f t="shared" si="24"/>
        <v/>
      </c>
      <c r="I156" t="str">
        <f>IF(A156="","",IFERROR(VLOOKUP(LEFT(A156,1),Map!$D$2:$E$20,2,FALSE),""))</f>
        <v/>
      </c>
      <c r="J156" t="str">
        <f>IF(OR(H156="",NOT(OR(LEFT(H156,1)="G",LEFT(H156,1)="R"))),"",IFERROR(VLOOKUP(MID(H156,2,1),Map!$J$2:$M$10,2,FALSE),""))</f>
        <v/>
      </c>
      <c r="K156" t="str">
        <f t="shared" si="25"/>
        <v/>
      </c>
      <c r="L156" t="str">
        <f t="shared" si="26"/>
        <v/>
      </c>
      <c r="M156" t="str">
        <f t="shared" si="27"/>
        <v/>
      </c>
      <c r="N156" t="str">
        <f t="shared" si="28"/>
        <v/>
      </c>
      <c r="O156" t="str">
        <f t="shared" si="29"/>
        <v/>
      </c>
      <c r="P156" t="str">
        <f>IF(OR(H156="",NOT(OR(LEFT(H156,1)="G",LEFT(H156,1)="R"))),"",IFERROR(VLOOKUP(MID(H156,3,1),Map!$G$2:$H$10,2,FALSE),""))</f>
        <v/>
      </c>
      <c r="Q156" t="str">
        <f>IF(A156="","",IFERROR(VLOOKUP(MID(A156,4,1),Map!$O$2:$P$10,2,FALSE),""))</f>
        <v/>
      </c>
    </row>
    <row r="157" spans="2:17" x14ac:dyDescent="0.25">
      <c r="B157" t="str">
        <f t="shared" si="20"/>
        <v/>
      </c>
      <c r="C157" t="str">
        <f t="shared" si="21"/>
        <v>**</v>
      </c>
      <c r="D157" t="str">
        <f t="shared" si="22"/>
        <v/>
      </c>
      <c r="E157" t="str">
        <f>IFERROR(VLOOKUP(MID(A157,7,2),Map!$A$2:$B$20,2,FALSE),"")</f>
        <v/>
      </c>
      <c r="F157" t="str">
        <f>IF(A157="","",IFERROR(VLOOKUP(MID(A157,9,2),Map!$R$2:$S$14,2,FALSE),""))</f>
        <v/>
      </c>
      <c r="G157" t="str">
        <f t="shared" si="23"/>
        <v/>
      </c>
      <c r="H157" t="str">
        <f t="shared" si="24"/>
        <v/>
      </c>
      <c r="I157" t="str">
        <f>IF(A157="","",IFERROR(VLOOKUP(LEFT(A157,1),Map!$D$2:$E$20,2,FALSE),""))</f>
        <v/>
      </c>
      <c r="J157" t="str">
        <f>IF(OR(H157="",NOT(OR(LEFT(H157,1)="G",LEFT(H157,1)="R"))),"",IFERROR(VLOOKUP(MID(H157,2,1),Map!$J$2:$M$10,2,FALSE),""))</f>
        <v/>
      </c>
      <c r="K157" t="str">
        <f t="shared" si="25"/>
        <v/>
      </c>
      <c r="L157" t="str">
        <f t="shared" si="26"/>
        <v/>
      </c>
      <c r="M157" t="str">
        <f t="shared" si="27"/>
        <v/>
      </c>
      <c r="N157" t="str">
        <f t="shared" si="28"/>
        <v/>
      </c>
      <c r="O157" t="str">
        <f t="shared" si="29"/>
        <v/>
      </c>
      <c r="P157" t="str">
        <f>IF(OR(H157="",NOT(OR(LEFT(H157,1)="G",LEFT(H157,1)="R"))),"",IFERROR(VLOOKUP(MID(H157,3,1),Map!$G$2:$H$10,2,FALSE),""))</f>
        <v/>
      </c>
      <c r="Q157" t="str">
        <f>IF(A157="","",IFERROR(VLOOKUP(MID(A157,4,1),Map!$O$2:$P$10,2,FALSE),""))</f>
        <v/>
      </c>
    </row>
    <row r="158" spans="2:17" x14ac:dyDescent="0.25">
      <c r="B158" t="str">
        <f t="shared" si="20"/>
        <v/>
      </c>
      <c r="C158" t="str">
        <f t="shared" si="21"/>
        <v>**</v>
      </c>
      <c r="D158" t="str">
        <f t="shared" si="22"/>
        <v/>
      </c>
      <c r="E158" t="str">
        <f>IFERROR(VLOOKUP(MID(A158,7,2),Map!$A$2:$B$20,2,FALSE),"")</f>
        <v/>
      </c>
      <c r="F158" t="str">
        <f>IF(A158="","",IFERROR(VLOOKUP(MID(A158,9,2),Map!$R$2:$S$14,2,FALSE),""))</f>
        <v/>
      </c>
      <c r="G158" t="str">
        <f t="shared" si="23"/>
        <v/>
      </c>
      <c r="H158" t="str">
        <f t="shared" si="24"/>
        <v/>
      </c>
      <c r="I158" t="str">
        <f>IF(A158="","",IFERROR(VLOOKUP(LEFT(A158,1),Map!$D$2:$E$20,2,FALSE),""))</f>
        <v/>
      </c>
      <c r="J158" t="str">
        <f>IF(OR(H158="",NOT(OR(LEFT(H158,1)="G",LEFT(H158,1)="R"))),"",IFERROR(VLOOKUP(MID(H158,2,1),Map!$J$2:$M$10,2,FALSE),""))</f>
        <v/>
      </c>
      <c r="K158" t="str">
        <f t="shared" si="25"/>
        <v/>
      </c>
      <c r="L158" t="str">
        <f t="shared" si="26"/>
        <v/>
      </c>
      <c r="M158" t="str">
        <f t="shared" si="27"/>
        <v/>
      </c>
      <c r="N158" t="str">
        <f t="shared" si="28"/>
        <v/>
      </c>
      <c r="O158" t="str">
        <f t="shared" si="29"/>
        <v/>
      </c>
      <c r="P158" t="str">
        <f>IF(OR(H158="",NOT(OR(LEFT(H158,1)="G",LEFT(H158,1)="R"))),"",IFERROR(VLOOKUP(MID(H158,3,1),Map!$G$2:$H$10,2,FALSE),""))</f>
        <v/>
      </c>
      <c r="Q158" t="str">
        <f>IF(A158="","",IFERROR(VLOOKUP(MID(A158,4,1),Map!$O$2:$P$10,2,FALSE),""))</f>
        <v/>
      </c>
    </row>
    <row r="159" spans="2:17" x14ac:dyDescent="0.25">
      <c r="B159" t="str">
        <f t="shared" si="20"/>
        <v/>
      </c>
      <c r="C159" t="str">
        <f t="shared" si="21"/>
        <v>**</v>
      </c>
      <c r="D159" t="str">
        <f t="shared" si="22"/>
        <v/>
      </c>
      <c r="E159" t="str">
        <f>IFERROR(VLOOKUP(MID(A159,7,2),Map!$A$2:$B$20,2,FALSE),"")</f>
        <v/>
      </c>
      <c r="F159" t="str">
        <f>IF(A159="","",IFERROR(VLOOKUP(MID(A159,9,2),Map!$R$2:$S$14,2,FALSE),""))</f>
        <v/>
      </c>
      <c r="G159" t="str">
        <f t="shared" si="23"/>
        <v/>
      </c>
      <c r="H159" t="str">
        <f t="shared" si="24"/>
        <v/>
      </c>
      <c r="I159" t="str">
        <f>IF(A159="","",IFERROR(VLOOKUP(LEFT(A159,1),Map!$D$2:$E$20,2,FALSE),""))</f>
        <v/>
      </c>
      <c r="J159" t="str">
        <f>IF(OR(H159="",NOT(OR(LEFT(H159,1)="G",LEFT(H159,1)="R"))),"",IFERROR(VLOOKUP(MID(H159,2,1),Map!$J$2:$M$10,2,FALSE),""))</f>
        <v/>
      </c>
      <c r="K159" t="str">
        <f t="shared" si="25"/>
        <v/>
      </c>
      <c r="L159" t="str">
        <f t="shared" si="26"/>
        <v/>
      </c>
      <c r="M159" t="str">
        <f t="shared" si="27"/>
        <v/>
      </c>
      <c r="N159" t="str">
        <f t="shared" si="28"/>
        <v/>
      </c>
      <c r="O159" t="str">
        <f t="shared" si="29"/>
        <v/>
      </c>
      <c r="P159" t="str">
        <f>IF(OR(H159="",NOT(OR(LEFT(H159,1)="G",LEFT(H159,1)="R"))),"",IFERROR(VLOOKUP(MID(H159,3,1),Map!$G$2:$H$10,2,FALSE),""))</f>
        <v/>
      </c>
      <c r="Q159" t="str">
        <f>IF(A159="","",IFERROR(VLOOKUP(MID(A159,4,1),Map!$O$2:$P$10,2,FALSE),""))</f>
        <v/>
      </c>
    </row>
    <row r="160" spans="2:17" x14ac:dyDescent="0.25">
      <c r="B160" t="str">
        <f t="shared" si="20"/>
        <v/>
      </c>
      <c r="C160" t="str">
        <f t="shared" si="21"/>
        <v>**</v>
      </c>
      <c r="D160" t="str">
        <f t="shared" si="22"/>
        <v/>
      </c>
      <c r="E160" t="str">
        <f>IFERROR(VLOOKUP(MID(A160,7,2),Map!$A$2:$B$20,2,FALSE),"")</f>
        <v/>
      </c>
      <c r="F160" t="str">
        <f>IF(A160="","",IFERROR(VLOOKUP(MID(A160,9,2),Map!$R$2:$S$14,2,FALSE),""))</f>
        <v/>
      </c>
      <c r="G160" t="str">
        <f t="shared" si="23"/>
        <v/>
      </c>
      <c r="H160" t="str">
        <f t="shared" si="24"/>
        <v/>
      </c>
      <c r="I160" t="str">
        <f>IF(A160="","",IFERROR(VLOOKUP(LEFT(A160,1),Map!$D$2:$E$20,2,FALSE),""))</f>
        <v/>
      </c>
      <c r="J160" t="str">
        <f>IF(OR(H160="",NOT(OR(LEFT(H160,1)="G",LEFT(H160,1)="R"))),"",IFERROR(VLOOKUP(MID(H160,2,1),Map!$J$2:$M$10,2,FALSE),""))</f>
        <v/>
      </c>
      <c r="K160" t="str">
        <f t="shared" si="25"/>
        <v/>
      </c>
      <c r="L160" t="str">
        <f t="shared" si="26"/>
        <v/>
      </c>
      <c r="M160" t="str">
        <f t="shared" si="27"/>
        <v/>
      </c>
      <c r="N160" t="str">
        <f t="shared" si="28"/>
        <v/>
      </c>
      <c r="O160" t="str">
        <f t="shared" si="29"/>
        <v/>
      </c>
      <c r="P160" t="str">
        <f>IF(OR(H160="",NOT(OR(LEFT(H160,1)="G",LEFT(H160,1)="R"))),"",IFERROR(VLOOKUP(MID(H160,3,1),Map!$G$2:$H$10,2,FALSE),""))</f>
        <v/>
      </c>
      <c r="Q160" t="str">
        <f>IF(A160="","",IFERROR(VLOOKUP(MID(A160,4,1),Map!$O$2:$P$10,2,FALSE),""))</f>
        <v/>
      </c>
    </row>
    <row r="161" spans="2:17" x14ac:dyDescent="0.25">
      <c r="B161" t="str">
        <f t="shared" si="20"/>
        <v/>
      </c>
      <c r="C161" t="str">
        <f t="shared" si="21"/>
        <v>**</v>
      </c>
      <c r="D161" t="str">
        <f t="shared" si="22"/>
        <v/>
      </c>
      <c r="E161" t="str">
        <f>IFERROR(VLOOKUP(MID(A161,7,2),Map!$A$2:$B$20,2,FALSE),"")</f>
        <v/>
      </c>
      <c r="F161" t="str">
        <f>IF(A161="","",IFERROR(VLOOKUP(MID(A161,9,2),Map!$R$2:$S$14,2,FALSE),""))</f>
        <v/>
      </c>
      <c r="G161" t="str">
        <f t="shared" si="23"/>
        <v/>
      </c>
      <c r="H161" t="str">
        <f t="shared" si="24"/>
        <v/>
      </c>
      <c r="I161" t="str">
        <f>IF(A161="","",IFERROR(VLOOKUP(LEFT(A161,1),Map!$D$2:$E$20,2,FALSE),""))</f>
        <v/>
      </c>
      <c r="J161" t="str">
        <f>IF(OR(H161="",NOT(OR(LEFT(H161,1)="G",LEFT(H161,1)="R"))),"",IFERROR(VLOOKUP(MID(H161,2,1),Map!$J$2:$M$10,2,FALSE),""))</f>
        <v/>
      </c>
      <c r="K161" t="str">
        <f t="shared" si="25"/>
        <v/>
      </c>
      <c r="L161" t="str">
        <f t="shared" si="26"/>
        <v/>
      </c>
      <c r="M161" t="str">
        <f t="shared" si="27"/>
        <v/>
      </c>
      <c r="N161" t="str">
        <f t="shared" si="28"/>
        <v/>
      </c>
      <c r="O161" t="str">
        <f t="shared" si="29"/>
        <v/>
      </c>
      <c r="P161" t="str">
        <f>IF(OR(H161="",NOT(OR(LEFT(H161,1)="G",LEFT(H161,1)="R"))),"",IFERROR(VLOOKUP(MID(H161,3,1),Map!$G$2:$H$10,2,FALSE),""))</f>
        <v/>
      </c>
      <c r="Q161" t="str">
        <f>IF(A161="","",IFERROR(VLOOKUP(MID(A161,4,1),Map!$O$2:$P$10,2,FALSE),""))</f>
        <v/>
      </c>
    </row>
    <row r="162" spans="2:17" x14ac:dyDescent="0.25">
      <c r="B162" t="str">
        <f t="shared" si="20"/>
        <v/>
      </c>
      <c r="C162" t="str">
        <f t="shared" si="21"/>
        <v>**</v>
      </c>
      <c r="D162" t="str">
        <f t="shared" si="22"/>
        <v/>
      </c>
      <c r="E162" t="str">
        <f>IFERROR(VLOOKUP(MID(A162,7,2),Map!$A$2:$B$20,2,FALSE),"")</f>
        <v/>
      </c>
      <c r="F162" t="str">
        <f>IF(A162="","",IFERROR(VLOOKUP(MID(A162,9,2),Map!$R$2:$S$14,2,FALSE),""))</f>
        <v/>
      </c>
      <c r="G162" t="str">
        <f t="shared" si="23"/>
        <v/>
      </c>
      <c r="H162" t="str">
        <f t="shared" si="24"/>
        <v/>
      </c>
      <c r="I162" t="str">
        <f>IF(A162="","",IFERROR(VLOOKUP(LEFT(A162,1),Map!$D$2:$E$20,2,FALSE),""))</f>
        <v/>
      </c>
      <c r="J162" t="str">
        <f>IF(OR(H162="",NOT(OR(LEFT(H162,1)="G",LEFT(H162,1)="R"))),"",IFERROR(VLOOKUP(MID(H162,2,1),Map!$J$2:$M$10,2,FALSE),""))</f>
        <v/>
      </c>
      <c r="K162" t="str">
        <f t="shared" si="25"/>
        <v/>
      </c>
      <c r="L162" t="str">
        <f t="shared" si="26"/>
        <v/>
      </c>
      <c r="M162" t="str">
        <f t="shared" si="27"/>
        <v/>
      </c>
      <c r="N162" t="str">
        <f t="shared" si="28"/>
        <v/>
      </c>
      <c r="O162" t="str">
        <f t="shared" si="29"/>
        <v/>
      </c>
      <c r="P162" t="str">
        <f>IF(OR(H162="",NOT(OR(LEFT(H162,1)="G",LEFT(H162,1)="R"))),"",IFERROR(VLOOKUP(MID(H162,3,1),Map!$G$2:$H$10,2,FALSE),""))</f>
        <v/>
      </c>
      <c r="Q162" t="str">
        <f>IF(A162="","",IFERROR(VLOOKUP(MID(A162,4,1),Map!$O$2:$P$10,2,FALSE),""))</f>
        <v/>
      </c>
    </row>
    <row r="163" spans="2:17" x14ac:dyDescent="0.25">
      <c r="B163" t="str">
        <f t="shared" si="20"/>
        <v/>
      </c>
      <c r="C163" t="str">
        <f t="shared" si="21"/>
        <v>**</v>
      </c>
      <c r="D163" t="str">
        <f t="shared" si="22"/>
        <v/>
      </c>
      <c r="E163" t="str">
        <f>IFERROR(VLOOKUP(MID(A163,7,2),Map!$A$2:$B$20,2,FALSE),"")</f>
        <v/>
      </c>
      <c r="F163" t="str">
        <f>IF(A163="","",IFERROR(VLOOKUP(MID(A163,9,2),Map!$R$2:$S$14,2,FALSE),""))</f>
        <v/>
      </c>
      <c r="G163" t="str">
        <f t="shared" si="23"/>
        <v/>
      </c>
      <c r="H163" t="str">
        <f t="shared" si="24"/>
        <v/>
      </c>
      <c r="I163" t="str">
        <f>IF(A163="","",IFERROR(VLOOKUP(LEFT(A163,1),Map!$D$2:$E$20,2,FALSE),""))</f>
        <v/>
      </c>
      <c r="J163" t="str">
        <f>IF(OR(H163="",NOT(OR(LEFT(H163,1)="G",LEFT(H163,1)="R"))),"",IFERROR(VLOOKUP(MID(H163,2,1),Map!$J$2:$M$10,2,FALSE),""))</f>
        <v/>
      </c>
      <c r="K163" t="str">
        <f t="shared" si="25"/>
        <v/>
      </c>
      <c r="L163" t="str">
        <f t="shared" si="26"/>
        <v/>
      </c>
      <c r="M163" t="str">
        <f t="shared" si="27"/>
        <v/>
      </c>
      <c r="N163" t="str">
        <f t="shared" si="28"/>
        <v/>
      </c>
      <c r="O163" t="str">
        <f t="shared" si="29"/>
        <v/>
      </c>
      <c r="P163" t="str">
        <f>IF(OR(H163="",NOT(OR(LEFT(H163,1)="G",LEFT(H163,1)="R"))),"",IFERROR(VLOOKUP(MID(H163,3,1),Map!$G$2:$H$10,2,FALSE),""))</f>
        <v/>
      </c>
      <c r="Q163" t="str">
        <f>IF(A163="","",IFERROR(VLOOKUP(MID(A163,4,1),Map!$O$2:$P$10,2,FALSE),""))</f>
        <v/>
      </c>
    </row>
    <row r="164" spans="2:17" x14ac:dyDescent="0.25">
      <c r="B164" t="str">
        <f t="shared" si="20"/>
        <v/>
      </c>
      <c r="C164" t="str">
        <f t="shared" si="21"/>
        <v>**</v>
      </c>
      <c r="D164" t="str">
        <f t="shared" si="22"/>
        <v/>
      </c>
      <c r="E164" t="str">
        <f>IFERROR(VLOOKUP(MID(A164,7,2),Map!$A$2:$B$20,2,FALSE),"")</f>
        <v/>
      </c>
      <c r="F164" t="str">
        <f>IF(A164="","",IFERROR(VLOOKUP(MID(A164,9,2),Map!$R$2:$S$14,2,FALSE),""))</f>
        <v/>
      </c>
      <c r="G164" t="str">
        <f t="shared" si="23"/>
        <v/>
      </c>
      <c r="H164" t="str">
        <f t="shared" si="24"/>
        <v/>
      </c>
      <c r="I164" t="str">
        <f>IF(A164="","",IFERROR(VLOOKUP(LEFT(A164,1),Map!$D$2:$E$20,2,FALSE),""))</f>
        <v/>
      </c>
      <c r="J164" t="str">
        <f>IF(OR(H164="",NOT(OR(LEFT(H164,1)="G",LEFT(H164,1)="R"))),"",IFERROR(VLOOKUP(MID(H164,2,1),Map!$J$2:$M$10,2,FALSE),""))</f>
        <v/>
      </c>
      <c r="K164" t="str">
        <f t="shared" si="25"/>
        <v/>
      </c>
      <c r="L164" t="str">
        <f t="shared" si="26"/>
        <v/>
      </c>
      <c r="M164" t="str">
        <f t="shared" si="27"/>
        <v/>
      </c>
      <c r="N164" t="str">
        <f t="shared" si="28"/>
        <v/>
      </c>
      <c r="O164" t="str">
        <f t="shared" si="29"/>
        <v/>
      </c>
      <c r="P164" t="str">
        <f>IF(OR(H164="",NOT(OR(LEFT(H164,1)="G",LEFT(H164,1)="R"))),"",IFERROR(VLOOKUP(MID(H164,3,1),Map!$G$2:$H$10,2,FALSE),""))</f>
        <v/>
      </c>
      <c r="Q164" t="str">
        <f>IF(A164="","",IFERROR(VLOOKUP(MID(A164,4,1),Map!$O$2:$P$10,2,FALSE),""))</f>
        <v/>
      </c>
    </row>
    <row r="165" spans="2:17" x14ac:dyDescent="0.25">
      <c r="B165" t="str">
        <f t="shared" si="20"/>
        <v/>
      </c>
      <c r="C165" t="str">
        <f t="shared" si="21"/>
        <v>**</v>
      </c>
      <c r="D165" t="str">
        <f t="shared" si="22"/>
        <v/>
      </c>
      <c r="E165" t="str">
        <f>IFERROR(VLOOKUP(MID(A165,7,2),Map!$A$2:$B$20,2,FALSE),"")</f>
        <v/>
      </c>
      <c r="F165" t="str">
        <f>IF(A165="","",IFERROR(VLOOKUP(MID(A165,9,2),Map!$R$2:$S$14,2,FALSE),""))</f>
        <v/>
      </c>
      <c r="G165" t="str">
        <f t="shared" si="23"/>
        <v/>
      </c>
      <c r="H165" t="str">
        <f t="shared" si="24"/>
        <v/>
      </c>
      <c r="I165" t="str">
        <f>IF(A165="","",IFERROR(VLOOKUP(LEFT(A165,1),Map!$D$2:$E$20,2,FALSE),""))</f>
        <v/>
      </c>
      <c r="J165" t="str">
        <f>IF(OR(H165="",NOT(OR(LEFT(H165,1)="G",LEFT(H165,1)="R"))),"",IFERROR(VLOOKUP(MID(H165,2,1),Map!$J$2:$M$10,2,FALSE),""))</f>
        <v/>
      </c>
      <c r="K165" t="str">
        <f t="shared" si="25"/>
        <v/>
      </c>
      <c r="L165" t="str">
        <f t="shared" si="26"/>
        <v/>
      </c>
      <c r="M165" t="str">
        <f t="shared" si="27"/>
        <v/>
      </c>
      <c r="N165" t="str">
        <f t="shared" si="28"/>
        <v/>
      </c>
      <c r="O165" t="str">
        <f t="shared" si="29"/>
        <v/>
      </c>
      <c r="P165" t="str">
        <f>IF(OR(H165="",NOT(OR(LEFT(H165,1)="G",LEFT(H165,1)="R"))),"",IFERROR(VLOOKUP(MID(H165,3,1),Map!$G$2:$H$10,2,FALSE),""))</f>
        <v/>
      </c>
      <c r="Q165" t="str">
        <f>IF(A165="","",IFERROR(VLOOKUP(MID(A165,4,1),Map!$O$2:$P$10,2,FALSE),""))</f>
        <v/>
      </c>
    </row>
    <row r="166" spans="2:17" x14ac:dyDescent="0.25">
      <c r="B166" t="str">
        <f t="shared" si="20"/>
        <v/>
      </c>
      <c r="C166" t="str">
        <f t="shared" si="21"/>
        <v>**</v>
      </c>
      <c r="D166" t="str">
        <f t="shared" si="22"/>
        <v/>
      </c>
      <c r="E166" t="str">
        <f>IFERROR(VLOOKUP(MID(A166,7,2),Map!$A$2:$B$20,2,FALSE),"")</f>
        <v/>
      </c>
      <c r="F166" t="str">
        <f>IF(A166="","",IFERROR(VLOOKUP(MID(A166,9,2),Map!$R$2:$S$14,2,FALSE),""))</f>
        <v/>
      </c>
      <c r="G166" t="str">
        <f t="shared" si="23"/>
        <v/>
      </c>
      <c r="H166" t="str">
        <f t="shared" si="24"/>
        <v/>
      </c>
      <c r="I166" t="str">
        <f>IF(A166="","",IFERROR(VLOOKUP(LEFT(A166,1),Map!$D$2:$E$20,2,FALSE),""))</f>
        <v/>
      </c>
      <c r="J166" t="str">
        <f>IF(OR(H166="",NOT(OR(LEFT(H166,1)="G",LEFT(H166,1)="R"))),"",IFERROR(VLOOKUP(MID(H166,2,1),Map!$J$2:$M$10,2,FALSE),""))</f>
        <v/>
      </c>
      <c r="K166" t="str">
        <f t="shared" si="25"/>
        <v/>
      </c>
      <c r="L166" t="str">
        <f t="shared" si="26"/>
        <v/>
      </c>
      <c r="M166" t="str">
        <f t="shared" si="27"/>
        <v/>
      </c>
      <c r="N166" t="str">
        <f t="shared" si="28"/>
        <v/>
      </c>
      <c r="O166" t="str">
        <f t="shared" si="29"/>
        <v/>
      </c>
      <c r="P166" t="str">
        <f>IF(OR(H166="",NOT(OR(LEFT(H166,1)="G",LEFT(H166,1)="R"))),"",IFERROR(VLOOKUP(MID(H166,3,1),Map!$G$2:$H$10,2,FALSE),""))</f>
        <v/>
      </c>
      <c r="Q166" t="str">
        <f>IF(A166="","",IFERROR(VLOOKUP(MID(A166,4,1),Map!$O$2:$P$10,2,FALSE),""))</f>
        <v/>
      </c>
    </row>
    <row r="167" spans="2:17" x14ac:dyDescent="0.25">
      <c r="B167" t="str">
        <f t="shared" si="20"/>
        <v/>
      </c>
      <c r="C167" t="str">
        <f t="shared" si="21"/>
        <v>**</v>
      </c>
      <c r="D167" t="str">
        <f t="shared" si="22"/>
        <v/>
      </c>
      <c r="E167" t="str">
        <f>IFERROR(VLOOKUP(MID(A167,7,2),Map!$A$2:$B$20,2,FALSE),"")</f>
        <v/>
      </c>
      <c r="F167" t="str">
        <f>IF(A167="","",IFERROR(VLOOKUP(MID(A167,9,2),Map!$R$2:$S$14,2,FALSE),""))</f>
        <v/>
      </c>
      <c r="G167" t="str">
        <f t="shared" si="23"/>
        <v/>
      </c>
      <c r="H167" t="str">
        <f t="shared" si="24"/>
        <v/>
      </c>
      <c r="I167" t="str">
        <f>IF(A167="","",IFERROR(VLOOKUP(LEFT(A167,1),Map!$D$2:$E$20,2,FALSE),""))</f>
        <v/>
      </c>
      <c r="J167" t="str">
        <f>IF(OR(H167="",NOT(OR(LEFT(H167,1)="G",LEFT(H167,1)="R"))),"",IFERROR(VLOOKUP(MID(H167,2,1),Map!$J$2:$M$10,2,FALSE),""))</f>
        <v/>
      </c>
      <c r="K167" t="str">
        <f t="shared" si="25"/>
        <v/>
      </c>
      <c r="L167" t="str">
        <f t="shared" si="26"/>
        <v/>
      </c>
      <c r="M167" t="str">
        <f t="shared" si="27"/>
        <v/>
      </c>
      <c r="N167" t="str">
        <f t="shared" si="28"/>
        <v/>
      </c>
      <c r="O167" t="str">
        <f t="shared" si="29"/>
        <v/>
      </c>
      <c r="P167" t="str">
        <f>IF(OR(H167="",NOT(OR(LEFT(H167,1)="G",LEFT(H167,1)="R"))),"",IFERROR(VLOOKUP(MID(H167,3,1),Map!$G$2:$H$10,2,FALSE),""))</f>
        <v/>
      </c>
      <c r="Q167" t="str">
        <f>IF(A167="","",IFERROR(VLOOKUP(MID(A167,4,1),Map!$O$2:$P$10,2,FALSE),""))</f>
        <v/>
      </c>
    </row>
    <row r="168" spans="2:17" x14ac:dyDescent="0.25">
      <c r="B168" t="str">
        <f t="shared" si="20"/>
        <v/>
      </c>
      <c r="C168" t="str">
        <f t="shared" si="21"/>
        <v>**</v>
      </c>
      <c r="D168" t="str">
        <f t="shared" si="22"/>
        <v/>
      </c>
      <c r="E168" t="str">
        <f>IFERROR(VLOOKUP(MID(A168,7,2),Map!$A$2:$B$20,2,FALSE),"")</f>
        <v/>
      </c>
      <c r="F168" t="str">
        <f>IF(A168="","",IFERROR(VLOOKUP(MID(A168,9,2),Map!$R$2:$S$14,2,FALSE),""))</f>
        <v/>
      </c>
      <c r="G168" t="str">
        <f t="shared" si="23"/>
        <v/>
      </c>
      <c r="H168" t="str">
        <f t="shared" si="24"/>
        <v/>
      </c>
      <c r="I168" t="str">
        <f>IF(A168="","",IFERROR(VLOOKUP(LEFT(A168,1),Map!$D$2:$E$20,2,FALSE),""))</f>
        <v/>
      </c>
      <c r="J168" t="str">
        <f>IF(OR(H168="",NOT(OR(LEFT(H168,1)="G",LEFT(H168,1)="R"))),"",IFERROR(VLOOKUP(MID(H168,2,1),Map!$J$2:$M$10,2,FALSE),""))</f>
        <v/>
      </c>
      <c r="K168" t="str">
        <f t="shared" si="25"/>
        <v/>
      </c>
      <c r="L168" t="str">
        <f t="shared" si="26"/>
        <v/>
      </c>
      <c r="M168" t="str">
        <f t="shared" si="27"/>
        <v/>
      </c>
      <c r="N168" t="str">
        <f t="shared" si="28"/>
        <v/>
      </c>
      <c r="O168" t="str">
        <f t="shared" si="29"/>
        <v/>
      </c>
      <c r="P168" t="str">
        <f>IF(OR(H168="",NOT(OR(LEFT(H168,1)="G",LEFT(H168,1)="R"))),"",IFERROR(VLOOKUP(MID(H168,3,1),Map!$G$2:$H$10,2,FALSE),""))</f>
        <v/>
      </c>
      <c r="Q168" t="str">
        <f>IF(A168="","",IFERROR(VLOOKUP(MID(A168,4,1),Map!$O$2:$P$10,2,FALSE),""))</f>
        <v/>
      </c>
    </row>
    <row r="169" spans="2:17" x14ac:dyDescent="0.25">
      <c r="B169" t="str">
        <f t="shared" si="20"/>
        <v/>
      </c>
      <c r="C169" t="str">
        <f t="shared" si="21"/>
        <v>**</v>
      </c>
      <c r="D169" t="str">
        <f t="shared" si="22"/>
        <v/>
      </c>
      <c r="E169" t="str">
        <f>IFERROR(VLOOKUP(MID(A169,7,2),Map!$A$2:$B$20,2,FALSE),"")</f>
        <v/>
      </c>
      <c r="F169" t="str">
        <f>IF(A169="","",IFERROR(VLOOKUP(MID(A169,9,2),Map!$R$2:$S$14,2,FALSE),""))</f>
        <v/>
      </c>
      <c r="G169" t="str">
        <f t="shared" si="23"/>
        <v/>
      </c>
      <c r="H169" t="str">
        <f t="shared" si="24"/>
        <v/>
      </c>
      <c r="I169" t="str">
        <f>IF(A169="","",IFERROR(VLOOKUP(LEFT(A169,1),Map!$D$2:$E$20,2,FALSE),""))</f>
        <v/>
      </c>
      <c r="J169" t="str">
        <f>IF(OR(H169="",NOT(OR(LEFT(H169,1)="G",LEFT(H169,1)="R"))),"",IFERROR(VLOOKUP(MID(H169,2,1),Map!$J$2:$M$10,2,FALSE),""))</f>
        <v/>
      </c>
      <c r="K169" t="str">
        <f t="shared" si="25"/>
        <v/>
      </c>
      <c r="L169" t="str">
        <f t="shared" si="26"/>
        <v/>
      </c>
      <c r="M169" t="str">
        <f t="shared" si="27"/>
        <v/>
      </c>
      <c r="N169" t="str">
        <f t="shared" si="28"/>
        <v/>
      </c>
      <c r="O169" t="str">
        <f t="shared" si="29"/>
        <v/>
      </c>
      <c r="P169" t="str">
        <f>IF(OR(H169="",NOT(OR(LEFT(H169,1)="G",LEFT(H169,1)="R"))),"",IFERROR(VLOOKUP(MID(H169,3,1),Map!$G$2:$H$10,2,FALSE),""))</f>
        <v/>
      </c>
      <c r="Q169" t="str">
        <f>IF(A169="","",IFERROR(VLOOKUP(MID(A169,4,1),Map!$O$2:$P$10,2,FALSE),""))</f>
        <v/>
      </c>
    </row>
    <row r="170" spans="2:17" x14ac:dyDescent="0.25">
      <c r="B170" t="str">
        <f t="shared" si="20"/>
        <v/>
      </c>
      <c r="C170" t="str">
        <f t="shared" si="21"/>
        <v>**</v>
      </c>
      <c r="D170" t="str">
        <f t="shared" si="22"/>
        <v/>
      </c>
      <c r="E170" t="str">
        <f>IFERROR(VLOOKUP(MID(A170,7,2),Map!$A$2:$B$20,2,FALSE),"")</f>
        <v/>
      </c>
      <c r="F170" t="str">
        <f>IF(A170="","",IFERROR(VLOOKUP(MID(A170,9,2),Map!$R$2:$S$14,2,FALSE),""))</f>
        <v/>
      </c>
      <c r="G170" t="str">
        <f t="shared" si="23"/>
        <v/>
      </c>
      <c r="H170" t="str">
        <f t="shared" si="24"/>
        <v/>
      </c>
      <c r="I170" t="str">
        <f>IF(A170="","",IFERROR(VLOOKUP(LEFT(A170,1),Map!$D$2:$E$20,2,FALSE),""))</f>
        <v/>
      </c>
      <c r="J170" t="str">
        <f>IF(OR(H170="",NOT(OR(LEFT(H170,1)="G",LEFT(H170,1)="R"))),"",IFERROR(VLOOKUP(MID(H170,2,1),Map!$J$2:$M$10,2,FALSE),""))</f>
        <v/>
      </c>
      <c r="K170" t="str">
        <f t="shared" si="25"/>
        <v/>
      </c>
      <c r="L170" t="str">
        <f t="shared" si="26"/>
        <v/>
      </c>
      <c r="M170" t="str">
        <f t="shared" si="27"/>
        <v/>
      </c>
      <c r="N170" t="str">
        <f t="shared" si="28"/>
        <v/>
      </c>
      <c r="O170" t="str">
        <f t="shared" si="29"/>
        <v/>
      </c>
      <c r="P170" t="str">
        <f>IF(OR(H170="",NOT(OR(LEFT(H170,1)="G",LEFT(H170,1)="R"))),"",IFERROR(VLOOKUP(MID(H170,3,1),Map!$G$2:$H$10,2,FALSE),""))</f>
        <v/>
      </c>
      <c r="Q170" t="str">
        <f>IF(A170="","",IFERROR(VLOOKUP(MID(A170,4,1),Map!$O$2:$P$10,2,FALSE),""))</f>
        <v/>
      </c>
    </row>
    <row r="171" spans="2:17" x14ac:dyDescent="0.25">
      <c r="B171" t="str">
        <f t="shared" si="20"/>
        <v/>
      </c>
      <c r="C171" t="str">
        <f t="shared" si="21"/>
        <v>**</v>
      </c>
      <c r="D171" t="str">
        <f t="shared" si="22"/>
        <v/>
      </c>
      <c r="E171" t="str">
        <f>IFERROR(VLOOKUP(MID(A171,7,2),Map!$A$2:$B$20,2,FALSE),"")</f>
        <v/>
      </c>
      <c r="F171" t="str">
        <f>IF(A171="","",IFERROR(VLOOKUP(MID(A171,9,2),Map!$R$2:$S$14,2,FALSE),""))</f>
        <v/>
      </c>
      <c r="G171" t="str">
        <f t="shared" si="23"/>
        <v/>
      </c>
      <c r="H171" t="str">
        <f t="shared" si="24"/>
        <v/>
      </c>
      <c r="I171" t="str">
        <f>IF(A171="","",IFERROR(VLOOKUP(LEFT(A171,1),Map!$D$2:$E$20,2,FALSE),""))</f>
        <v/>
      </c>
      <c r="J171" t="str">
        <f>IF(OR(H171="",NOT(OR(LEFT(H171,1)="G",LEFT(H171,1)="R"))),"",IFERROR(VLOOKUP(MID(H171,2,1),Map!$J$2:$M$10,2,FALSE),""))</f>
        <v/>
      </c>
      <c r="K171" t="str">
        <f t="shared" si="25"/>
        <v/>
      </c>
      <c r="L171" t="str">
        <f t="shared" si="26"/>
        <v/>
      </c>
      <c r="M171" t="str">
        <f t="shared" si="27"/>
        <v/>
      </c>
      <c r="N171" t="str">
        <f t="shared" si="28"/>
        <v/>
      </c>
      <c r="O171" t="str">
        <f t="shared" si="29"/>
        <v/>
      </c>
      <c r="P171" t="str">
        <f>IF(OR(H171="",NOT(OR(LEFT(H171,1)="G",LEFT(H171,1)="R"))),"",IFERROR(VLOOKUP(MID(H171,3,1),Map!$G$2:$H$10,2,FALSE),""))</f>
        <v/>
      </c>
      <c r="Q171" t="str">
        <f>IF(A171="","",IFERROR(VLOOKUP(MID(A171,4,1),Map!$O$2:$P$10,2,FALSE),""))</f>
        <v/>
      </c>
    </row>
    <row r="172" spans="2:17" x14ac:dyDescent="0.25">
      <c r="B172" t="str">
        <f t="shared" si="20"/>
        <v/>
      </c>
      <c r="C172" t="str">
        <f t="shared" si="21"/>
        <v>**</v>
      </c>
      <c r="D172" t="str">
        <f t="shared" si="22"/>
        <v/>
      </c>
      <c r="E172" t="str">
        <f>IFERROR(VLOOKUP(MID(A172,7,2),Map!$A$2:$B$20,2,FALSE),"")</f>
        <v/>
      </c>
      <c r="F172" t="str">
        <f>IF(A172="","",IFERROR(VLOOKUP(MID(A172,9,2),Map!$R$2:$S$14,2,FALSE),""))</f>
        <v/>
      </c>
      <c r="G172" t="str">
        <f t="shared" si="23"/>
        <v/>
      </c>
      <c r="H172" t="str">
        <f t="shared" si="24"/>
        <v/>
      </c>
      <c r="I172" t="str">
        <f>IF(A172="","",IFERROR(VLOOKUP(LEFT(A172,1),Map!$D$2:$E$20,2,FALSE),""))</f>
        <v/>
      </c>
      <c r="J172" t="str">
        <f>IF(OR(H172="",NOT(OR(LEFT(H172,1)="G",LEFT(H172,1)="R"))),"",IFERROR(VLOOKUP(MID(H172,2,1),Map!$J$2:$M$10,2,FALSE),""))</f>
        <v/>
      </c>
      <c r="K172" t="str">
        <f t="shared" si="25"/>
        <v/>
      </c>
      <c r="L172" t="str">
        <f t="shared" si="26"/>
        <v/>
      </c>
      <c r="M172" t="str">
        <f t="shared" si="27"/>
        <v/>
      </c>
      <c r="N172" t="str">
        <f t="shared" si="28"/>
        <v/>
      </c>
      <c r="O172" t="str">
        <f t="shared" si="29"/>
        <v/>
      </c>
      <c r="P172" t="str">
        <f>IF(OR(H172="",NOT(OR(LEFT(H172,1)="G",LEFT(H172,1)="R"))),"",IFERROR(VLOOKUP(MID(H172,3,1),Map!$G$2:$H$10,2,FALSE),""))</f>
        <v/>
      </c>
      <c r="Q172" t="str">
        <f>IF(A172="","",IFERROR(VLOOKUP(MID(A172,4,1),Map!$O$2:$P$10,2,FALSE),""))</f>
        <v/>
      </c>
    </row>
    <row r="173" spans="2:17" x14ac:dyDescent="0.25">
      <c r="B173" t="str">
        <f t="shared" si="20"/>
        <v/>
      </c>
      <c r="C173" t="str">
        <f t="shared" si="21"/>
        <v>**</v>
      </c>
      <c r="D173" t="str">
        <f t="shared" si="22"/>
        <v/>
      </c>
      <c r="E173" t="str">
        <f>IFERROR(VLOOKUP(MID(A173,7,2),Map!$A$2:$B$20,2,FALSE),"")</f>
        <v/>
      </c>
      <c r="F173" t="str">
        <f>IF(A173="","",IFERROR(VLOOKUP(MID(A173,9,2),Map!$R$2:$S$14,2,FALSE),""))</f>
        <v/>
      </c>
      <c r="G173" t="str">
        <f t="shared" si="23"/>
        <v/>
      </c>
      <c r="H173" t="str">
        <f t="shared" si="24"/>
        <v/>
      </c>
      <c r="I173" t="str">
        <f>IF(A173="","",IFERROR(VLOOKUP(LEFT(A173,1),Map!$D$2:$E$20,2,FALSE),""))</f>
        <v/>
      </c>
      <c r="J173" t="str">
        <f>IF(OR(H173="",NOT(OR(LEFT(H173,1)="G",LEFT(H173,1)="R"))),"",IFERROR(VLOOKUP(MID(H173,2,1),Map!$J$2:$M$10,2,FALSE),""))</f>
        <v/>
      </c>
      <c r="K173" t="str">
        <f t="shared" si="25"/>
        <v/>
      </c>
      <c r="L173" t="str">
        <f t="shared" si="26"/>
        <v/>
      </c>
      <c r="M173" t="str">
        <f t="shared" si="27"/>
        <v/>
      </c>
      <c r="N173" t="str">
        <f t="shared" si="28"/>
        <v/>
      </c>
      <c r="O173" t="str">
        <f t="shared" si="29"/>
        <v/>
      </c>
      <c r="P173" t="str">
        <f>IF(OR(H173="",NOT(OR(LEFT(H173,1)="G",LEFT(H173,1)="R"))),"",IFERROR(VLOOKUP(MID(H173,3,1),Map!$G$2:$H$10,2,FALSE),""))</f>
        <v/>
      </c>
      <c r="Q173" t="str">
        <f>IF(A173="","",IFERROR(VLOOKUP(MID(A173,4,1),Map!$O$2:$P$10,2,FALSE),""))</f>
        <v/>
      </c>
    </row>
    <row r="174" spans="2:17" x14ac:dyDescent="0.25">
      <c r="B174" t="str">
        <f t="shared" si="20"/>
        <v/>
      </c>
      <c r="C174" t="str">
        <f t="shared" si="21"/>
        <v>**</v>
      </c>
      <c r="D174" t="str">
        <f t="shared" si="22"/>
        <v/>
      </c>
      <c r="E174" t="str">
        <f>IFERROR(VLOOKUP(MID(A174,7,2),Map!$A$2:$B$20,2,FALSE),"")</f>
        <v/>
      </c>
      <c r="F174" t="str">
        <f>IF(A174="","",IFERROR(VLOOKUP(MID(A174,9,2),Map!$R$2:$S$14,2,FALSE),""))</f>
        <v/>
      </c>
      <c r="G174" t="str">
        <f t="shared" si="23"/>
        <v/>
      </c>
      <c r="H174" t="str">
        <f t="shared" si="24"/>
        <v/>
      </c>
      <c r="I174" t="str">
        <f>IF(A174="","",IFERROR(VLOOKUP(LEFT(A174,1),Map!$D$2:$E$20,2,FALSE),""))</f>
        <v/>
      </c>
      <c r="J174" t="str">
        <f>IF(OR(H174="",NOT(OR(LEFT(H174,1)="G",LEFT(H174,1)="R"))),"",IFERROR(VLOOKUP(MID(H174,2,1),Map!$J$2:$M$10,2,FALSE),""))</f>
        <v/>
      </c>
      <c r="K174" t="str">
        <f t="shared" si="25"/>
        <v/>
      </c>
      <c r="L174" t="str">
        <f t="shared" si="26"/>
        <v/>
      </c>
      <c r="M174" t="str">
        <f t="shared" si="27"/>
        <v/>
      </c>
      <c r="N174" t="str">
        <f t="shared" si="28"/>
        <v/>
      </c>
      <c r="O174" t="str">
        <f t="shared" si="29"/>
        <v/>
      </c>
      <c r="P174" t="str">
        <f>IF(OR(H174="",NOT(OR(LEFT(H174,1)="G",LEFT(H174,1)="R"))),"",IFERROR(VLOOKUP(MID(H174,3,1),Map!$G$2:$H$10,2,FALSE),""))</f>
        <v/>
      </c>
      <c r="Q174" t="str">
        <f>IF(A174="","",IFERROR(VLOOKUP(MID(A174,4,1),Map!$O$2:$P$10,2,FALSE),""))</f>
        <v/>
      </c>
    </row>
    <row r="175" spans="2:17" x14ac:dyDescent="0.25">
      <c r="B175" t="str">
        <f t="shared" si="20"/>
        <v/>
      </c>
      <c r="C175" t="str">
        <f t="shared" si="21"/>
        <v>**</v>
      </c>
      <c r="D175" t="str">
        <f t="shared" si="22"/>
        <v/>
      </c>
      <c r="E175" t="str">
        <f>IFERROR(VLOOKUP(MID(A175,7,2),Map!$A$2:$B$20,2,FALSE),"")</f>
        <v/>
      </c>
      <c r="F175" t="str">
        <f>IF(A175="","",IFERROR(VLOOKUP(MID(A175,9,2),Map!$R$2:$S$14,2,FALSE),""))</f>
        <v/>
      </c>
      <c r="G175" t="str">
        <f t="shared" si="23"/>
        <v/>
      </c>
      <c r="H175" t="str">
        <f t="shared" si="24"/>
        <v/>
      </c>
      <c r="I175" t="str">
        <f>IF(A175="","",IFERROR(VLOOKUP(LEFT(A175,1),Map!$D$2:$E$20,2,FALSE),""))</f>
        <v/>
      </c>
      <c r="J175" t="str">
        <f>IF(OR(H175="",NOT(OR(LEFT(H175,1)="G",LEFT(H175,1)="R"))),"",IFERROR(VLOOKUP(MID(H175,2,1),Map!$J$2:$M$10,2,FALSE),""))</f>
        <v/>
      </c>
      <c r="K175" t="str">
        <f t="shared" si="25"/>
        <v/>
      </c>
      <c r="L175" t="str">
        <f t="shared" si="26"/>
        <v/>
      </c>
      <c r="M175" t="str">
        <f t="shared" si="27"/>
        <v/>
      </c>
      <c r="N175" t="str">
        <f t="shared" si="28"/>
        <v/>
      </c>
      <c r="O175" t="str">
        <f t="shared" si="29"/>
        <v/>
      </c>
      <c r="P175" t="str">
        <f>IF(OR(H175="",NOT(OR(LEFT(H175,1)="G",LEFT(H175,1)="R"))),"",IFERROR(VLOOKUP(MID(H175,3,1),Map!$G$2:$H$10,2,FALSE),""))</f>
        <v/>
      </c>
      <c r="Q175" t="str">
        <f>IF(A175="","",IFERROR(VLOOKUP(MID(A175,4,1),Map!$O$2:$P$10,2,FALSE),""))</f>
        <v/>
      </c>
    </row>
    <row r="176" spans="2:17" x14ac:dyDescent="0.25">
      <c r="B176" t="str">
        <f t="shared" si="20"/>
        <v/>
      </c>
      <c r="C176" t="str">
        <f t="shared" si="21"/>
        <v>**</v>
      </c>
      <c r="D176" t="str">
        <f t="shared" si="22"/>
        <v/>
      </c>
      <c r="E176" t="str">
        <f>IFERROR(VLOOKUP(MID(A176,7,2),Map!$A$2:$B$20,2,FALSE),"")</f>
        <v/>
      </c>
      <c r="F176" t="str">
        <f>IF(A176="","",IFERROR(VLOOKUP(MID(A176,9,2),Map!$R$2:$S$14,2,FALSE),""))</f>
        <v/>
      </c>
      <c r="G176" t="str">
        <f t="shared" si="23"/>
        <v/>
      </c>
      <c r="H176" t="str">
        <f t="shared" si="24"/>
        <v/>
      </c>
      <c r="I176" t="str">
        <f>IF(A176="","",IFERROR(VLOOKUP(LEFT(A176,1),Map!$D$2:$E$20,2,FALSE),""))</f>
        <v/>
      </c>
      <c r="J176" t="str">
        <f>IF(OR(H176="",NOT(OR(LEFT(H176,1)="G",LEFT(H176,1)="R"))),"",IFERROR(VLOOKUP(MID(H176,2,1),Map!$J$2:$M$10,2,FALSE),""))</f>
        <v/>
      </c>
      <c r="K176" t="str">
        <f t="shared" si="25"/>
        <v/>
      </c>
      <c r="L176" t="str">
        <f t="shared" si="26"/>
        <v/>
      </c>
      <c r="M176" t="str">
        <f t="shared" si="27"/>
        <v/>
      </c>
      <c r="N176" t="str">
        <f t="shared" si="28"/>
        <v/>
      </c>
      <c r="O176" t="str">
        <f t="shared" si="29"/>
        <v/>
      </c>
      <c r="P176" t="str">
        <f>IF(OR(H176="",NOT(OR(LEFT(H176,1)="G",LEFT(H176,1)="R"))),"",IFERROR(VLOOKUP(MID(H176,3,1),Map!$G$2:$H$10,2,FALSE),""))</f>
        <v/>
      </c>
      <c r="Q176" t="str">
        <f>IF(A176="","",IFERROR(VLOOKUP(MID(A176,4,1),Map!$O$2:$P$10,2,FALSE),""))</f>
        <v/>
      </c>
    </row>
    <row r="177" spans="2:17" x14ac:dyDescent="0.25">
      <c r="B177" t="str">
        <f t="shared" si="20"/>
        <v/>
      </c>
      <c r="C177" t="str">
        <f t="shared" si="21"/>
        <v>**</v>
      </c>
      <c r="D177" t="str">
        <f t="shared" si="22"/>
        <v/>
      </c>
      <c r="E177" t="str">
        <f>IFERROR(VLOOKUP(MID(A177,7,2),Map!$A$2:$B$20,2,FALSE),"")</f>
        <v/>
      </c>
      <c r="F177" t="str">
        <f>IF(A177="","",IFERROR(VLOOKUP(MID(A177,9,2),Map!$R$2:$S$14,2,FALSE),""))</f>
        <v/>
      </c>
      <c r="G177" t="str">
        <f t="shared" si="23"/>
        <v/>
      </c>
      <c r="H177" t="str">
        <f t="shared" si="24"/>
        <v/>
      </c>
      <c r="I177" t="str">
        <f>IF(A177="","",IFERROR(VLOOKUP(LEFT(A177,1),Map!$D$2:$E$20,2,FALSE),""))</f>
        <v/>
      </c>
      <c r="J177" t="str">
        <f>IF(OR(H177="",NOT(OR(LEFT(H177,1)="G",LEFT(H177,1)="R"))),"",IFERROR(VLOOKUP(MID(H177,2,1),Map!$J$2:$M$10,2,FALSE),""))</f>
        <v/>
      </c>
      <c r="K177" t="str">
        <f t="shared" si="25"/>
        <v/>
      </c>
      <c r="L177" t="str">
        <f t="shared" si="26"/>
        <v/>
      </c>
      <c r="M177" t="str">
        <f t="shared" si="27"/>
        <v/>
      </c>
      <c r="N177" t="str">
        <f t="shared" si="28"/>
        <v/>
      </c>
      <c r="O177" t="str">
        <f t="shared" si="29"/>
        <v/>
      </c>
      <c r="P177" t="str">
        <f>IF(OR(H177="",NOT(OR(LEFT(H177,1)="G",LEFT(H177,1)="R"))),"",IFERROR(VLOOKUP(MID(H177,3,1),Map!$G$2:$H$10,2,FALSE),""))</f>
        <v/>
      </c>
      <c r="Q177" t="str">
        <f>IF(A177="","",IFERROR(VLOOKUP(MID(A177,4,1),Map!$O$2:$P$10,2,FALSE),""))</f>
        <v/>
      </c>
    </row>
    <row r="178" spans="2:17" x14ac:dyDescent="0.25">
      <c r="B178" t="str">
        <f t="shared" si="20"/>
        <v/>
      </c>
      <c r="C178" t="str">
        <f t="shared" si="21"/>
        <v>**</v>
      </c>
      <c r="D178" t="str">
        <f t="shared" si="22"/>
        <v/>
      </c>
      <c r="E178" t="str">
        <f>IFERROR(VLOOKUP(MID(A178,7,2),Map!$A$2:$B$20,2,FALSE),"")</f>
        <v/>
      </c>
      <c r="F178" t="str">
        <f>IF(A178="","",IFERROR(VLOOKUP(MID(A178,9,2),Map!$R$2:$S$14,2,FALSE),""))</f>
        <v/>
      </c>
      <c r="G178" t="str">
        <f t="shared" si="23"/>
        <v/>
      </c>
      <c r="H178" t="str">
        <f t="shared" si="24"/>
        <v/>
      </c>
      <c r="I178" t="str">
        <f>IF(A178="","",IFERROR(VLOOKUP(LEFT(A178,1),Map!$D$2:$E$20,2,FALSE),""))</f>
        <v/>
      </c>
      <c r="J178" t="str">
        <f>IF(OR(H178="",NOT(OR(LEFT(H178,1)="G",LEFT(H178,1)="R"))),"",IFERROR(VLOOKUP(MID(H178,2,1),Map!$J$2:$M$10,2,FALSE),""))</f>
        <v/>
      </c>
      <c r="K178" t="str">
        <f t="shared" si="25"/>
        <v/>
      </c>
      <c r="L178" t="str">
        <f t="shared" si="26"/>
        <v/>
      </c>
      <c r="M178" t="str">
        <f t="shared" si="27"/>
        <v/>
      </c>
      <c r="N178" t="str">
        <f t="shared" si="28"/>
        <v/>
      </c>
      <c r="O178" t="str">
        <f t="shared" si="29"/>
        <v/>
      </c>
      <c r="P178" t="str">
        <f>IF(OR(H178="",NOT(OR(LEFT(H178,1)="G",LEFT(H178,1)="R"))),"",IFERROR(VLOOKUP(MID(H178,3,1),Map!$G$2:$H$10,2,FALSE),""))</f>
        <v/>
      </c>
      <c r="Q178" t="str">
        <f>IF(A178="","",IFERROR(VLOOKUP(MID(A178,4,1),Map!$O$2:$P$10,2,FALSE),""))</f>
        <v/>
      </c>
    </row>
    <row r="179" spans="2:17" x14ac:dyDescent="0.25">
      <c r="B179" t="str">
        <f t="shared" si="20"/>
        <v/>
      </c>
      <c r="C179" t="str">
        <f t="shared" si="21"/>
        <v>**</v>
      </c>
      <c r="D179" t="str">
        <f t="shared" si="22"/>
        <v/>
      </c>
      <c r="E179" t="str">
        <f>IFERROR(VLOOKUP(MID(A179,7,2),Map!$A$2:$B$20,2,FALSE),"")</f>
        <v/>
      </c>
      <c r="F179" t="str">
        <f>IF(A179="","",IFERROR(VLOOKUP(MID(A179,9,2),Map!$R$2:$S$14,2,FALSE),""))</f>
        <v/>
      </c>
      <c r="G179" t="str">
        <f t="shared" si="23"/>
        <v/>
      </c>
      <c r="H179" t="str">
        <f t="shared" si="24"/>
        <v/>
      </c>
      <c r="I179" t="str">
        <f>IF(A179="","",IFERROR(VLOOKUP(LEFT(A179,1),Map!$D$2:$E$20,2,FALSE),""))</f>
        <v/>
      </c>
      <c r="J179" t="str">
        <f>IF(OR(H179="",NOT(OR(LEFT(H179,1)="G",LEFT(H179,1)="R"))),"",IFERROR(VLOOKUP(MID(H179,2,1),Map!$J$2:$M$10,2,FALSE),""))</f>
        <v/>
      </c>
      <c r="K179" t="str">
        <f t="shared" si="25"/>
        <v/>
      </c>
      <c r="L179" t="str">
        <f t="shared" si="26"/>
        <v/>
      </c>
      <c r="M179" t="str">
        <f t="shared" si="27"/>
        <v/>
      </c>
      <c r="N179" t="str">
        <f t="shared" si="28"/>
        <v/>
      </c>
      <c r="O179" t="str">
        <f t="shared" si="29"/>
        <v/>
      </c>
      <c r="P179" t="str">
        <f>IF(OR(H179="",NOT(OR(LEFT(H179,1)="G",LEFT(H179,1)="R"))),"",IFERROR(VLOOKUP(MID(H179,3,1),Map!$G$2:$H$10,2,FALSE),""))</f>
        <v/>
      </c>
      <c r="Q179" t="str">
        <f>IF(A179="","",IFERROR(VLOOKUP(MID(A179,4,1),Map!$O$2:$P$10,2,FALSE),""))</f>
        <v/>
      </c>
    </row>
    <row r="180" spans="2:17" x14ac:dyDescent="0.25">
      <c r="B180" t="str">
        <f t="shared" si="20"/>
        <v/>
      </c>
      <c r="C180" t="str">
        <f t="shared" si="21"/>
        <v>**</v>
      </c>
      <c r="D180" t="str">
        <f t="shared" si="22"/>
        <v/>
      </c>
      <c r="E180" t="str">
        <f>IFERROR(VLOOKUP(MID(A180,7,2),Map!$A$2:$B$20,2,FALSE),"")</f>
        <v/>
      </c>
      <c r="F180" t="str">
        <f>IF(A180="","",IFERROR(VLOOKUP(MID(A180,9,2),Map!$R$2:$S$14,2,FALSE),""))</f>
        <v/>
      </c>
      <c r="G180" t="str">
        <f t="shared" si="23"/>
        <v/>
      </c>
      <c r="H180" t="str">
        <f t="shared" si="24"/>
        <v/>
      </c>
      <c r="I180" t="str">
        <f>IF(A180="","",IFERROR(VLOOKUP(LEFT(A180,1),Map!$D$2:$E$20,2,FALSE),""))</f>
        <v/>
      </c>
      <c r="J180" t="str">
        <f>IF(OR(H180="",NOT(OR(LEFT(H180,1)="G",LEFT(H180,1)="R"))),"",IFERROR(VLOOKUP(MID(H180,2,1),Map!$J$2:$M$10,2,FALSE),""))</f>
        <v/>
      </c>
      <c r="K180" t="str">
        <f t="shared" si="25"/>
        <v/>
      </c>
      <c r="L180" t="str">
        <f t="shared" si="26"/>
        <v/>
      </c>
      <c r="M180" t="str">
        <f t="shared" si="27"/>
        <v/>
      </c>
      <c r="N180" t="str">
        <f t="shared" si="28"/>
        <v/>
      </c>
      <c r="O180" t="str">
        <f t="shared" si="29"/>
        <v/>
      </c>
      <c r="P180" t="str">
        <f>IF(OR(H180="",NOT(OR(LEFT(H180,1)="G",LEFT(H180,1)="R"))),"",IFERROR(VLOOKUP(MID(H180,3,1),Map!$G$2:$H$10,2,FALSE),""))</f>
        <v/>
      </c>
      <c r="Q180" t="str">
        <f>IF(A180="","",IFERROR(VLOOKUP(MID(A180,4,1),Map!$O$2:$P$10,2,FALSE),""))</f>
        <v/>
      </c>
    </row>
    <row r="181" spans="2:17" x14ac:dyDescent="0.25">
      <c r="B181" t="str">
        <f t="shared" si="20"/>
        <v/>
      </c>
      <c r="C181" t="str">
        <f t="shared" si="21"/>
        <v>**</v>
      </c>
      <c r="D181" t="str">
        <f t="shared" si="22"/>
        <v/>
      </c>
      <c r="E181" t="str">
        <f>IFERROR(VLOOKUP(MID(A181,7,2),Map!$A$2:$B$20,2,FALSE),"")</f>
        <v/>
      </c>
      <c r="F181" t="str">
        <f>IF(A181="","",IFERROR(VLOOKUP(MID(A181,9,2),Map!$R$2:$S$14,2,FALSE),""))</f>
        <v/>
      </c>
      <c r="G181" t="str">
        <f t="shared" si="23"/>
        <v/>
      </c>
      <c r="H181" t="str">
        <f t="shared" si="24"/>
        <v/>
      </c>
      <c r="I181" t="str">
        <f>IF(A181="","",IFERROR(VLOOKUP(LEFT(A181,1),Map!$D$2:$E$20,2,FALSE),""))</f>
        <v/>
      </c>
      <c r="J181" t="str">
        <f>IF(OR(H181="",NOT(OR(LEFT(H181,1)="G",LEFT(H181,1)="R"))),"",IFERROR(VLOOKUP(MID(H181,2,1),Map!$J$2:$M$10,2,FALSE),""))</f>
        <v/>
      </c>
      <c r="K181" t="str">
        <f t="shared" si="25"/>
        <v/>
      </c>
      <c r="L181" t="str">
        <f t="shared" si="26"/>
        <v/>
      </c>
      <c r="M181" t="str">
        <f t="shared" si="27"/>
        <v/>
      </c>
      <c r="N181" t="str">
        <f t="shared" si="28"/>
        <v/>
      </c>
      <c r="O181" t="str">
        <f t="shared" si="29"/>
        <v/>
      </c>
      <c r="P181" t="str">
        <f>IF(OR(H181="",NOT(OR(LEFT(H181,1)="G",LEFT(H181,1)="R"))),"",IFERROR(VLOOKUP(MID(H181,3,1),Map!$G$2:$H$10,2,FALSE),""))</f>
        <v/>
      </c>
      <c r="Q181" t="str">
        <f>IF(A181="","",IFERROR(VLOOKUP(MID(A181,4,1),Map!$O$2:$P$10,2,FALSE),""))</f>
        <v/>
      </c>
    </row>
    <row r="182" spans="2:17" x14ac:dyDescent="0.25">
      <c r="B182" t="str">
        <f t="shared" si="20"/>
        <v/>
      </c>
      <c r="C182" t="str">
        <f t="shared" si="21"/>
        <v>**</v>
      </c>
      <c r="D182" t="str">
        <f t="shared" si="22"/>
        <v/>
      </c>
      <c r="E182" t="str">
        <f>IFERROR(VLOOKUP(MID(A182,7,2),Map!$A$2:$B$20,2,FALSE),"")</f>
        <v/>
      </c>
      <c r="F182" t="str">
        <f>IF(A182="","",IFERROR(VLOOKUP(MID(A182,9,2),Map!$R$2:$S$14,2,FALSE),""))</f>
        <v/>
      </c>
      <c r="G182" t="str">
        <f t="shared" si="23"/>
        <v/>
      </c>
      <c r="H182" t="str">
        <f t="shared" si="24"/>
        <v/>
      </c>
      <c r="I182" t="str">
        <f>IF(A182="","",IFERROR(VLOOKUP(LEFT(A182,1),Map!$D$2:$E$20,2,FALSE),""))</f>
        <v/>
      </c>
      <c r="J182" t="str">
        <f>IF(OR(H182="",NOT(OR(LEFT(H182,1)="G",LEFT(H182,1)="R"))),"",IFERROR(VLOOKUP(MID(H182,2,1),Map!$J$2:$M$10,2,FALSE),""))</f>
        <v/>
      </c>
      <c r="K182" t="str">
        <f t="shared" si="25"/>
        <v/>
      </c>
      <c r="L182" t="str">
        <f t="shared" si="26"/>
        <v/>
      </c>
      <c r="M182" t="str">
        <f t="shared" si="27"/>
        <v/>
      </c>
      <c r="N182" t="str">
        <f t="shared" si="28"/>
        <v/>
      </c>
      <c r="O182" t="str">
        <f t="shared" si="29"/>
        <v/>
      </c>
      <c r="P182" t="str">
        <f>IF(OR(H182="",NOT(OR(LEFT(H182,1)="G",LEFT(H182,1)="R"))),"",IFERROR(VLOOKUP(MID(H182,3,1),Map!$G$2:$H$10,2,FALSE),""))</f>
        <v/>
      </c>
      <c r="Q182" t="str">
        <f>IF(A182="","",IFERROR(VLOOKUP(MID(A182,4,1),Map!$O$2:$P$10,2,FALSE),""))</f>
        <v/>
      </c>
    </row>
    <row r="183" spans="2:17" x14ac:dyDescent="0.25">
      <c r="B183" t="str">
        <f t="shared" si="20"/>
        <v/>
      </c>
      <c r="C183" t="str">
        <f t="shared" si="21"/>
        <v>**</v>
      </c>
      <c r="D183" t="str">
        <f t="shared" si="22"/>
        <v/>
      </c>
      <c r="E183" t="str">
        <f>IFERROR(VLOOKUP(MID(A183,7,2),Map!$A$2:$B$20,2,FALSE),"")</f>
        <v/>
      </c>
      <c r="F183" t="str">
        <f>IF(A183="","",IFERROR(VLOOKUP(MID(A183,9,2),Map!$R$2:$S$14,2,FALSE),""))</f>
        <v/>
      </c>
      <c r="G183" t="str">
        <f t="shared" si="23"/>
        <v/>
      </c>
      <c r="H183" t="str">
        <f t="shared" si="24"/>
        <v/>
      </c>
      <c r="I183" t="str">
        <f>IF(A183="","",IFERROR(VLOOKUP(LEFT(A183,1),Map!$D$2:$E$20,2,FALSE),""))</f>
        <v/>
      </c>
      <c r="J183" t="str">
        <f>IF(OR(H183="",NOT(OR(LEFT(H183,1)="G",LEFT(H183,1)="R"))),"",IFERROR(VLOOKUP(MID(H183,2,1),Map!$J$2:$M$10,2,FALSE),""))</f>
        <v/>
      </c>
      <c r="K183" t="str">
        <f t="shared" si="25"/>
        <v/>
      </c>
      <c r="L183" t="str">
        <f t="shared" si="26"/>
        <v/>
      </c>
      <c r="M183" t="str">
        <f t="shared" si="27"/>
        <v/>
      </c>
      <c r="N183" t="str">
        <f t="shared" si="28"/>
        <v/>
      </c>
      <c r="O183" t="str">
        <f t="shared" si="29"/>
        <v/>
      </c>
      <c r="P183" t="str">
        <f>IF(OR(H183="",NOT(OR(LEFT(H183,1)="G",LEFT(H183,1)="R"))),"",IFERROR(VLOOKUP(MID(H183,3,1),Map!$G$2:$H$10,2,FALSE),""))</f>
        <v/>
      </c>
      <c r="Q183" t="str">
        <f>IF(A183="","",IFERROR(VLOOKUP(MID(A183,4,1),Map!$O$2:$P$10,2,FALSE),""))</f>
        <v/>
      </c>
    </row>
    <row r="184" spans="2:17" x14ac:dyDescent="0.25">
      <c r="B184" t="str">
        <f t="shared" si="20"/>
        <v/>
      </c>
      <c r="C184" t="str">
        <f t="shared" si="21"/>
        <v>**</v>
      </c>
      <c r="D184" t="str">
        <f t="shared" si="22"/>
        <v/>
      </c>
      <c r="E184" t="str">
        <f>IFERROR(VLOOKUP(MID(A184,7,2),Map!$A$2:$B$20,2,FALSE),"")</f>
        <v/>
      </c>
      <c r="F184" t="str">
        <f>IF(A184="","",IFERROR(VLOOKUP(MID(A184,9,2),Map!$R$2:$S$14,2,FALSE),""))</f>
        <v/>
      </c>
      <c r="G184" t="str">
        <f t="shared" si="23"/>
        <v/>
      </c>
      <c r="H184" t="str">
        <f t="shared" si="24"/>
        <v/>
      </c>
      <c r="I184" t="str">
        <f>IF(A184="","",IFERROR(VLOOKUP(LEFT(A184,1),Map!$D$2:$E$20,2,FALSE),""))</f>
        <v/>
      </c>
      <c r="J184" t="str">
        <f>IF(OR(H184="",NOT(OR(LEFT(H184,1)="G",LEFT(H184,1)="R"))),"",IFERROR(VLOOKUP(MID(H184,2,1),Map!$J$2:$M$10,2,FALSE),""))</f>
        <v/>
      </c>
      <c r="K184" t="str">
        <f t="shared" si="25"/>
        <v/>
      </c>
      <c r="L184" t="str">
        <f t="shared" si="26"/>
        <v/>
      </c>
      <c r="M184" t="str">
        <f t="shared" si="27"/>
        <v/>
      </c>
      <c r="N184" t="str">
        <f t="shared" si="28"/>
        <v/>
      </c>
      <c r="O184" t="str">
        <f t="shared" si="29"/>
        <v/>
      </c>
      <c r="P184" t="str">
        <f>IF(OR(H184="",NOT(OR(LEFT(H184,1)="G",LEFT(H184,1)="R"))),"",IFERROR(VLOOKUP(MID(H184,3,1),Map!$G$2:$H$10,2,FALSE),""))</f>
        <v/>
      </c>
      <c r="Q184" t="str">
        <f>IF(A184="","",IFERROR(VLOOKUP(MID(A184,4,1),Map!$O$2:$P$10,2,FALSE),""))</f>
        <v/>
      </c>
    </row>
    <row r="185" spans="2:17" x14ac:dyDescent="0.25">
      <c r="B185" t="str">
        <f t="shared" si="20"/>
        <v/>
      </c>
      <c r="C185" t="str">
        <f t="shared" si="21"/>
        <v>**</v>
      </c>
      <c r="D185" t="str">
        <f t="shared" si="22"/>
        <v/>
      </c>
      <c r="E185" t="str">
        <f>IFERROR(VLOOKUP(MID(A185,7,2),Map!$A$2:$B$20,2,FALSE),"")</f>
        <v/>
      </c>
      <c r="F185" t="str">
        <f>IF(A185="","",IFERROR(VLOOKUP(MID(A185,9,2),Map!$R$2:$S$14,2,FALSE),""))</f>
        <v/>
      </c>
      <c r="G185" t="str">
        <f t="shared" si="23"/>
        <v/>
      </c>
      <c r="H185" t="str">
        <f t="shared" si="24"/>
        <v/>
      </c>
      <c r="I185" t="str">
        <f>IF(A185="","",IFERROR(VLOOKUP(LEFT(A185,1),Map!$D$2:$E$20,2,FALSE),""))</f>
        <v/>
      </c>
      <c r="J185" t="str">
        <f>IF(OR(H185="",NOT(OR(LEFT(H185,1)="G",LEFT(H185,1)="R"))),"",IFERROR(VLOOKUP(MID(H185,2,1),Map!$J$2:$M$10,2,FALSE),""))</f>
        <v/>
      </c>
      <c r="K185" t="str">
        <f t="shared" si="25"/>
        <v/>
      </c>
      <c r="L185" t="str">
        <f t="shared" si="26"/>
        <v/>
      </c>
      <c r="M185" t="str">
        <f t="shared" si="27"/>
        <v/>
      </c>
      <c r="N185" t="str">
        <f t="shared" si="28"/>
        <v/>
      </c>
      <c r="O185" t="str">
        <f t="shared" si="29"/>
        <v/>
      </c>
      <c r="P185" t="str">
        <f>IF(OR(H185="",NOT(OR(LEFT(H185,1)="G",LEFT(H185,1)="R"))),"",IFERROR(VLOOKUP(MID(H185,3,1),Map!$G$2:$H$10,2,FALSE),""))</f>
        <v/>
      </c>
      <c r="Q185" t="str">
        <f>IF(A185="","",IFERROR(VLOOKUP(MID(A185,4,1),Map!$O$2:$P$10,2,FALSE),""))</f>
        <v/>
      </c>
    </row>
    <row r="186" spans="2:17" x14ac:dyDescent="0.25">
      <c r="B186" t="str">
        <f t="shared" si="20"/>
        <v/>
      </c>
      <c r="C186" t="str">
        <f t="shared" si="21"/>
        <v>**</v>
      </c>
      <c r="D186" t="str">
        <f t="shared" si="22"/>
        <v/>
      </c>
      <c r="E186" t="str">
        <f>IFERROR(VLOOKUP(MID(A186,7,2),Map!$A$2:$B$20,2,FALSE),"")</f>
        <v/>
      </c>
      <c r="F186" t="str">
        <f>IF(A186="","",IFERROR(VLOOKUP(MID(A186,9,2),Map!$R$2:$S$14,2,FALSE),""))</f>
        <v/>
      </c>
      <c r="G186" t="str">
        <f t="shared" si="23"/>
        <v/>
      </c>
      <c r="H186" t="str">
        <f t="shared" si="24"/>
        <v/>
      </c>
      <c r="I186" t="str">
        <f>IF(A186="","",IFERROR(VLOOKUP(LEFT(A186,1),Map!$D$2:$E$20,2,FALSE),""))</f>
        <v/>
      </c>
      <c r="J186" t="str">
        <f>IF(OR(H186="",NOT(OR(LEFT(H186,1)="G",LEFT(H186,1)="R"))),"",IFERROR(VLOOKUP(MID(H186,2,1),Map!$J$2:$M$10,2,FALSE),""))</f>
        <v/>
      </c>
      <c r="K186" t="str">
        <f t="shared" si="25"/>
        <v/>
      </c>
      <c r="L186" t="str">
        <f t="shared" si="26"/>
        <v/>
      </c>
      <c r="M186" t="str">
        <f t="shared" si="27"/>
        <v/>
      </c>
      <c r="N186" t="str">
        <f t="shared" si="28"/>
        <v/>
      </c>
      <c r="O186" t="str">
        <f t="shared" si="29"/>
        <v/>
      </c>
      <c r="P186" t="str">
        <f>IF(OR(H186="",NOT(OR(LEFT(H186,1)="G",LEFT(H186,1)="R"))),"",IFERROR(VLOOKUP(MID(H186,3,1),Map!$G$2:$H$10,2,FALSE),""))</f>
        <v/>
      </c>
      <c r="Q186" t="str">
        <f>IF(A186="","",IFERROR(VLOOKUP(MID(A186,4,1),Map!$O$2:$P$10,2,FALSE),""))</f>
        <v/>
      </c>
    </row>
    <row r="187" spans="2:17" x14ac:dyDescent="0.25">
      <c r="B187" t="str">
        <f t="shared" si="20"/>
        <v/>
      </c>
      <c r="C187" t="str">
        <f t="shared" si="21"/>
        <v>**</v>
      </c>
      <c r="D187" t="str">
        <f t="shared" si="22"/>
        <v/>
      </c>
      <c r="E187" t="str">
        <f>IFERROR(VLOOKUP(MID(A187,7,2),Map!$A$2:$B$20,2,FALSE),"")</f>
        <v/>
      </c>
      <c r="F187" t="str">
        <f>IF(A187="","",IFERROR(VLOOKUP(MID(A187,9,2),Map!$R$2:$S$14,2,FALSE),""))</f>
        <v/>
      </c>
      <c r="G187" t="str">
        <f t="shared" si="23"/>
        <v/>
      </c>
      <c r="H187" t="str">
        <f t="shared" si="24"/>
        <v/>
      </c>
      <c r="I187" t="str">
        <f>IF(A187="","",IFERROR(VLOOKUP(LEFT(A187,1),Map!$D$2:$E$20,2,FALSE),""))</f>
        <v/>
      </c>
      <c r="J187" t="str">
        <f>IF(OR(H187="",NOT(OR(LEFT(H187,1)="G",LEFT(H187,1)="R"))),"",IFERROR(VLOOKUP(MID(H187,2,1),Map!$J$2:$M$10,2,FALSE),""))</f>
        <v/>
      </c>
      <c r="K187" t="str">
        <f t="shared" si="25"/>
        <v/>
      </c>
      <c r="L187" t="str">
        <f t="shared" si="26"/>
        <v/>
      </c>
      <c r="M187" t="str">
        <f t="shared" si="27"/>
        <v/>
      </c>
      <c r="N187" t="str">
        <f t="shared" si="28"/>
        <v/>
      </c>
      <c r="O187" t="str">
        <f t="shared" si="29"/>
        <v/>
      </c>
      <c r="P187" t="str">
        <f>IF(OR(H187="",NOT(OR(LEFT(H187,1)="G",LEFT(H187,1)="R"))),"",IFERROR(VLOOKUP(MID(H187,3,1),Map!$G$2:$H$10,2,FALSE),""))</f>
        <v/>
      </c>
      <c r="Q187" t="str">
        <f>IF(A187="","",IFERROR(VLOOKUP(MID(A187,4,1),Map!$O$2:$P$10,2,FALSE),""))</f>
        <v/>
      </c>
    </row>
    <row r="188" spans="2:17" x14ac:dyDescent="0.25">
      <c r="B188" t="str">
        <f t="shared" si="20"/>
        <v/>
      </c>
      <c r="C188" t="str">
        <f t="shared" si="21"/>
        <v>**</v>
      </c>
      <c r="D188" t="str">
        <f t="shared" si="22"/>
        <v/>
      </c>
      <c r="E188" t="str">
        <f>IFERROR(VLOOKUP(MID(A188,7,2),Map!$A$2:$B$20,2,FALSE),"")</f>
        <v/>
      </c>
      <c r="F188" t="str">
        <f>IF(A188="","",IFERROR(VLOOKUP(MID(A188,9,2),Map!$R$2:$S$14,2,FALSE),""))</f>
        <v/>
      </c>
      <c r="G188" t="str">
        <f t="shared" si="23"/>
        <v/>
      </c>
      <c r="H188" t="str">
        <f t="shared" si="24"/>
        <v/>
      </c>
      <c r="I188" t="str">
        <f>IF(A188="","",IFERROR(VLOOKUP(LEFT(A188,1),Map!$D$2:$E$20,2,FALSE),""))</f>
        <v/>
      </c>
      <c r="J188" t="str">
        <f>IF(OR(H188="",NOT(OR(LEFT(H188,1)="G",LEFT(H188,1)="R"))),"",IFERROR(VLOOKUP(MID(H188,2,1),Map!$J$2:$M$10,2,FALSE),""))</f>
        <v/>
      </c>
      <c r="K188" t="str">
        <f t="shared" si="25"/>
        <v/>
      </c>
      <c r="L188" t="str">
        <f t="shared" si="26"/>
        <v/>
      </c>
      <c r="M188" t="str">
        <f t="shared" si="27"/>
        <v/>
      </c>
      <c r="N188" t="str">
        <f t="shared" si="28"/>
        <v/>
      </c>
      <c r="O188" t="str">
        <f t="shared" si="29"/>
        <v/>
      </c>
      <c r="P188" t="str">
        <f>IF(OR(H188="",NOT(OR(LEFT(H188,1)="G",LEFT(H188,1)="R"))),"",IFERROR(VLOOKUP(MID(H188,3,1),Map!$G$2:$H$10,2,FALSE),""))</f>
        <v/>
      </c>
      <c r="Q188" t="str">
        <f>IF(A188="","",IFERROR(VLOOKUP(MID(A188,4,1),Map!$O$2:$P$10,2,FALSE),""))</f>
        <v/>
      </c>
    </row>
    <row r="189" spans="2:17" x14ac:dyDescent="0.25">
      <c r="B189" t="str">
        <f t="shared" si="20"/>
        <v/>
      </c>
      <c r="C189" t="str">
        <f t="shared" si="21"/>
        <v>**</v>
      </c>
      <c r="D189" t="str">
        <f t="shared" si="22"/>
        <v/>
      </c>
      <c r="E189" t="str">
        <f>IFERROR(VLOOKUP(MID(A189,7,2),Map!$A$2:$B$20,2,FALSE),"")</f>
        <v/>
      </c>
      <c r="F189" t="str">
        <f>IF(A189="","",IFERROR(VLOOKUP(MID(A189,9,2),Map!$R$2:$S$14,2,FALSE),""))</f>
        <v/>
      </c>
      <c r="G189" t="str">
        <f t="shared" si="23"/>
        <v/>
      </c>
      <c r="H189" t="str">
        <f t="shared" si="24"/>
        <v/>
      </c>
      <c r="I189" t="str">
        <f>IF(A189="","",IFERROR(VLOOKUP(LEFT(A189,1),Map!$D$2:$E$20,2,FALSE),""))</f>
        <v/>
      </c>
      <c r="J189" t="str">
        <f>IF(OR(H189="",NOT(OR(LEFT(H189,1)="G",LEFT(H189,1)="R"))),"",IFERROR(VLOOKUP(MID(H189,2,1),Map!$J$2:$M$10,2,FALSE),""))</f>
        <v/>
      </c>
      <c r="K189" t="str">
        <f t="shared" si="25"/>
        <v/>
      </c>
      <c r="L189" t="str">
        <f t="shared" si="26"/>
        <v/>
      </c>
      <c r="M189" t="str">
        <f t="shared" si="27"/>
        <v/>
      </c>
      <c r="N189" t="str">
        <f t="shared" si="28"/>
        <v/>
      </c>
      <c r="O189" t="str">
        <f t="shared" si="29"/>
        <v/>
      </c>
      <c r="P189" t="str">
        <f>IF(OR(H189="",NOT(OR(LEFT(H189,1)="G",LEFT(H189,1)="R"))),"",IFERROR(VLOOKUP(MID(H189,3,1),Map!$G$2:$H$10,2,FALSE),""))</f>
        <v/>
      </c>
      <c r="Q189" t="str">
        <f>IF(A189="","",IFERROR(VLOOKUP(MID(A189,4,1),Map!$O$2:$P$10,2,FALSE),""))</f>
        <v/>
      </c>
    </row>
    <row r="190" spans="2:17" x14ac:dyDescent="0.25">
      <c r="B190" t="str">
        <f t="shared" si="20"/>
        <v/>
      </c>
      <c r="C190" t="str">
        <f t="shared" si="21"/>
        <v>**</v>
      </c>
      <c r="D190" t="str">
        <f t="shared" si="22"/>
        <v/>
      </c>
      <c r="E190" t="str">
        <f>IFERROR(VLOOKUP(MID(A190,7,2),Map!$A$2:$B$20,2,FALSE),"")</f>
        <v/>
      </c>
      <c r="F190" t="str">
        <f>IF(A190="","",IFERROR(VLOOKUP(MID(A190,9,2),Map!$R$2:$S$14,2,FALSE),""))</f>
        <v/>
      </c>
      <c r="G190" t="str">
        <f t="shared" si="23"/>
        <v/>
      </c>
      <c r="H190" t="str">
        <f t="shared" si="24"/>
        <v/>
      </c>
      <c r="I190" t="str">
        <f>IF(A190="","",IFERROR(VLOOKUP(LEFT(A190,1),Map!$D$2:$E$20,2,FALSE),""))</f>
        <v/>
      </c>
      <c r="J190" t="str">
        <f>IF(OR(H190="",NOT(OR(LEFT(H190,1)="G",LEFT(H190,1)="R"))),"",IFERROR(VLOOKUP(MID(H190,2,1),Map!$J$2:$M$10,2,FALSE),""))</f>
        <v/>
      </c>
      <c r="K190" t="str">
        <f t="shared" si="25"/>
        <v/>
      </c>
      <c r="L190" t="str">
        <f t="shared" si="26"/>
        <v/>
      </c>
      <c r="M190" t="str">
        <f t="shared" si="27"/>
        <v/>
      </c>
      <c r="N190" t="str">
        <f t="shared" si="28"/>
        <v/>
      </c>
      <c r="O190" t="str">
        <f t="shared" si="29"/>
        <v/>
      </c>
      <c r="P190" t="str">
        <f>IF(OR(H190="",NOT(OR(LEFT(H190,1)="G",LEFT(H190,1)="R"))),"",IFERROR(VLOOKUP(MID(H190,3,1),Map!$G$2:$H$10,2,FALSE),""))</f>
        <v/>
      </c>
      <c r="Q190" t="str">
        <f>IF(A190="","",IFERROR(VLOOKUP(MID(A190,4,1),Map!$O$2:$P$10,2,FALSE),""))</f>
        <v/>
      </c>
    </row>
    <row r="191" spans="2:17" x14ac:dyDescent="0.25">
      <c r="B191" t="str">
        <f t="shared" si="20"/>
        <v/>
      </c>
      <c r="C191" t="str">
        <f t="shared" si="21"/>
        <v>**</v>
      </c>
      <c r="D191" t="str">
        <f t="shared" si="22"/>
        <v/>
      </c>
      <c r="E191" t="str">
        <f>IFERROR(VLOOKUP(MID(A191,7,2),Map!$A$2:$B$20,2,FALSE),"")</f>
        <v/>
      </c>
      <c r="F191" t="str">
        <f>IF(A191="","",IFERROR(VLOOKUP(MID(A191,9,2),Map!$R$2:$S$14,2,FALSE),""))</f>
        <v/>
      </c>
      <c r="G191" t="str">
        <f t="shared" si="23"/>
        <v/>
      </c>
      <c r="H191" t="str">
        <f t="shared" si="24"/>
        <v/>
      </c>
      <c r="I191" t="str">
        <f>IF(A191="","",IFERROR(VLOOKUP(LEFT(A191,1),Map!$D$2:$E$20,2,FALSE),""))</f>
        <v/>
      </c>
      <c r="J191" t="str">
        <f>IF(OR(H191="",NOT(OR(LEFT(H191,1)="G",LEFT(H191,1)="R"))),"",IFERROR(VLOOKUP(MID(H191,2,1),Map!$J$2:$M$10,2,FALSE),""))</f>
        <v/>
      </c>
      <c r="K191" t="str">
        <f t="shared" si="25"/>
        <v/>
      </c>
      <c r="L191" t="str">
        <f t="shared" si="26"/>
        <v/>
      </c>
      <c r="M191" t="str">
        <f t="shared" si="27"/>
        <v/>
      </c>
      <c r="N191" t="str">
        <f t="shared" si="28"/>
        <v/>
      </c>
      <c r="O191" t="str">
        <f t="shared" si="29"/>
        <v/>
      </c>
      <c r="P191" t="str">
        <f>IF(OR(H191="",NOT(OR(LEFT(H191,1)="G",LEFT(H191,1)="R"))),"",IFERROR(VLOOKUP(MID(H191,3,1),Map!$G$2:$H$10,2,FALSE),""))</f>
        <v/>
      </c>
      <c r="Q191" t="str">
        <f>IF(A191="","",IFERROR(VLOOKUP(MID(A191,4,1),Map!$O$2:$P$10,2,FALSE),""))</f>
        <v/>
      </c>
    </row>
    <row r="192" spans="2:17" x14ac:dyDescent="0.25">
      <c r="B192" t="str">
        <f t="shared" si="20"/>
        <v/>
      </c>
      <c r="C192" t="str">
        <f t="shared" si="21"/>
        <v>**</v>
      </c>
      <c r="D192" t="str">
        <f t="shared" si="22"/>
        <v/>
      </c>
      <c r="E192" t="str">
        <f>IFERROR(VLOOKUP(MID(A192,7,2),Map!$A$2:$B$20,2,FALSE),"")</f>
        <v/>
      </c>
      <c r="F192" t="str">
        <f>IF(A192="","",IFERROR(VLOOKUP(MID(A192,9,2),Map!$R$2:$S$14,2,FALSE),""))</f>
        <v/>
      </c>
      <c r="G192" t="str">
        <f t="shared" si="23"/>
        <v/>
      </c>
      <c r="H192" t="str">
        <f t="shared" si="24"/>
        <v/>
      </c>
      <c r="I192" t="str">
        <f>IF(A192="","",IFERROR(VLOOKUP(LEFT(A192,1),Map!$D$2:$E$20,2,FALSE),""))</f>
        <v/>
      </c>
      <c r="J192" t="str">
        <f>IF(OR(H192="",NOT(OR(LEFT(H192,1)="G",LEFT(H192,1)="R"))),"",IFERROR(VLOOKUP(MID(H192,2,1),Map!$J$2:$M$10,2,FALSE),""))</f>
        <v/>
      </c>
      <c r="K192" t="str">
        <f t="shared" si="25"/>
        <v/>
      </c>
      <c r="L192" t="str">
        <f t="shared" si="26"/>
        <v/>
      </c>
      <c r="M192" t="str">
        <f t="shared" si="27"/>
        <v/>
      </c>
      <c r="N192" t="str">
        <f t="shared" si="28"/>
        <v/>
      </c>
      <c r="O192" t="str">
        <f t="shared" si="29"/>
        <v/>
      </c>
      <c r="P192" t="str">
        <f>IF(OR(H192="",NOT(OR(LEFT(H192,1)="G",LEFT(H192,1)="R"))),"",IFERROR(VLOOKUP(MID(H192,3,1),Map!$G$2:$H$10,2,FALSE),""))</f>
        <v/>
      </c>
      <c r="Q192" t="str">
        <f>IF(A192="","",IFERROR(VLOOKUP(MID(A192,4,1),Map!$O$2:$P$10,2,FALSE),""))</f>
        <v/>
      </c>
    </row>
    <row r="193" spans="2:17" x14ac:dyDescent="0.25">
      <c r="B193" t="str">
        <f t="shared" si="20"/>
        <v/>
      </c>
      <c r="C193" t="str">
        <f t="shared" si="21"/>
        <v>**</v>
      </c>
      <c r="D193" t="str">
        <f t="shared" si="22"/>
        <v/>
      </c>
      <c r="E193" t="str">
        <f>IFERROR(VLOOKUP(MID(A193,7,2),Map!$A$2:$B$20,2,FALSE),"")</f>
        <v/>
      </c>
      <c r="F193" t="str">
        <f>IF(A193="","",IFERROR(VLOOKUP(MID(A193,9,2),Map!$R$2:$S$14,2,FALSE),""))</f>
        <v/>
      </c>
      <c r="G193" t="str">
        <f t="shared" si="23"/>
        <v/>
      </c>
      <c r="H193" t="str">
        <f t="shared" si="24"/>
        <v/>
      </c>
      <c r="I193" t="str">
        <f>IF(A193="","",IFERROR(VLOOKUP(LEFT(A193,1),Map!$D$2:$E$20,2,FALSE),""))</f>
        <v/>
      </c>
      <c r="J193" t="str">
        <f>IF(OR(H193="",NOT(OR(LEFT(H193,1)="G",LEFT(H193,1)="R"))),"",IFERROR(VLOOKUP(MID(H193,2,1),Map!$J$2:$M$10,2,FALSE),""))</f>
        <v/>
      </c>
      <c r="K193" t="str">
        <f t="shared" si="25"/>
        <v/>
      </c>
      <c r="L193" t="str">
        <f t="shared" si="26"/>
        <v/>
      </c>
      <c r="M193" t="str">
        <f t="shared" si="27"/>
        <v/>
      </c>
      <c r="N193" t="str">
        <f t="shared" si="28"/>
        <v/>
      </c>
      <c r="O193" t="str">
        <f t="shared" si="29"/>
        <v/>
      </c>
      <c r="P193" t="str">
        <f>IF(OR(H193="",NOT(OR(LEFT(H193,1)="G",LEFT(H193,1)="R"))),"",IFERROR(VLOOKUP(MID(H193,3,1),Map!$G$2:$H$10,2,FALSE),""))</f>
        <v/>
      </c>
      <c r="Q193" t="str">
        <f>IF(A193="","",IFERROR(VLOOKUP(MID(A193,4,1),Map!$O$2:$P$10,2,FALSE),""))</f>
        <v/>
      </c>
    </row>
    <row r="194" spans="2:17" x14ac:dyDescent="0.25">
      <c r="B194" t="str">
        <f t="shared" ref="B194:B257" si="30">LEFT(A194,4)</f>
        <v/>
      </c>
      <c r="C194" t="str">
        <f t="shared" ref="C194:C257" si="31">LEFT(A194,2)&amp;"**"</f>
        <v>**</v>
      </c>
      <c r="D194" t="str">
        <f t="shared" ref="D194:D257" si="32">MID(A194,5,2)</f>
        <v/>
      </c>
      <c r="E194" t="str">
        <f>IFERROR(VLOOKUP(MID(A194,7,2),Map!$A$2:$B$20,2,FALSE),"")</f>
        <v/>
      </c>
      <c r="F194" t="str">
        <f>IF(A194="","",IFERROR(VLOOKUP(MID(A194,9,2),Map!$R$2:$S$14,2,FALSE),""))</f>
        <v/>
      </c>
      <c r="G194" t="str">
        <f t="shared" ref="G194:G257" si="33">IFERROR(MID(A194,FIND("-",A194)+1,FIND("-",A194,FIND("-",A194)+1)-FIND("-",A194)-1),"")</f>
        <v/>
      </c>
      <c r="H194" t="str">
        <f t="shared" ref="H194:H257" si="34">IFERROR(RIGHT(A194,LEN(A194)-FIND("-",A194,FIND("-",A194)+1)),"")</f>
        <v/>
      </c>
      <c r="I194" t="str">
        <f>IF(A194="","",IFERROR(VLOOKUP(LEFT(A194,1),Map!$D$2:$E$20,2,FALSE),""))</f>
        <v/>
      </c>
      <c r="J194" t="str">
        <f>IF(OR(H194="",NOT(OR(LEFT(H194,1)="G",LEFT(H194,1)="R"))),"",IFERROR(VLOOKUP(MID(H194,2,1),Map!$J$2:$M$10,2,FALSE),""))</f>
        <v/>
      </c>
      <c r="K194" t="str">
        <f t="shared" ref="K194:K257" si="35">IF(OR(H194="",NOT(OR(LEFT(H194,1)="G",LEFT(H194,1)="R")),MID(H194,2,1)&lt;&gt;"A"),"","M")</f>
        <v/>
      </c>
      <c r="L194" t="str">
        <f t="shared" ref="L194:L257" si="36">IF(OR(H194="",NOT(OR(LEFT(H194,1)="G",LEFT(H194,1)="R")),MID(H194,2,1)&lt;&gt;"A"),"","K")</f>
        <v/>
      </c>
      <c r="M194" t="str">
        <f t="shared" ref="M194:M257" si="37">IF(OR(H194="",NOT(OR(LEFT(H194,1)="G",LEFT(H194,1)="R"))),"","")</f>
        <v/>
      </c>
      <c r="N194" t="str">
        <f t="shared" ref="N194:N257" si="38">IF(OR(H194="",NOT(OR(LEFT(H194,1)="G",LEFT(H194,1)="R"))),"","")</f>
        <v/>
      </c>
      <c r="O194" t="str">
        <f t="shared" ref="O194:O257" si="39">IF(OR(H194="",NOT(OR(LEFT(H194,1)="G",LEFT(H194,1)="R"))),"","")</f>
        <v/>
      </c>
      <c r="P194" t="str">
        <f>IF(OR(H194="",NOT(OR(LEFT(H194,1)="G",LEFT(H194,1)="R"))),"",IFERROR(VLOOKUP(MID(H194,3,1),Map!$G$2:$H$10,2,FALSE),""))</f>
        <v/>
      </c>
      <c r="Q194" t="str">
        <f>IF(A194="","",IFERROR(VLOOKUP(MID(A194,4,1),Map!$O$2:$P$10,2,FALSE),""))</f>
        <v/>
      </c>
    </row>
    <row r="195" spans="2:17" x14ac:dyDescent="0.25">
      <c r="B195" t="str">
        <f t="shared" si="30"/>
        <v/>
      </c>
      <c r="C195" t="str">
        <f t="shared" si="31"/>
        <v>**</v>
      </c>
      <c r="D195" t="str">
        <f t="shared" si="32"/>
        <v/>
      </c>
      <c r="E195" t="str">
        <f>IFERROR(VLOOKUP(MID(A195,7,2),Map!$A$2:$B$20,2,FALSE),"")</f>
        <v/>
      </c>
      <c r="F195" t="str">
        <f>IF(A195="","",IFERROR(VLOOKUP(MID(A195,9,2),Map!$R$2:$S$14,2,FALSE),""))</f>
        <v/>
      </c>
      <c r="G195" t="str">
        <f t="shared" si="33"/>
        <v/>
      </c>
      <c r="H195" t="str">
        <f t="shared" si="34"/>
        <v/>
      </c>
      <c r="I195" t="str">
        <f>IF(A195="","",IFERROR(VLOOKUP(LEFT(A195,1),Map!$D$2:$E$20,2,FALSE),""))</f>
        <v/>
      </c>
      <c r="J195" t="str">
        <f>IF(OR(H195="",NOT(OR(LEFT(H195,1)="G",LEFT(H195,1)="R"))),"",IFERROR(VLOOKUP(MID(H195,2,1),Map!$J$2:$M$10,2,FALSE),""))</f>
        <v/>
      </c>
      <c r="K195" t="str">
        <f t="shared" si="35"/>
        <v/>
      </c>
      <c r="L195" t="str">
        <f t="shared" si="36"/>
        <v/>
      </c>
      <c r="M195" t="str">
        <f t="shared" si="37"/>
        <v/>
      </c>
      <c r="N195" t="str">
        <f t="shared" si="38"/>
        <v/>
      </c>
      <c r="O195" t="str">
        <f t="shared" si="39"/>
        <v/>
      </c>
      <c r="P195" t="str">
        <f>IF(OR(H195="",NOT(OR(LEFT(H195,1)="G",LEFT(H195,1)="R"))),"",IFERROR(VLOOKUP(MID(H195,3,1),Map!$G$2:$H$10,2,FALSE),""))</f>
        <v/>
      </c>
      <c r="Q195" t="str">
        <f>IF(A195="","",IFERROR(VLOOKUP(MID(A195,4,1),Map!$O$2:$P$10,2,FALSE),""))</f>
        <v/>
      </c>
    </row>
    <row r="196" spans="2:17" x14ac:dyDescent="0.25">
      <c r="B196" t="str">
        <f t="shared" si="30"/>
        <v/>
      </c>
      <c r="C196" t="str">
        <f t="shared" si="31"/>
        <v>**</v>
      </c>
      <c r="D196" t="str">
        <f t="shared" si="32"/>
        <v/>
      </c>
      <c r="E196" t="str">
        <f>IFERROR(VLOOKUP(MID(A196,7,2),Map!$A$2:$B$20,2,FALSE),"")</f>
        <v/>
      </c>
      <c r="F196" t="str">
        <f>IF(A196="","",IFERROR(VLOOKUP(MID(A196,9,2),Map!$R$2:$S$14,2,FALSE),""))</f>
        <v/>
      </c>
      <c r="G196" t="str">
        <f t="shared" si="33"/>
        <v/>
      </c>
      <c r="H196" t="str">
        <f t="shared" si="34"/>
        <v/>
      </c>
      <c r="I196" t="str">
        <f>IF(A196="","",IFERROR(VLOOKUP(LEFT(A196,1),Map!$D$2:$E$20,2,FALSE),""))</f>
        <v/>
      </c>
      <c r="J196" t="str">
        <f>IF(OR(H196="",NOT(OR(LEFT(H196,1)="G",LEFT(H196,1)="R"))),"",IFERROR(VLOOKUP(MID(H196,2,1),Map!$J$2:$M$10,2,FALSE),""))</f>
        <v/>
      </c>
      <c r="K196" t="str">
        <f t="shared" si="35"/>
        <v/>
      </c>
      <c r="L196" t="str">
        <f t="shared" si="36"/>
        <v/>
      </c>
      <c r="M196" t="str">
        <f t="shared" si="37"/>
        <v/>
      </c>
      <c r="N196" t="str">
        <f t="shared" si="38"/>
        <v/>
      </c>
      <c r="O196" t="str">
        <f t="shared" si="39"/>
        <v/>
      </c>
      <c r="P196" t="str">
        <f>IF(OR(H196="",NOT(OR(LEFT(H196,1)="G",LEFT(H196,1)="R"))),"",IFERROR(VLOOKUP(MID(H196,3,1),Map!$G$2:$H$10,2,FALSE),""))</f>
        <v/>
      </c>
      <c r="Q196" t="str">
        <f>IF(A196="","",IFERROR(VLOOKUP(MID(A196,4,1),Map!$O$2:$P$10,2,FALSE),""))</f>
        <v/>
      </c>
    </row>
    <row r="197" spans="2:17" x14ac:dyDescent="0.25">
      <c r="B197" t="str">
        <f t="shared" si="30"/>
        <v/>
      </c>
      <c r="C197" t="str">
        <f t="shared" si="31"/>
        <v>**</v>
      </c>
      <c r="D197" t="str">
        <f t="shared" si="32"/>
        <v/>
      </c>
      <c r="E197" t="str">
        <f>IFERROR(VLOOKUP(MID(A197,7,2),Map!$A$2:$B$20,2,FALSE),"")</f>
        <v/>
      </c>
      <c r="F197" t="str">
        <f>IF(A197="","",IFERROR(VLOOKUP(MID(A197,9,2),Map!$R$2:$S$14,2,FALSE),""))</f>
        <v/>
      </c>
      <c r="G197" t="str">
        <f t="shared" si="33"/>
        <v/>
      </c>
      <c r="H197" t="str">
        <f t="shared" si="34"/>
        <v/>
      </c>
      <c r="I197" t="str">
        <f>IF(A197="","",IFERROR(VLOOKUP(LEFT(A197,1),Map!$D$2:$E$20,2,FALSE),""))</f>
        <v/>
      </c>
      <c r="J197" t="str">
        <f>IF(OR(H197="",NOT(OR(LEFT(H197,1)="G",LEFT(H197,1)="R"))),"",IFERROR(VLOOKUP(MID(H197,2,1),Map!$J$2:$M$10,2,FALSE),""))</f>
        <v/>
      </c>
      <c r="K197" t="str">
        <f t="shared" si="35"/>
        <v/>
      </c>
      <c r="L197" t="str">
        <f t="shared" si="36"/>
        <v/>
      </c>
      <c r="M197" t="str">
        <f t="shared" si="37"/>
        <v/>
      </c>
      <c r="N197" t="str">
        <f t="shared" si="38"/>
        <v/>
      </c>
      <c r="O197" t="str">
        <f t="shared" si="39"/>
        <v/>
      </c>
      <c r="P197" t="str">
        <f>IF(OR(H197="",NOT(OR(LEFT(H197,1)="G",LEFT(H197,1)="R"))),"",IFERROR(VLOOKUP(MID(H197,3,1),Map!$G$2:$H$10,2,FALSE),""))</f>
        <v/>
      </c>
      <c r="Q197" t="str">
        <f>IF(A197="","",IFERROR(VLOOKUP(MID(A197,4,1),Map!$O$2:$P$10,2,FALSE),""))</f>
        <v/>
      </c>
    </row>
    <row r="198" spans="2:17" x14ac:dyDescent="0.25">
      <c r="B198" t="str">
        <f t="shared" si="30"/>
        <v/>
      </c>
      <c r="C198" t="str">
        <f t="shared" si="31"/>
        <v>**</v>
      </c>
      <c r="D198" t="str">
        <f t="shared" si="32"/>
        <v/>
      </c>
      <c r="E198" t="str">
        <f>IFERROR(VLOOKUP(MID(A198,7,2),Map!$A$2:$B$20,2,FALSE),"")</f>
        <v/>
      </c>
      <c r="F198" t="str">
        <f>IF(A198="","",IFERROR(VLOOKUP(MID(A198,9,2),Map!$R$2:$S$14,2,FALSE),""))</f>
        <v/>
      </c>
      <c r="G198" t="str">
        <f t="shared" si="33"/>
        <v/>
      </c>
      <c r="H198" t="str">
        <f t="shared" si="34"/>
        <v/>
      </c>
      <c r="I198" t="str">
        <f>IF(A198="","",IFERROR(VLOOKUP(LEFT(A198,1),Map!$D$2:$E$20,2,FALSE),""))</f>
        <v/>
      </c>
      <c r="J198" t="str">
        <f>IF(OR(H198="",NOT(OR(LEFT(H198,1)="G",LEFT(H198,1)="R"))),"",IFERROR(VLOOKUP(MID(H198,2,1),Map!$J$2:$M$10,2,FALSE),""))</f>
        <v/>
      </c>
      <c r="K198" t="str">
        <f t="shared" si="35"/>
        <v/>
      </c>
      <c r="L198" t="str">
        <f t="shared" si="36"/>
        <v/>
      </c>
      <c r="M198" t="str">
        <f t="shared" si="37"/>
        <v/>
      </c>
      <c r="N198" t="str">
        <f t="shared" si="38"/>
        <v/>
      </c>
      <c r="O198" t="str">
        <f t="shared" si="39"/>
        <v/>
      </c>
      <c r="P198" t="str">
        <f>IF(OR(H198="",NOT(OR(LEFT(H198,1)="G",LEFT(H198,1)="R"))),"",IFERROR(VLOOKUP(MID(H198,3,1),Map!$G$2:$H$10,2,FALSE),""))</f>
        <v/>
      </c>
      <c r="Q198" t="str">
        <f>IF(A198="","",IFERROR(VLOOKUP(MID(A198,4,1),Map!$O$2:$P$10,2,FALSE),""))</f>
        <v/>
      </c>
    </row>
    <row r="199" spans="2:17" x14ac:dyDescent="0.25">
      <c r="B199" t="str">
        <f t="shared" si="30"/>
        <v/>
      </c>
      <c r="C199" t="str">
        <f t="shared" si="31"/>
        <v>**</v>
      </c>
      <c r="D199" t="str">
        <f t="shared" si="32"/>
        <v/>
      </c>
      <c r="E199" t="str">
        <f>IFERROR(VLOOKUP(MID(A199,7,2),Map!$A$2:$B$20,2,FALSE),"")</f>
        <v/>
      </c>
      <c r="F199" t="str">
        <f>IF(A199="","",IFERROR(VLOOKUP(MID(A199,9,2),Map!$R$2:$S$14,2,FALSE),""))</f>
        <v/>
      </c>
      <c r="G199" t="str">
        <f t="shared" si="33"/>
        <v/>
      </c>
      <c r="H199" t="str">
        <f t="shared" si="34"/>
        <v/>
      </c>
      <c r="I199" t="str">
        <f>IF(A199="","",IFERROR(VLOOKUP(LEFT(A199,1),Map!$D$2:$E$20,2,FALSE),""))</f>
        <v/>
      </c>
      <c r="J199" t="str">
        <f>IF(OR(H199="",NOT(OR(LEFT(H199,1)="G",LEFT(H199,1)="R"))),"",IFERROR(VLOOKUP(MID(H199,2,1),Map!$J$2:$M$10,2,FALSE),""))</f>
        <v/>
      </c>
      <c r="K199" t="str">
        <f t="shared" si="35"/>
        <v/>
      </c>
      <c r="L199" t="str">
        <f t="shared" si="36"/>
        <v/>
      </c>
      <c r="M199" t="str">
        <f t="shared" si="37"/>
        <v/>
      </c>
      <c r="N199" t="str">
        <f t="shared" si="38"/>
        <v/>
      </c>
      <c r="O199" t="str">
        <f t="shared" si="39"/>
        <v/>
      </c>
      <c r="P199" t="str">
        <f>IF(OR(H199="",NOT(OR(LEFT(H199,1)="G",LEFT(H199,1)="R"))),"",IFERROR(VLOOKUP(MID(H199,3,1),Map!$G$2:$H$10,2,FALSE),""))</f>
        <v/>
      </c>
      <c r="Q199" t="str">
        <f>IF(A199="","",IFERROR(VLOOKUP(MID(A199,4,1),Map!$O$2:$P$10,2,FALSE),""))</f>
        <v/>
      </c>
    </row>
    <row r="200" spans="2:17" x14ac:dyDescent="0.25">
      <c r="B200" t="str">
        <f t="shared" si="30"/>
        <v/>
      </c>
      <c r="C200" t="str">
        <f t="shared" si="31"/>
        <v>**</v>
      </c>
      <c r="D200" t="str">
        <f t="shared" si="32"/>
        <v/>
      </c>
      <c r="E200" t="str">
        <f>IFERROR(VLOOKUP(MID(A200,7,2),Map!$A$2:$B$20,2,FALSE),"")</f>
        <v/>
      </c>
      <c r="F200" t="str">
        <f>IF(A200="","",IFERROR(VLOOKUP(MID(A200,9,2),Map!$R$2:$S$14,2,FALSE),""))</f>
        <v/>
      </c>
      <c r="G200" t="str">
        <f t="shared" si="33"/>
        <v/>
      </c>
      <c r="H200" t="str">
        <f t="shared" si="34"/>
        <v/>
      </c>
      <c r="I200" t="str">
        <f>IF(A200="","",IFERROR(VLOOKUP(LEFT(A200,1),Map!$D$2:$E$20,2,FALSE),""))</f>
        <v/>
      </c>
      <c r="J200" t="str">
        <f>IF(OR(H200="",NOT(OR(LEFT(H200,1)="G",LEFT(H200,1)="R"))),"",IFERROR(VLOOKUP(MID(H200,2,1),Map!$J$2:$M$10,2,FALSE),""))</f>
        <v/>
      </c>
      <c r="K200" t="str">
        <f t="shared" si="35"/>
        <v/>
      </c>
      <c r="L200" t="str">
        <f t="shared" si="36"/>
        <v/>
      </c>
      <c r="M200" t="str">
        <f t="shared" si="37"/>
        <v/>
      </c>
      <c r="N200" t="str">
        <f t="shared" si="38"/>
        <v/>
      </c>
      <c r="O200" t="str">
        <f t="shared" si="39"/>
        <v/>
      </c>
      <c r="P200" t="str">
        <f>IF(OR(H200="",NOT(OR(LEFT(H200,1)="G",LEFT(H200,1)="R"))),"",IFERROR(VLOOKUP(MID(H200,3,1),Map!$G$2:$H$10,2,FALSE),""))</f>
        <v/>
      </c>
      <c r="Q200" t="str">
        <f>IF(A200="","",IFERROR(VLOOKUP(MID(A200,4,1),Map!$O$2:$P$10,2,FALSE),""))</f>
        <v/>
      </c>
    </row>
    <row r="201" spans="2:17" x14ac:dyDescent="0.25">
      <c r="B201" t="str">
        <f t="shared" si="30"/>
        <v/>
      </c>
      <c r="C201" t="str">
        <f t="shared" si="31"/>
        <v>**</v>
      </c>
      <c r="D201" t="str">
        <f t="shared" si="32"/>
        <v/>
      </c>
      <c r="E201" t="str">
        <f>IFERROR(VLOOKUP(MID(A201,7,2),Map!$A$2:$B$20,2,FALSE),"")</f>
        <v/>
      </c>
      <c r="F201" t="str">
        <f>IF(A201="","",IFERROR(VLOOKUP(MID(A201,9,2),Map!$R$2:$S$14,2,FALSE),""))</f>
        <v/>
      </c>
      <c r="G201" t="str">
        <f t="shared" si="33"/>
        <v/>
      </c>
      <c r="H201" t="str">
        <f t="shared" si="34"/>
        <v/>
      </c>
      <c r="I201" t="str">
        <f>IF(A201="","",IFERROR(VLOOKUP(LEFT(A201,1),Map!$D$2:$E$20,2,FALSE),""))</f>
        <v/>
      </c>
      <c r="J201" t="str">
        <f>IF(OR(H201="",NOT(OR(LEFT(H201,1)="G",LEFT(H201,1)="R"))),"",IFERROR(VLOOKUP(MID(H201,2,1),Map!$J$2:$M$10,2,FALSE),""))</f>
        <v/>
      </c>
      <c r="K201" t="str">
        <f t="shared" si="35"/>
        <v/>
      </c>
      <c r="L201" t="str">
        <f t="shared" si="36"/>
        <v/>
      </c>
      <c r="M201" t="str">
        <f t="shared" si="37"/>
        <v/>
      </c>
      <c r="N201" t="str">
        <f t="shared" si="38"/>
        <v/>
      </c>
      <c r="O201" t="str">
        <f t="shared" si="39"/>
        <v/>
      </c>
      <c r="P201" t="str">
        <f>IF(OR(H201="",NOT(OR(LEFT(H201,1)="G",LEFT(H201,1)="R"))),"",IFERROR(VLOOKUP(MID(H201,3,1),Map!$G$2:$H$10,2,FALSE),""))</f>
        <v/>
      </c>
      <c r="Q201" t="str">
        <f>IF(A201="","",IFERROR(VLOOKUP(MID(A201,4,1),Map!$O$2:$P$10,2,FALSE),""))</f>
        <v/>
      </c>
    </row>
    <row r="202" spans="2:17" x14ac:dyDescent="0.25">
      <c r="B202" t="str">
        <f t="shared" si="30"/>
        <v/>
      </c>
      <c r="C202" t="str">
        <f t="shared" si="31"/>
        <v>**</v>
      </c>
      <c r="D202" t="str">
        <f t="shared" si="32"/>
        <v/>
      </c>
      <c r="E202" t="str">
        <f>IFERROR(VLOOKUP(MID(A202,7,2),Map!$A$2:$B$20,2,FALSE),"")</f>
        <v/>
      </c>
      <c r="F202" t="str">
        <f>IF(A202="","",IFERROR(VLOOKUP(MID(A202,9,2),Map!$R$2:$S$14,2,FALSE),""))</f>
        <v/>
      </c>
      <c r="G202" t="str">
        <f t="shared" si="33"/>
        <v/>
      </c>
      <c r="H202" t="str">
        <f t="shared" si="34"/>
        <v/>
      </c>
      <c r="I202" t="str">
        <f>IF(A202="","",IFERROR(VLOOKUP(LEFT(A202,1),Map!$D$2:$E$20,2,FALSE),""))</f>
        <v/>
      </c>
      <c r="J202" t="str">
        <f>IF(OR(H202="",NOT(OR(LEFT(H202,1)="G",LEFT(H202,1)="R"))),"",IFERROR(VLOOKUP(MID(H202,2,1),Map!$J$2:$M$10,2,FALSE),""))</f>
        <v/>
      </c>
      <c r="K202" t="str">
        <f t="shared" si="35"/>
        <v/>
      </c>
      <c r="L202" t="str">
        <f t="shared" si="36"/>
        <v/>
      </c>
      <c r="M202" t="str">
        <f t="shared" si="37"/>
        <v/>
      </c>
      <c r="N202" t="str">
        <f t="shared" si="38"/>
        <v/>
      </c>
      <c r="O202" t="str">
        <f t="shared" si="39"/>
        <v/>
      </c>
      <c r="P202" t="str">
        <f>IF(OR(H202="",NOT(OR(LEFT(H202,1)="G",LEFT(H202,1)="R"))),"",IFERROR(VLOOKUP(MID(H202,3,1),Map!$G$2:$H$10,2,FALSE),""))</f>
        <v/>
      </c>
      <c r="Q202" t="str">
        <f>IF(A202="","",IFERROR(VLOOKUP(MID(A202,4,1),Map!$O$2:$P$10,2,FALSE),""))</f>
        <v/>
      </c>
    </row>
    <row r="203" spans="2:17" x14ac:dyDescent="0.25">
      <c r="B203" t="str">
        <f t="shared" si="30"/>
        <v/>
      </c>
      <c r="C203" t="str">
        <f t="shared" si="31"/>
        <v>**</v>
      </c>
      <c r="D203" t="str">
        <f t="shared" si="32"/>
        <v/>
      </c>
      <c r="E203" t="str">
        <f>IFERROR(VLOOKUP(MID(A203,7,2),Map!$A$2:$B$20,2,FALSE),"")</f>
        <v/>
      </c>
      <c r="F203" t="str">
        <f>IF(A203="","",IFERROR(VLOOKUP(MID(A203,9,2),Map!$R$2:$S$14,2,FALSE),""))</f>
        <v/>
      </c>
      <c r="G203" t="str">
        <f t="shared" si="33"/>
        <v/>
      </c>
      <c r="H203" t="str">
        <f t="shared" si="34"/>
        <v/>
      </c>
      <c r="I203" t="str">
        <f>IF(A203="","",IFERROR(VLOOKUP(LEFT(A203,1),Map!$D$2:$E$20,2,FALSE),""))</f>
        <v/>
      </c>
      <c r="J203" t="str">
        <f>IF(OR(H203="",NOT(OR(LEFT(H203,1)="G",LEFT(H203,1)="R"))),"",IFERROR(VLOOKUP(MID(H203,2,1),Map!$J$2:$M$10,2,FALSE),""))</f>
        <v/>
      </c>
      <c r="K203" t="str">
        <f t="shared" si="35"/>
        <v/>
      </c>
      <c r="L203" t="str">
        <f t="shared" si="36"/>
        <v/>
      </c>
      <c r="M203" t="str">
        <f t="shared" si="37"/>
        <v/>
      </c>
      <c r="N203" t="str">
        <f t="shared" si="38"/>
        <v/>
      </c>
      <c r="O203" t="str">
        <f t="shared" si="39"/>
        <v/>
      </c>
      <c r="P203" t="str">
        <f>IF(OR(H203="",NOT(OR(LEFT(H203,1)="G",LEFT(H203,1)="R"))),"",IFERROR(VLOOKUP(MID(H203,3,1),Map!$G$2:$H$10,2,FALSE),""))</f>
        <v/>
      </c>
      <c r="Q203" t="str">
        <f>IF(A203="","",IFERROR(VLOOKUP(MID(A203,4,1),Map!$O$2:$P$10,2,FALSE),""))</f>
        <v/>
      </c>
    </row>
    <row r="204" spans="2:17" x14ac:dyDescent="0.25">
      <c r="B204" t="str">
        <f t="shared" si="30"/>
        <v/>
      </c>
      <c r="C204" t="str">
        <f t="shared" si="31"/>
        <v>**</v>
      </c>
      <c r="D204" t="str">
        <f t="shared" si="32"/>
        <v/>
      </c>
      <c r="E204" t="str">
        <f>IFERROR(VLOOKUP(MID(A204,7,2),Map!$A$2:$B$20,2,FALSE),"")</f>
        <v/>
      </c>
      <c r="F204" t="str">
        <f>IF(A204="","",IFERROR(VLOOKUP(MID(A204,9,2),Map!$R$2:$S$14,2,FALSE),""))</f>
        <v/>
      </c>
      <c r="G204" t="str">
        <f t="shared" si="33"/>
        <v/>
      </c>
      <c r="H204" t="str">
        <f t="shared" si="34"/>
        <v/>
      </c>
      <c r="I204" t="str">
        <f>IF(A204="","",IFERROR(VLOOKUP(LEFT(A204,1),Map!$D$2:$E$20,2,FALSE),""))</f>
        <v/>
      </c>
      <c r="J204" t="str">
        <f>IF(OR(H204="",NOT(OR(LEFT(H204,1)="G",LEFT(H204,1)="R"))),"",IFERROR(VLOOKUP(MID(H204,2,1),Map!$J$2:$M$10,2,FALSE),""))</f>
        <v/>
      </c>
      <c r="K204" t="str">
        <f t="shared" si="35"/>
        <v/>
      </c>
      <c r="L204" t="str">
        <f t="shared" si="36"/>
        <v/>
      </c>
      <c r="M204" t="str">
        <f t="shared" si="37"/>
        <v/>
      </c>
      <c r="N204" t="str">
        <f t="shared" si="38"/>
        <v/>
      </c>
      <c r="O204" t="str">
        <f t="shared" si="39"/>
        <v/>
      </c>
      <c r="P204" t="str">
        <f>IF(OR(H204="",NOT(OR(LEFT(H204,1)="G",LEFT(H204,1)="R"))),"",IFERROR(VLOOKUP(MID(H204,3,1),Map!$G$2:$H$10,2,FALSE),""))</f>
        <v/>
      </c>
      <c r="Q204" t="str">
        <f>IF(A204="","",IFERROR(VLOOKUP(MID(A204,4,1),Map!$O$2:$P$10,2,FALSE),""))</f>
        <v/>
      </c>
    </row>
    <row r="205" spans="2:17" x14ac:dyDescent="0.25">
      <c r="B205" t="str">
        <f t="shared" si="30"/>
        <v/>
      </c>
      <c r="C205" t="str">
        <f t="shared" si="31"/>
        <v>**</v>
      </c>
      <c r="D205" t="str">
        <f t="shared" si="32"/>
        <v/>
      </c>
      <c r="E205" t="str">
        <f>IFERROR(VLOOKUP(MID(A205,7,2),Map!$A$2:$B$20,2,FALSE),"")</f>
        <v/>
      </c>
      <c r="F205" t="str">
        <f>IF(A205="","",IFERROR(VLOOKUP(MID(A205,9,2),Map!$R$2:$S$14,2,FALSE),""))</f>
        <v/>
      </c>
      <c r="G205" t="str">
        <f t="shared" si="33"/>
        <v/>
      </c>
      <c r="H205" t="str">
        <f t="shared" si="34"/>
        <v/>
      </c>
      <c r="I205" t="str">
        <f>IF(A205="","",IFERROR(VLOOKUP(LEFT(A205,1),Map!$D$2:$E$20,2,FALSE),""))</f>
        <v/>
      </c>
      <c r="J205" t="str">
        <f>IF(OR(H205="",NOT(OR(LEFT(H205,1)="G",LEFT(H205,1)="R"))),"",IFERROR(VLOOKUP(MID(H205,2,1),Map!$J$2:$M$10,2,FALSE),""))</f>
        <v/>
      </c>
      <c r="K205" t="str">
        <f t="shared" si="35"/>
        <v/>
      </c>
      <c r="L205" t="str">
        <f t="shared" si="36"/>
        <v/>
      </c>
      <c r="M205" t="str">
        <f t="shared" si="37"/>
        <v/>
      </c>
      <c r="N205" t="str">
        <f t="shared" si="38"/>
        <v/>
      </c>
      <c r="O205" t="str">
        <f t="shared" si="39"/>
        <v/>
      </c>
      <c r="P205" t="str">
        <f>IF(OR(H205="",NOT(OR(LEFT(H205,1)="G",LEFT(H205,1)="R"))),"",IFERROR(VLOOKUP(MID(H205,3,1),Map!$G$2:$H$10,2,FALSE),""))</f>
        <v/>
      </c>
      <c r="Q205" t="str">
        <f>IF(A205="","",IFERROR(VLOOKUP(MID(A205,4,1),Map!$O$2:$P$10,2,FALSE),""))</f>
        <v/>
      </c>
    </row>
    <row r="206" spans="2:17" x14ac:dyDescent="0.25">
      <c r="B206" t="str">
        <f t="shared" si="30"/>
        <v/>
      </c>
      <c r="C206" t="str">
        <f t="shared" si="31"/>
        <v>**</v>
      </c>
      <c r="D206" t="str">
        <f t="shared" si="32"/>
        <v/>
      </c>
      <c r="E206" t="str">
        <f>IFERROR(VLOOKUP(MID(A206,7,2),Map!$A$2:$B$20,2,FALSE),"")</f>
        <v/>
      </c>
      <c r="F206" t="str">
        <f>IF(A206="","",IFERROR(VLOOKUP(MID(A206,9,2),Map!$R$2:$S$14,2,FALSE),""))</f>
        <v/>
      </c>
      <c r="G206" t="str">
        <f t="shared" si="33"/>
        <v/>
      </c>
      <c r="H206" t="str">
        <f t="shared" si="34"/>
        <v/>
      </c>
      <c r="I206" t="str">
        <f>IF(A206="","",IFERROR(VLOOKUP(LEFT(A206,1),Map!$D$2:$E$20,2,FALSE),""))</f>
        <v/>
      </c>
      <c r="J206" t="str">
        <f>IF(OR(H206="",NOT(OR(LEFT(H206,1)="G",LEFT(H206,1)="R"))),"",IFERROR(VLOOKUP(MID(H206,2,1),Map!$J$2:$M$10,2,FALSE),""))</f>
        <v/>
      </c>
      <c r="K206" t="str">
        <f t="shared" si="35"/>
        <v/>
      </c>
      <c r="L206" t="str">
        <f t="shared" si="36"/>
        <v/>
      </c>
      <c r="M206" t="str">
        <f t="shared" si="37"/>
        <v/>
      </c>
      <c r="N206" t="str">
        <f t="shared" si="38"/>
        <v/>
      </c>
      <c r="O206" t="str">
        <f t="shared" si="39"/>
        <v/>
      </c>
      <c r="P206" t="str">
        <f>IF(OR(H206="",NOT(OR(LEFT(H206,1)="G",LEFT(H206,1)="R"))),"",IFERROR(VLOOKUP(MID(H206,3,1),Map!$G$2:$H$10,2,FALSE),""))</f>
        <v/>
      </c>
      <c r="Q206" t="str">
        <f>IF(A206="","",IFERROR(VLOOKUP(MID(A206,4,1),Map!$O$2:$P$10,2,FALSE),""))</f>
        <v/>
      </c>
    </row>
    <row r="207" spans="2:17" x14ac:dyDescent="0.25">
      <c r="B207" t="str">
        <f t="shared" si="30"/>
        <v/>
      </c>
      <c r="C207" t="str">
        <f t="shared" si="31"/>
        <v>**</v>
      </c>
      <c r="D207" t="str">
        <f t="shared" si="32"/>
        <v/>
      </c>
      <c r="E207" t="str">
        <f>IFERROR(VLOOKUP(MID(A207,7,2),Map!$A$2:$B$20,2,FALSE),"")</f>
        <v/>
      </c>
      <c r="F207" t="str">
        <f>IF(A207="","",IFERROR(VLOOKUP(MID(A207,9,2),Map!$R$2:$S$14,2,FALSE),""))</f>
        <v/>
      </c>
      <c r="G207" t="str">
        <f t="shared" si="33"/>
        <v/>
      </c>
      <c r="H207" t="str">
        <f t="shared" si="34"/>
        <v/>
      </c>
      <c r="I207" t="str">
        <f>IF(A207="","",IFERROR(VLOOKUP(LEFT(A207,1),Map!$D$2:$E$20,2,FALSE),""))</f>
        <v/>
      </c>
      <c r="J207" t="str">
        <f>IF(OR(H207="",NOT(OR(LEFT(H207,1)="G",LEFT(H207,1)="R"))),"",IFERROR(VLOOKUP(MID(H207,2,1),Map!$J$2:$M$10,2,FALSE),""))</f>
        <v/>
      </c>
      <c r="K207" t="str">
        <f t="shared" si="35"/>
        <v/>
      </c>
      <c r="L207" t="str">
        <f t="shared" si="36"/>
        <v/>
      </c>
      <c r="M207" t="str">
        <f t="shared" si="37"/>
        <v/>
      </c>
      <c r="N207" t="str">
        <f t="shared" si="38"/>
        <v/>
      </c>
      <c r="O207" t="str">
        <f t="shared" si="39"/>
        <v/>
      </c>
      <c r="P207" t="str">
        <f>IF(OR(H207="",NOT(OR(LEFT(H207,1)="G",LEFT(H207,1)="R"))),"",IFERROR(VLOOKUP(MID(H207,3,1),Map!$G$2:$H$10,2,FALSE),""))</f>
        <v/>
      </c>
      <c r="Q207" t="str">
        <f>IF(A207="","",IFERROR(VLOOKUP(MID(A207,4,1),Map!$O$2:$P$10,2,FALSE),""))</f>
        <v/>
      </c>
    </row>
    <row r="208" spans="2:17" x14ac:dyDescent="0.25">
      <c r="B208" t="str">
        <f t="shared" si="30"/>
        <v/>
      </c>
      <c r="C208" t="str">
        <f t="shared" si="31"/>
        <v>**</v>
      </c>
      <c r="D208" t="str">
        <f t="shared" si="32"/>
        <v/>
      </c>
      <c r="E208" t="str">
        <f>IFERROR(VLOOKUP(MID(A208,7,2),Map!$A$2:$B$20,2,FALSE),"")</f>
        <v/>
      </c>
      <c r="F208" t="str">
        <f>IF(A208="","",IFERROR(VLOOKUP(MID(A208,9,2),Map!$R$2:$S$14,2,FALSE),""))</f>
        <v/>
      </c>
      <c r="G208" t="str">
        <f t="shared" si="33"/>
        <v/>
      </c>
      <c r="H208" t="str">
        <f t="shared" si="34"/>
        <v/>
      </c>
      <c r="I208" t="str">
        <f>IF(A208="","",IFERROR(VLOOKUP(LEFT(A208,1),Map!$D$2:$E$20,2,FALSE),""))</f>
        <v/>
      </c>
      <c r="J208" t="str">
        <f>IF(OR(H208="",NOT(OR(LEFT(H208,1)="G",LEFT(H208,1)="R"))),"",IFERROR(VLOOKUP(MID(H208,2,1),Map!$J$2:$M$10,2,FALSE),""))</f>
        <v/>
      </c>
      <c r="K208" t="str">
        <f t="shared" si="35"/>
        <v/>
      </c>
      <c r="L208" t="str">
        <f t="shared" si="36"/>
        <v/>
      </c>
      <c r="M208" t="str">
        <f t="shared" si="37"/>
        <v/>
      </c>
      <c r="N208" t="str">
        <f t="shared" si="38"/>
        <v/>
      </c>
      <c r="O208" t="str">
        <f t="shared" si="39"/>
        <v/>
      </c>
      <c r="P208" t="str">
        <f>IF(OR(H208="",NOT(OR(LEFT(H208,1)="G",LEFT(H208,1)="R"))),"",IFERROR(VLOOKUP(MID(H208,3,1),Map!$G$2:$H$10,2,FALSE),""))</f>
        <v/>
      </c>
      <c r="Q208" t="str">
        <f>IF(A208="","",IFERROR(VLOOKUP(MID(A208,4,1),Map!$O$2:$P$10,2,FALSE),""))</f>
        <v/>
      </c>
    </row>
    <row r="209" spans="2:17" x14ac:dyDescent="0.25">
      <c r="B209" t="str">
        <f t="shared" si="30"/>
        <v/>
      </c>
      <c r="C209" t="str">
        <f t="shared" si="31"/>
        <v>**</v>
      </c>
      <c r="D209" t="str">
        <f t="shared" si="32"/>
        <v/>
      </c>
      <c r="E209" t="str">
        <f>IFERROR(VLOOKUP(MID(A209,7,2),Map!$A$2:$B$20,2,FALSE),"")</f>
        <v/>
      </c>
      <c r="F209" t="str">
        <f>IF(A209="","",IFERROR(VLOOKUP(MID(A209,9,2),Map!$R$2:$S$14,2,FALSE),""))</f>
        <v/>
      </c>
      <c r="G209" t="str">
        <f t="shared" si="33"/>
        <v/>
      </c>
      <c r="H209" t="str">
        <f t="shared" si="34"/>
        <v/>
      </c>
      <c r="I209" t="str">
        <f>IF(A209="","",IFERROR(VLOOKUP(LEFT(A209,1),Map!$D$2:$E$20,2,FALSE),""))</f>
        <v/>
      </c>
      <c r="J209" t="str">
        <f>IF(OR(H209="",NOT(OR(LEFT(H209,1)="G",LEFT(H209,1)="R"))),"",IFERROR(VLOOKUP(MID(H209,2,1),Map!$J$2:$M$10,2,FALSE),""))</f>
        <v/>
      </c>
      <c r="K209" t="str">
        <f t="shared" si="35"/>
        <v/>
      </c>
      <c r="L209" t="str">
        <f t="shared" si="36"/>
        <v/>
      </c>
      <c r="M209" t="str">
        <f t="shared" si="37"/>
        <v/>
      </c>
      <c r="N209" t="str">
        <f t="shared" si="38"/>
        <v/>
      </c>
      <c r="O209" t="str">
        <f t="shared" si="39"/>
        <v/>
      </c>
      <c r="P209" t="str">
        <f>IF(OR(H209="",NOT(OR(LEFT(H209,1)="G",LEFT(H209,1)="R"))),"",IFERROR(VLOOKUP(MID(H209,3,1),Map!$G$2:$H$10,2,FALSE),""))</f>
        <v/>
      </c>
      <c r="Q209" t="str">
        <f>IF(A209="","",IFERROR(VLOOKUP(MID(A209,4,1),Map!$O$2:$P$10,2,FALSE),""))</f>
        <v/>
      </c>
    </row>
    <row r="210" spans="2:17" x14ac:dyDescent="0.25">
      <c r="B210" t="str">
        <f t="shared" si="30"/>
        <v/>
      </c>
      <c r="C210" t="str">
        <f t="shared" si="31"/>
        <v>**</v>
      </c>
      <c r="D210" t="str">
        <f t="shared" si="32"/>
        <v/>
      </c>
      <c r="E210" t="str">
        <f>IFERROR(VLOOKUP(MID(A210,7,2),Map!$A$2:$B$20,2,FALSE),"")</f>
        <v/>
      </c>
      <c r="F210" t="str">
        <f>IF(A210="","",IFERROR(VLOOKUP(MID(A210,9,2),Map!$R$2:$S$14,2,FALSE),""))</f>
        <v/>
      </c>
      <c r="G210" t="str">
        <f t="shared" si="33"/>
        <v/>
      </c>
      <c r="H210" t="str">
        <f t="shared" si="34"/>
        <v/>
      </c>
      <c r="I210" t="str">
        <f>IF(A210="","",IFERROR(VLOOKUP(LEFT(A210,1),Map!$D$2:$E$20,2,FALSE),""))</f>
        <v/>
      </c>
      <c r="J210" t="str">
        <f>IF(OR(H210="",NOT(OR(LEFT(H210,1)="G",LEFT(H210,1)="R"))),"",IFERROR(VLOOKUP(MID(H210,2,1),Map!$J$2:$M$10,2,FALSE),""))</f>
        <v/>
      </c>
      <c r="K210" t="str">
        <f t="shared" si="35"/>
        <v/>
      </c>
      <c r="L210" t="str">
        <f t="shared" si="36"/>
        <v/>
      </c>
      <c r="M210" t="str">
        <f t="shared" si="37"/>
        <v/>
      </c>
      <c r="N210" t="str">
        <f t="shared" si="38"/>
        <v/>
      </c>
      <c r="O210" t="str">
        <f t="shared" si="39"/>
        <v/>
      </c>
      <c r="P210" t="str">
        <f>IF(OR(H210="",NOT(OR(LEFT(H210,1)="G",LEFT(H210,1)="R"))),"",IFERROR(VLOOKUP(MID(H210,3,1),Map!$G$2:$H$10,2,FALSE),""))</f>
        <v/>
      </c>
      <c r="Q210" t="str">
        <f>IF(A210="","",IFERROR(VLOOKUP(MID(A210,4,1),Map!$O$2:$P$10,2,FALSE),""))</f>
        <v/>
      </c>
    </row>
    <row r="211" spans="2:17" x14ac:dyDescent="0.25">
      <c r="B211" t="str">
        <f t="shared" si="30"/>
        <v/>
      </c>
      <c r="C211" t="str">
        <f t="shared" si="31"/>
        <v>**</v>
      </c>
      <c r="D211" t="str">
        <f t="shared" si="32"/>
        <v/>
      </c>
      <c r="E211" t="str">
        <f>IFERROR(VLOOKUP(MID(A211,7,2),Map!$A$2:$B$20,2,FALSE),"")</f>
        <v/>
      </c>
      <c r="F211" t="str">
        <f>IF(A211="","",IFERROR(VLOOKUP(MID(A211,9,2),Map!$R$2:$S$14,2,FALSE),""))</f>
        <v/>
      </c>
      <c r="G211" t="str">
        <f t="shared" si="33"/>
        <v/>
      </c>
      <c r="H211" t="str">
        <f t="shared" si="34"/>
        <v/>
      </c>
      <c r="I211" t="str">
        <f>IF(A211="","",IFERROR(VLOOKUP(LEFT(A211,1),Map!$D$2:$E$20,2,FALSE),""))</f>
        <v/>
      </c>
      <c r="J211" t="str">
        <f>IF(OR(H211="",NOT(OR(LEFT(H211,1)="G",LEFT(H211,1)="R"))),"",IFERROR(VLOOKUP(MID(H211,2,1),Map!$J$2:$M$10,2,FALSE),""))</f>
        <v/>
      </c>
      <c r="K211" t="str">
        <f t="shared" si="35"/>
        <v/>
      </c>
      <c r="L211" t="str">
        <f t="shared" si="36"/>
        <v/>
      </c>
      <c r="M211" t="str">
        <f t="shared" si="37"/>
        <v/>
      </c>
      <c r="N211" t="str">
        <f t="shared" si="38"/>
        <v/>
      </c>
      <c r="O211" t="str">
        <f t="shared" si="39"/>
        <v/>
      </c>
      <c r="P211" t="str">
        <f>IF(OR(H211="",NOT(OR(LEFT(H211,1)="G",LEFT(H211,1)="R"))),"",IFERROR(VLOOKUP(MID(H211,3,1),Map!$G$2:$H$10,2,FALSE),""))</f>
        <v/>
      </c>
      <c r="Q211" t="str">
        <f>IF(A211="","",IFERROR(VLOOKUP(MID(A211,4,1),Map!$O$2:$P$10,2,FALSE),""))</f>
        <v/>
      </c>
    </row>
    <row r="212" spans="2:17" x14ac:dyDescent="0.25">
      <c r="B212" t="str">
        <f t="shared" si="30"/>
        <v/>
      </c>
      <c r="C212" t="str">
        <f t="shared" si="31"/>
        <v>**</v>
      </c>
      <c r="D212" t="str">
        <f t="shared" si="32"/>
        <v/>
      </c>
      <c r="E212" t="str">
        <f>IFERROR(VLOOKUP(MID(A212,7,2),Map!$A$2:$B$20,2,FALSE),"")</f>
        <v/>
      </c>
      <c r="F212" t="str">
        <f>IF(A212="","",IFERROR(VLOOKUP(MID(A212,9,2),Map!$R$2:$S$14,2,FALSE),""))</f>
        <v/>
      </c>
      <c r="G212" t="str">
        <f t="shared" si="33"/>
        <v/>
      </c>
      <c r="H212" t="str">
        <f t="shared" si="34"/>
        <v/>
      </c>
      <c r="I212" t="str">
        <f>IF(A212="","",IFERROR(VLOOKUP(LEFT(A212,1),Map!$D$2:$E$20,2,FALSE),""))</f>
        <v/>
      </c>
      <c r="J212" t="str">
        <f>IF(OR(H212="",NOT(OR(LEFT(H212,1)="G",LEFT(H212,1)="R"))),"",IFERROR(VLOOKUP(MID(H212,2,1),Map!$J$2:$M$10,2,FALSE),""))</f>
        <v/>
      </c>
      <c r="K212" t="str">
        <f t="shared" si="35"/>
        <v/>
      </c>
      <c r="L212" t="str">
        <f t="shared" si="36"/>
        <v/>
      </c>
      <c r="M212" t="str">
        <f t="shared" si="37"/>
        <v/>
      </c>
      <c r="N212" t="str">
        <f t="shared" si="38"/>
        <v/>
      </c>
      <c r="O212" t="str">
        <f t="shared" si="39"/>
        <v/>
      </c>
      <c r="P212" t="str">
        <f>IF(OR(H212="",NOT(OR(LEFT(H212,1)="G",LEFT(H212,1)="R"))),"",IFERROR(VLOOKUP(MID(H212,3,1),Map!$G$2:$H$10,2,FALSE),""))</f>
        <v/>
      </c>
      <c r="Q212" t="str">
        <f>IF(A212="","",IFERROR(VLOOKUP(MID(A212,4,1),Map!$O$2:$P$10,2,FALSE),""))</f>
        <v/>
      </c>
    </row>
    <row r="213" spans="2:17" x14ac:dyDescent="0.25">
      <c r="B213" t="str">
        <f t="shared" si="30"/>
        <v/>
      </c>
      <c r="C213" t="str">
        <f t="shared" si="31"/>
        <v>**</v>
      </c>
      <c r="D213" t="str">
        <f t="shared" si="32"/>
        <v/>
      </c>
      <c r="E213" t="str">
        <f>IFERROR(VLOOKUP(MID(A213,7,2),Map!$A$2:$B$20,2,FALSE),"")</f>
        <v/>
      </c>
      <c r="F213" t="str">
        <f>IF(A213="","",IFERROR(VLOOKUP(MID(A213,9,2),Map!$R$2:$S$14,2,FALSE),""))</f>
        <v/>
      </c>
      <c r="G213" t="str">
        <f t="shared" si="33"/>
        <v/>
      </c>
      <c r="H213" t="str">
        <f t="shared" si="34"/>
        <v/>
      </c>
      <c r="I213" t="str">
        <f>IF(A213="","",IFERROR(VLOOKUP(LEFT(A213,1),Map!$D$2:$E$20,2,FALSE),""))</f>
        <v/>
      </c>
      <c r="J213" t="str">
        <f>IF(OR(H213="",NOT(OR(LEFT(H213,1)="G",LEFT(H213,1)="R"))),"",IFERROR(VLOOKUP(MID(H213,2,1),Map!$J$2:$M$10,2,FALSE),""))</f>
        <v/>
      </c>
      <c r="K213" t="str">
        <f t="shared" si="35"/>
        <v/>
      </c>
      <c r="L213" t="str">
        <f t="shared" si="36"/>
        <v/>
      </c>
      <c r="M213" t="str">
        <f t="shared" si="37"/>
        <v/>
      </c>
      <c r="N213" t="str">
        <f t="shared" si="38"/>
        <v/>
      </c>
      <c r="O213" t="str">
        <f t="shared" si="39"/>
        <v/>
      </c>
      <c r="P213" t="str">
        <f>IF(OR(H213="",NOT(OR(LEFT(H213,1)="G",LEFT(H213,1)="R"))),"",IFERROR(VLOOKUP(MID(H213,3,1),Map!$G$2:$H$10,2,FALSE),""))</f>
        <v/>
      </c>
      <c r="Q213" t="str">
        <f>IF(A213="","",IFERROR(VLOOKUP(MID(A213,4,1),Map!$O$2:$P$10,2,FALSE),""))</f>
        <v/>
      </c>
    </row>
    <row r="214" spans="2:17" x14ac:dyDescent="0.25">
      <c r="B214" t="str">
        <f t="shared" si="30"/>
        <v/>
      </c>
      <c r="C214" t="str">
        <f t="shared" si="31"/>
        <v>**</v>
      </c>
      <c r="D214" t="str">
        <f t="shared" si="32"/>
        <v/>
      </c>
      <c r="E214" t="str">
        <f>IFERROR(VLOOKUP(MID(A214,7,2),Map!$A$2:$B$20,2,FALSE),"")</f>
        <v/>
      </c>
      <c r="F214" t="str">
        <f>IF(A214="","",IFERROR(VLOOKUP(MID(A214,9,2),Map!$R$2:$S$14,2,FALSE),""))</f>
        <v/>
      </c>
      <c r="G214" t="str">
        <f t="shared" si="33"/>
        <v/>
      </c>
      <c r="H214" t="str">
        <f t="shared" si="34"/>
        <v/>
      </c>
      <c r="I214" t="str">
        <f>IF(A214="","",IFERROR(VLOOKUP(LEFT(A214,1),Map!$D$2:$E$20,2,FALSE),""))</f>
        <v/>
      </c>
      <c r="J214" t="str">
        <f>IF(OR(H214="",NOT(OR(LEFT(H214,1)="G",LEFT(H214,1)="R"))),"",IFERROR(VLOOKUP(MID(H214,2,1),Map!$J$2:$M$10,2,FALSE),""))</f>
        <v/>
      </c>
      <c r="K214" t="str">
        <f t="shared" si="35"/>
        <v/>
      </c>
      <c r="L214" t="str">
        <f t="shared" si="36"/>
        <v/>
      </c>
      <c r="M214" t="str">
        <f t="shared" si="37"/>
        <v/>
      </c>
      <c r="N214" t="str">
        <f t="shared" si="38"/>
        <v/>
      </c>
      <c r="O214" t="str">
        <f t="shared" si="39"/>
        <v/>
      </c>
      <c r="P214" t="str">
        <f>IF(OR(H214="",NOT(OR(LEFT(H214,1)="G",LEFT(H214,1)="R"))),"",IFERROR(VLOOKUP(MID(H214,3,1),Map!$G$2:$H$10,2,FALSE),""))</f>
        <v/>
      </c>
      <c r="Q214" t="str">
        <f>IF(A214="","",IFERROR(VLOOKUP(MID(A214,4,1),Map!$O$2:$P$10,2,FALSE),""))</f>
        <v/>
      </c>
    </row>
    <row r="215" spans="2:17" x14ac:dyDescent="0.25">
      <c r="B215" t="str">
        <f t="shared" si="30"/>
        <v/>
      </c>
      <c r="C215" t="str">
        <f t="shared" si="31"/>
        <v>**</v>
      </c>
      <c r="D215" t="str">
        <f t="shared" si="32"/>
        <v/>
      </c>
      <c r="E215" t="str">
        <f>IFERROR(VLOOKUP(MID(A215,7,2),Map!$A$2:$B$20,2,FALSE),"")</f>
        <v/>
      </c>
      <c r="F215" t="str">
        <f>IF(A215="","",IFERROR(VLOOKUP(MID(A215,9,2),Map!$R$2:$S$14,2,FALSE),""))</f>
        <v/>
      </c>
      <c r="G215" t="str">
        <f t="shared" si="33"/>
        <v/>
      </c>
      <c r="H215" t="str">
        <f t="shared" si="34"/>
        <v/>
      </c>
      <c r="I215" t="str">
        <f>IF(A215="","",IFERROR(VLOOKUP(LEFT(A215,1),Map!$D$2:$E$20,2,FALSE),""))</f>
        <v/>
      </c>
      <c r="J215" t="str">
        <f>IF(OR(H215="",NOT(OR(LEFT(H215,1)="G",LEFT(H215,1)="R"))),"",IFERROR(VLOOKUP(MID(H215,2,1),Map!$J$2:$M$10,2,FALSE),""))</f>
        <v/>
      </c>
      <c r="K215" t="str">
        <f t="shared" si="35"/>
        <v/>
      </c>
      <c r="L215" t="str">
        <f t="shared" si="36"/>
        <v/>
      </c>
      <c r="M215" t="str">
        <f t="shared" si="37"/>
        <v/>
      </c>
      <c r="N215" t="str">
        <f t="shared" si="38"/>
        <v/>
      </c>
      <c r="O215" t="str">
        <f t="shared" si="39"/>
        <v/>
      </c>
      <c r="P215" t="str">
        <f>IF(OR(H215="",NOT(OR(LEFT(H215,1)="G",LEFT(H215,1)="R"))),"",IFERROR(VLOOKUP(MID(H215,3,1),Map!$G$2:$H$10,2,FALSE),""))</f>
        <v/>
      </c>
      <c r="Q215" t="str">
        <f>IF(A215="","",IFERROR(VLOOKUP(MID(A215,4,1),Map!$O$2:$P$10,2,FALSE),""))</f>
        <v/>
      </c>
    </row>
    <row r="216" spans="2:17" x14ac:dyDescent="0.25">
      <c r="B216" t="str">
        <f t="shared" si="30"/>
        <v/>
      </c>
      <c r="C216" t="str">
        <f t="shared" si="31"/>
        <v>**</v>
      </c>
      <c r="D216" t="str">
        <f t="shared" si="32"/>
        <v/>
      </c>
      <c r="E216" t="str">
        <f>IFERROR(VLOOKUP(MID(A216,7,2),Map!$A$2:$B$20,2,FALSE),"")</f>
        <v/>
      </c>
      <c r="F216" t="str">
        <f>IF(A216="","",IFERROR(VLOOKUP(MID(A216,9,2),Map!$R$2:$S$14,2,FALSE),""))</f>
        <v/>
      </c>
      <c r="G216" t="str">
        <f t="shared" si="33"/>
        <v/>
      </c>
      <c r="H216" t="str">
        <f t="shared" si="34"/>
        <v/>
      </c>
      <c r="I216" t="str">
        <f>IF(A216="","",IFERROR(VLOOKUP(LEFT(A216,1),Map!$D$2:$E$20,2,FALSE),""))</f>
        <v/>
      </c>
      <c r="J216" t="str">
        <f>IF(OR(H216="",NOT(OR(LEFT(H216,1)="G",LEFT(H216,1)="R"))),"",IFERROR(VLOOKUP(MID(H216,2,1),Map!$J$2:$M$10,2,FALSE),""))</f>
        <v/>
      </c>
      <c r="K216" t="str">
        <f t="shared" si="35"/>
        <v/>
      </c>
      <c r="L216" t="str">
        <f t="shared" si="36"/>
        <v/>
      </c>
      <c r="M216" t="str">
        <f t="shared" si="37"/>
        <v/>
      </c>
      <c r="N216" t="str">
        <f t="shared" si="38"/>
        <v/>
      </c>
      <c r="O216" t="str">
        <f t="shared" si="39"/>
        <v/>
      </c>
      <c r="P216" t="str">
        <f>IF(OR(H216="",NOT(OR(LEFT(H216,1)="G",LEFT(H216,1)="R"))),"",IFERROR(VLOOKUP(MID(H216,3,1),Map!$G$2:$H$10,2,FALSE),""))</f>
        <v/>
      </c>
      <c r="Q216" t="str">
        <f>IF(A216="","",IFERROR(VLOOKUP(MID(A216,4,1),Map!$O$2:$P$10,2,FALSE),""))</f>
        <v/>
      </c>
    </row>
    <row r="217" spans="2:17" x14ac:dyDescent="0.25">
      <c r="B217" t="str">
        <f t="shared" si="30"/>
        <v/>
      </c>
      <c r="C217" t="str">
        <f t="shared" si="31"/>
        <v>**</v>
      </c>
      <c r="D217" t="str">
        <f t="shared" si="32"/>
        <v/>
      </c>
      <c r="E217" t="str">
        <f>IFERROR(VLOOKUP(MID(A217,7,2),Map!$A$2:$B$20,2,FALSE),"")</f>
        <v/>
      </c>
      <c r="F217" t="str">
        <f>IF(A217="","",IFERROR(VLOOKUP(MID(A217,9,2),Map!$R$2:$S$14,2,FALSE),""))</f>
        <v/>
      </c>
      <c r="G217" t="str">
        <f t="shared" si="33"/>
        <v/>
      </c>
      <c r="H217" t="str">
        <f t="shared" si="34"/>
        <v/>
      </c>
      <c r="I217" t="str">
        <f>IF(A217="","",IFERROR(VLOOKUP(LEFT(A217,1),Map!$D$2:$E$20,2,FALSE),""))</f>
        <v/>
      </c>
      <c r="J217" t="str">
        <f>IF(OR(H217="",NOT(OR(LEFT(H217,1)="G",LEFT(H217,1)="R"))),"",IFERROR(VLOOKUP(MID(H217,2,1),Map!$J$2:$M$10,2,FALSE),""))</f>
        <v/>
      </c>
      <c r="K217" t="str">
        <f t="shared" si="35"/>
        <v/>
      </c>
      <c r="L217" t="str">
        <f t="shared" si="36"/>
        <v/>
      </c>
      <c r="M217" t="str">
        <f t="shared" si="37"/>
        <v/>
      </c>
      <c r="N217" t="str">
        <f t="shared" si="38"/>
        <v/>
      </c>
      <c r="O217" t="str">
        <f t="shared" si="39"/>
        <v/>
      </c>
      <c r="P217" t="str">
        <f>IF(OR(H217="",NOT(OR(LEFT(H217,1)="G",LEFT(H217,1)="R"))),"",IFERROR(VLOOKUP(MID(H217,3,1),Map!$G$2:$H$10,2,FALSE),""))</f>
        <v/>
      </c>
      <c r="Q217" t="str">
        <f>IF(A217="","",IFERROR(VLOOKUP(MID(A217,4,1),Map!$O$2:$P$10,2,FALSE),""))</f>
        <v/>
      </c>
    </row>
    <row r="218" spans="2:17" x14ac:dyDescent="0.25">
      <c r="B218" t="str">
        <f t="shared" si="30"/>
        <v/>
      </c>
      <c r="C218" t="str">
        <f t="shared" si="31"/>
        <v>**</v>
      </c>
      <c r="D218" t="str">
        <f t="shared" si="32"/>
        <v/>
      </c>
      <c r="E218" t="str">
        <f>IFERROR(VLOOKUP(MID(A218,7,2),Map!$A$2:$B$20,2,FALSE),"")</f>
        <v/>
      </c>
      <c r="F218" t="str">
        <f>IF(A218="","",IFERROR(VLOOKUP(MID(A218,9,2),Map!$R$2:$S$14,2,FALSE),""))</f>
        <v/>
      </c>
      <c r="G218" t="str">
        <f t="shared" si="33"/>
        <v/>
      </c>
      <c r="H218" t="str">
        <f t="shared" si="34"/>
        <v/>
      </c>
      <c r="I218" t="str">
        <f>IF(A218="","",IFERROR(VLOOKUP(LEFT(A218,1),Map!$D$2:$E$20,2,FALSE),""))</f>
        <v/>
      </c>
      <c r="J218" t="str">
        <f>IF(OR(H218="",NOT(OR(LEFT(H218,1)="G",LEFT(H218,1)="R"))),"",IFERROR(VLOOKUP(MID(H218,2,1),Map!$J$2:$M$10,2,FALSE),""))</f>
        <v/>
      </c>
      <c r="K218" t="str">
        <f t="shared" si="35"/>
        <v/>
      </c>
      <c r="L218" t="str">
        <f t="shared" si="36"/>
        <v/>
      </c>
      <c r="M218" t="str">
        <f t="shared" si="37"/>
        <v/>
      </c>
      <c r="N218" t="str">
        <f t="shared" si="38"/>
        <v/>
      </c>
      <c r="O218" t="str">
        <f t="shared" si="39"/>
        <v/>
      </c>
      <c r="P218" t="str">
        <f>IF(OR(H218="",NOT(OR(LEFT(H218,1)="G",LEFT(H218,1)="R"))),"",IFERROR(VLOOKUP(MID(H218,3,1),Map!$G$2:$H$10,2,FALSE),""))</f>
        <v/>
      </c>
      <c r="Q218" t="str">
        <f>IF(A218="","",IFERROR(VLOOKUP(MID(A218,4,1),Map!$O$2:$P$10,2,FALSE),""))</f>
        <v/>
      </c>
    </row>
    <row r="219" spans="2:17" x14ac:dyDescent="0.25">
      <c r="B219" t="str">
        <f t="shared" si="30"/>
        <v/>
      </c>
      <c r="C219" t="str">
        <f t="shared" si="31"/>
        <v>**</v>
      </c>
      <c r="D219" t="str">
        <f t="shared" si="32"/>
        <v/>
      </c>
      <c r="E219" t="str">
        <f>IFERROR(VLOOKUP(MID(A219,7,2),Map!$A$2:$B$20,2,FALSE),"")</f>
        <v/>
      </c>
      <c r="F219" t="str">
        <f>IF(A219="","",IFERROR(VLOOKUP(MID(A219,9,2),Map!$R$2:$S$14,2,FALSE),""))</f>
        <v/>
      </c>
      <c r="G219" t="str">
        <f t="shared" si="33"/>
        <v/>
      </c>
      <c r="H219" t="str">
        <f t="shared" si="34"/>
        <v/>
      </c>
      <c r="I219" t="str">
        <f>IF(A219="","",IFERROR(VLOOKUP(LEFT(A219,1),Map!$D$2:$E$20,2,FALSE),""))</f>
        <v/>
      </c>
      <c r="J219" t="str">
        <f>IF(OR(H219="",NOT(OR(LEFT(H219,1)="G",LEFT(H219,1)="R"))),"",IFERROR(VLOOKUP(MID(H219,2,1),Map!$J$2:$M$10,2,FALSE),""))</f>
        <v/>
      </c>
      <c r="K219" t="str">
        <f t="shared" si="35"/>
        <v/>
      </c>
      <c r="L219" t="str">
        <f t="shared" si="36"/>
        <v/>
      </c>
      <c r="M219" t="str">
        <f t="shared" si="37"/>
        <v/>
      </c>
      <c r="N219" t="str">
        <f t="shared" si="38"/>
        <v/>
      </c>
      <c r="O219" t="str">
        <f t="shared" si="39"/>
        <v/>
      </c>
      <c r="P219" t="str">
        <f>IF(OR(H219="",NOT(OR(LEFT(H219,1)="G",LEFT(H219,1)="R"))),"",IFERROR(VLOOKUP(MID(H219,3,1),Map!$G$2:$H$10,2,FALSE),""))</f>
        <v/>
      </c>
      <c r="Q219" t="str">
        <f>IF(A219="","",IFERROR(VLOOKUP(MID(A219,4,1),Map!$O$2:$P$10,2,FALSE),""))</f>
        <v/>
      </c>
    </row>
    <row r="220" spans="2:17" x14ac:dyDescent="0.25">
      <c r="B220" t="str">
        <f t="shared" si="30"/>
        <v/>
      </c>
      <c r="C220" t="str">
        <f t="shared" si="31"/>
        <v>**</v>
      </c>
      <c r="D220" t="str">
        <f t="shared" si="32"/>
        <v/>
      </c>
      <c r="E220" t="str">
        <f>IFERROR(VLOOKUP(MID(A220,7,2),Map!$A$2:$B$20,2,FALSE),"")</f>
        <v/>
      </c>
      <c r="F220" t="str">
        <f>IF(A220="","",IFERROR(VLOOKUP(MID(A220,9,2),Map!$R$2:$S$14,2,FALSE),""))</f>
        <v/>
      </c>
      <c r="G220" t="str">
        <f t="shared" si="33"/>
        <v/>
      </c>
      <c r="H220" t="str">
        <f t="shared" si="34"/>
        <v/>
      </c>
      <c r="I220" t="str">
        <f>IF(A220="","",IFERROR(VLOOKUP(LEFT(A220,1),Map!$D$2:$E$20,2,FALSE),""))</f>
        <v/>
      </c>
      <c r="J220" t="str">
        <f>IF(OR(H220="",NOT(OR(LEFT(H220,1)="G",LEFT(H220,1)="R"))),"",IFERROR(VLOOKUP(MID(H220,2,1),Map!$J$2:$M$10,2,FALSE),""))</f>
        <v/>
      </c>
      <c r="K220" t="str">
        <f t="shared" si="35"/>
        <v/>
      </c>
      <c r="L220" t="str">
        <f t="shared" si="36"/>
        <v/>
      </c>
      <c r="M220" t="str">
        <f t="shared" si="37"/>
        <v/>
      </c>
      <c r="N220" t="str">
        <f t="shared" si="38"/>
        <v/>
      </c>
      <c r="O220" t="str">
        <f t="shared" si="39"/>
        <v/>
      </c>
      <c r="P220" t="str">
        <f>IF(OR(H220="",NOT(OR(LEFT(H220,1)="G",LEFT(H220,1)="R"))),"",IFERROR(VLOOKUP(MID(H220,3,1),Map!$G$2:$H$10,2,FALSE),""))</f>
        <v/>
      </c>
      <c r="Q220" t="str">
        <f>IF(A220="","",IFERROR(VLOOKUP(MID(A220,4,1),Map!$O$2:$P$10,2,FALSE),""))</f>
        <v/>
      </c>
    </row>
    <row r="221" spans="2:17" x14ac:dyDescent="0.25">
      <c r="B221" t="str">
        <f t="shared" si="30"/>
        <v/>
      </c>
      <c r="C221" t="str">
        <f t="shared" si="31"/>
        <v>**</v>
      </c>
      <c r="D221" t="str">
        <f t="shared" si="32"/>
        <v/>
      </c>
      <c r="E221" t="str">
        <f>IFERROR(VLOOKUP(MID(A221,7,2),Map!$A$2:$B$20,2,FALSE),"")</f>
        <v/>
      </c>
      <c r="F221" t="str">
        <f>IF(A221="","",IFERROR(VLOOKUP(MID(A221,9,2),Map!$R$2:$S$14,2,FALSE),""))</f>
        <v/>
      </c>
      <c r="G221" t="str">
        <f t="shared" si="33"/>
        <v/>
      </c>
      <c r="H221" t="str">
        <f t="shared" si="34"/>
        <v/>
      </c>
      <c r="I221" t="str">
        <f>IF(A221="","",IFERROR(VLOOKUP(LEFT(A221,1),Map!$D$2:$E$20,2,FALSE),""))</f>
        <v/>
      </c>
      <c r="J221" t="str">
        <f>IF(OR(H221="",NOT(OR(LEFT(H221,1)="G",LEFT(H221,1)="R"))),"",IFERROR(VLOOKUP(MID(H221,2,1),Map!$J$2:$M$10,2,FALSE),""))</f>
        <v/>
      </c>
      <c r="K221" t="str">
        <f t="shared" si="35"/>
        <v/>
      </c>
      <c r="L221" t="str">
        <f t="shared" si="36"/>
        <v/>
      </c>
      <c r="M221" t="str">
        <f t="shared" si="37"/>
        <v/>
      </c>
      <c r="N221" t="str">
        <f t="shared" si="38"/>
        <v/>
      </c>
      <c r="O221" t="str">
        <f t="shared" si="39"/>
        <v/>
      </c>
      <c r="P221" t="str">
        <f>IF(OR(H221="",NOT(OR(LEFT(H221,1)="G",LEFT(H221,1)="R"))),"",IFERROR(VLOOKUP(MID(H221,3,1),Map!$G$2:$H$10,2,FALSE),""))</f>
        <v/>
      </c>
      <c r="Q221" t="str">
        <f>IF(A221="","",IFERROR(VLOOKUP(MID(A221,4,1),Map!$O$2:$P$10,2,FALSE),""))</f>
        <v/>
      </c>
    </row>
    <row r="222" spans="2:17" x14ac:dyDescent="0.25">
      <c r="B222" t="str">
        <f t="shared" si="30"/>
        <v/>
      </c>
      <c r="C222" t="str">
        <f t="shared" si="31"/>
        <v>**</v>
      </c>
      <c r="D222" t="str">
        <f t="shared" si="32"/>
        <v/>
      </c>
      <c r="E222" t="str">
        <f>IFERROR(VLOOKUP(MID(A222,7,2),Map!$A$2:$B$20,2,FALSE),"")</f>
        <v/>
      </c>
      <c r="F222" t="str">
        <f>IF(A222="","",IFERROR(VLOOKUP(MID(A222,9,2),Map!$R$2:$S$14,2,FALSE),""))</f>
        <v/>
      </c>
      <c r="G222" t="str">
        <f t="shared" si="33"/>
        <v/>
      </c>
      <c r="H222" t="str">
        <f t="shared" si="34"/>
        <v/>
      </c>
      <c r="I222" t="str">
        <f>IF(A222="","",IFERROR(VLOOKUP(LEFT(A222,1),Map!$D$2:$E$20,2,FALSE),""))</f>
        <v/>
      </c>
      <c r="J222" t="str">
        <f>IF(OR(H222="",NOT(OR(LEFT(H222,1)="G",LEFT(H222,1)="R"))),"",IFERROR(VLOOKUP(MID(H222,2,1),Map!$J$2:$M$10,2,FALSE),""))</f>
        <v/>
      </c>
      <c r="K222" t="str">
        <f t="shared" si="35"/>
        <v/>
      </c>
      <c r="L222" t="str">
        <f t="shared" si="36"/>
        <v/>
      </c>
      <c r="M222" t="str">
        <f t="shared" si="37"/>
        <v/>
      </c>
      <c r="N222" t="str">
        <f t="shared" si="38"/>
        <v/>
      </c>
      <c r="O222" t="str">
        <f t="shared" si="39"/>
        <v/>
      </c>
      <c r="P222" t="str">
        <f>IF(OR(H222="",NOT(OR(LEFT(H222,1)="G",LEFT(H222,1)="R"))),"",IFERROR(VLOOKUP(MID(H222,3,1),Map!$G$2:$H$10,2,FALSE),""))</f>
        <v/>
      </c>
      <c r="Q222" t="str">
        <f>IF(A222="","",IFERROR(VLOOKUP(MID(A222,4,1),Map!$O$2:$P$10,2,FALSE),""))</f>
        <v/>
      </c>
    </row>
    <row r="223" spans="2:17" x14ac:dyDescent="0.25">
      <c r="B223" t="str">
        <f t="shared" si="30"/>
        <v/>
      </c>
      <c r="C223" t="str">
        <f t="shared" si="31"/>
        <v>**</v>
      </c>
      <c r="D223" t="str">
        <f t="shared" si="32"/>
        <v/>
      </c>
      <c r="E223" t="str">
        <f>IFERROR(VLOOKUP(MID(A223,7,2),Map!$A$2:$B$20,2,FALSE),"")</f>
        <v/>
      </c>
      <c r="F223" t="str">
        <f>IF(A223="","",IFERROR(VLOOKUP(MID(A223,9,2),Map!$R$2:$S$14,2,FALSE),""))</f>
        <v/>
      </c>
      <c r="G223" t="str">
        <f t="shared" si="33"/>
        <v/>
      </c>
      <c r="H223" t="str">
        <f t="shared" si="34"/>
        <v/>
      </c>
      <c r="I223" t="str">
        <f>IF(A223="","",IFERROR(VLOOKUP(LEFT(A223,1),Map!$D$2:$E$20,2,FALSE),""))</f>
        <v/>
      </c>
      <c r="J223" t="str">
        <f>IF(OR(H223="",NOT(OR(LEFT(H223,1)="G",LEFT(H223,1)="R"))),"",IFERROR(VLOOKUP(MID(H223,2,1),Map!$J$2:$M$10,2,FALSE),""))</f>
        <v/>
      </c>
      <c r="K223" t="str">
        <f t="shared" si="35"/>
        <v/>
      </c>
      <c r="L223" t="str">
        <f t="shared" si="36"/>
        <v/>
      </c>
      <c r="M223" t="str">
        <f t="shared" si="37"/>
        <v/>
      </c>
      <c r="N223" t="str">
        <f t="shared" si="38"/>
        <v/>
      </c>
      <c r="O223" t="str">
        <f t="shared" si="39"/>
        <v/>
      </c>
      <c r="P223" t="str">
        <f>IF(OR(H223="",NOT(OR(LEFT(H223,1)="G",LEFT(H223,1)="R"))),"",IFERROR(VLOOKUP(MID(H223,3,1),Map!$G$2:$H$10,2,FALSE),""))</f>
        <v/>
      </c>
      <c r="Q223" t="str">
        <f>IF(A223="","",IFERROR(VLOOKUP(MID(A223,4,1),Map!$O$2:$P$10,2,FALSE),""))</f>
        <v/>
      </c>
    </row>
    <row r="224" spans="2:17" x14ac:dyDescent="0.25">
      <c r="B224" t="str">
        <f t="shared" si="30"/>
        <v/>
      </c>
      <c r="C224" t="str">
        <f t="shared" si="31"/>
        <v>**</v>
      </c>
      <c r="D224" t="str">
        <f t="shared" si="32"/>
        <v/>
      </c>
      <c r="E224" t="str">
        <f>IFERROR(VLOOKUP(MID(A224,7,2),Map!$A$2:$B$20,2,FALSE),"")</f>
        <v/>
      </c>
      <c r="F224" t="str">
        <f>IF(A224="","",IFERROR(VLOOKUP(MID(A224,9,2),Map!$R$2:$S$14,2,FALSE),""))</f>
        <v/>
      </c>
      <c r="G224" t="str">
        <f t="shared" si="33"/>
        <v/>
      </c>
      <c r="H224" t="str">
        <f t="shared" si="34"/>
        <v/>
      </c>
      <c r="I224" t="str">
        <f>IF(A224="","",IFERROR(VLOOKUP(LEFT(A224,1),Map!$D$2:$E$20,2,FALSE),""))</f>
        <v/>
      </c>
      <c r="J224" t="str">
        <f>IF(OR(H224="",NOT(OR(LEFT(H224,1)="G",LEFT(H224,1)="R"))),"",IFERROR(VLOOKUP(MID(H224,2,1),Map!$J$2:$M$10,2,FALSE),""))</f>
        <v/>
      </c>
      <c r="K224" t="str">
        <f t="shared" si="35"/>
        <v/>
      </c>
      <c r="L224" t="str">
        <f t="shared" si="36"/>
        <v/>
      </c>
      <c r="M224" t="str">
        <f t="shared" si="37"/>
        <v/>
      </c>
      <c r="N224" t="str">
        <f t="shared" si="38"/>
        <v/>
      </c>
      <c r="O224" t="str">
        <f t="shared" si="39"/>
        <v/>
      </c>
      <c r="P224" t="str">
        <f>IF(OR(H224="",NOT(OR(LEFT(H224,1)="G",LEFT(H224,1)="R"))),"",IFERROR(VLOOKUP(MID(H224,3,1),Map!$G$2:$H$10,2,FALSE),""))</f>
        <v/>
      </c>
      <c r="Q224" t="str">
        <f>IF(A224="","",IFERROR(VLOOKUP(MID(A224,4,1),Map!$O$2:$P$10,2,FALSE),""))</f>
        <v/>
      </c>
    </row>
    <row r="225" spans="2:17" x14ac:dyDescent="0.25">
      <c r="B225" t="str">
        <f t="shared" si="30"/>
        <v/>
      </c>
      <c r="C225" t="str">
        <f t="shared" si="31"/>
        <v>**</v>
      </c>
      <c r="D225" t="str">
        <f t="shared" si="32"/>
        <v/>
      </c>
      <c r="E225" t="str">
        <f>IFERROR(VLOOKUP(MID(A225,7,2),Map!$A$2:$B$20,2,FALSE),"")</f>
        <v/>
      </c>
      <c r="F225" t="str">
        <f>IF(A225="","",IFERROR(VLOOKUP(MID(A225,9,2),Map!$R$2:$S$14,2,FALSE),""))</f>
        <v/>
      </c>
      <c r="G225" t="str">
        <f t="shared" si="33"/>
        <v/>
      </c>
      <c r="H225" t="str">
        <f t="shared" si="34"/>
        <v/>
      </c>
      <c r="I225" t="str">
        <f>IF(A225="","",IFERROR(VLOOKUP(LEFT(A225,1),Map!$D$2:$E$20,2,FALSE),""))</f>
        <v/>
      </c>
      <c r="J225" t="str">
        <f>IF(OR(H225="",NOT(OR(LEFT(H225,1)="G",LEFT(H225,1)="R"))),"",IFERROR(VLOOKUP(MID(H225,2,1),Map!$J$2:$M$10,2,FALSE),""))</f>
        <v/>
      </c>
      <c r="K225" t="str">
        <f t="shared" si="35"/>
        <v/>
      </c>
      <c r="L225" t="str">
        <f t="shared" si="36"/>
        <v/>
      </c>
      <c r="M225" t="str">
        <f t="shared" si="37"/>
        <v/>
      </c>
      <c r="N225" t="str">
        <f t="shared" si="38"/>
        <v/>
      </c>
      <c r="O225" t="str">
        <f t="shared" si="39"/>
        <v/>
      </c>
      <c r="P225" t="str">
        <f>IF(OR(H225="",NOT(OR(LEFT(H225,1)="G",LEFT(H225,1)="R"))),"",IFERROR(VLOOKUP(MID(H225,3,1),Map!$G$2:$H$10,2,FALSE),""))</f>
        <v/>
      </c>
      <c r="Q225" t="str">
        <f>IF(A225="","",IFERROR(VLOOKUP(MID(A225,4,1),Map!$O$2:$P$10,2,FALSE),""))</f>
        <v/>
      </c>
    </row>
    <row r="226" spans="2:17" x14ac:dyDescent="0.25">
      <c r="B226" t="str">
        <f t="shared" si="30"/>
        <v/>
      </c>
      <c r="C226" t="str">
        <f t="shared" si="31"/>
        <v>**</v>
      </c>
      <c r="D226" t="str">
        <f t="shared" si="32"/>
        <v/>
      </c>
      <c r="E226" t="str">
        <f>IFERROR(VLOOKUP(MID(A226,7,2),Map!$A$2:$B$20,2,FALSE),"")</f>
        <v/>
      </c>
      <c r="F226" t="str">
        <f>IF(A226="","",IFERROR(VLOOKUP(MID(A226,9,2),Map!$R$2:$S$14,2,FALSE),""))</f>
        <v/>
      </c>
      <c r="G226" t="str">
        <f t="shared" si="33"/>
        <v/>
      </c>
      <c r="H226" t="str">
        <f t="shared" si="34"/>
        <v/>
      </c>
      <c r="I226" t="str">
        <f>IF(A226="","",IFERROR(VLOOKUP(LEFT(A226,1),Map!$D$2:$E$20,2,FALSE),""))</f>
        <v/>
      </c>
      <c r="J226" t="str">
        <f>IF(OR(H226="",NOT(OR(LEFT(H226,1)="G",LEFT(H226,1)="R"))),"",IFERROR(VLOOKUP(MID(H226,2,1),Map!$J$2:$M$10,2,FALSE),""))</f>
        <v/>
      </c>
      <c r="K226" t="str">
        <f t="shared" si="35"/>
        <v/>
      </c>
      <c r="L226" t="str">
        <f t="shared" si="36"/>
        <v/>
      </c>
      <c r="M226" t="str">
        <f t="shared" si="37"/>
        <v/>
      </c>
      <c r="N226" t="str">
        <f t="shared" si="38"/>
        <v/>
      </c>
      <c r="O226" t="str">
        <f t="shared" si="39"/>
        <v/>
      </c>
      <c r="P226" t="str">
        <f>IF(OR(H226="",NOT(OR(LEFT(H226,1)="G",LEFT(H226,1)="R"))),"",IFERROR(VLOOKUP(MID(H226,3,1),Map!$G$2:$H$10,2,FALSE),""))</f>
        <v/>
      </c>
      <c r="Q226" t="str">
        <f>IF(A226="","",IFERROR(VLOOKUP(MID(A226,4,1),Map!$O$2:$P$10,2,FALSE),""))</f>
        <v/>
      </c>
    </row>
    <row r="227" spans="2:17" x14ac:dyDescent="0.25">
      <c r="B227" t="str">
        <f t="shared" si="30"/>
        <v/>
      </c>
      <c r="C227" t="str">
        <f t="shared" si="31"/>
        <v>**</v>
      </c>
      <c r="D227" t="str">
        <f t="shared" si="32"/>
        <v/>
      </c>
      <c r="E227" t="str">
        <f>IFERROR(VLOOKUP(MID(A227,7,2),Map!$A$2:$B$20,2,FALSE),"")</f>
        <v/>
      </c>
      <c r="F227" t="str">
        <f>IF(A227="","",IFERROR(VLOOKUP(MID(A227,9,2),Map!$R$2:$S$14,2,FALSE),""))</f>
        <v/>
      </c>
      <c r="G227" t="str">
        <f t="shared" si="33"/>
        <v/>
      </c>
      <c r="H227" t="str">
        <f t="shared" si="34"/>
        <v/>
      </c>
      <c r="I227" t="str">
        <f>IF(A227="","",IFERROR(VLOOKUP(LEFT(A227,1),Map!$D$2:$E$20,2,FALSE),""))</f>
        <v/>
      </c>
      <c r="J227" t="str">
        <f>IF(OR(H227="",NOT(OR(LEFT(H227,1)="G",LEFT(H227,1)="R"))),"",IFERROR(VLOOKUP(MID(H227,2,1),Map!$J$2:$M$10,2,FALSE),""))</f>
        <v/>
      </c>
      <c r="K227" t="str">
        <f t="shared" si="35"/>
        <v/>
      </c>
      <c r="L227" t="str">
        <f t="shared" si="36"/>
        <v/>
      </c>
      <c r="M227" t="str">
        <f t="shared" si="37"/>
        <v/>
      </c>
      <c r="N227" t="str">
        <f t="shared" si="38"/>
        <v/>
      </c>
      <c r="O227" t="str">
        <f t="shared" si="39"/>
        <v/>
      </c>
      <c r="P227" t="str">
        <f>IF(OR(H227="",NOT(OR(LEFT(H227,1)="G",LEFT(H227,1)="R"))),"",IFERROR(VLOOKUP(MID(H227,3,1),Map!$G$2:$H$10,2,FALSE),""))</f>
        <v/>
      </c>
      <c r="Q227" t="str">
        <f>IF(A227="","",IFERROR(VLOOKUP(MID(A227,4,1),Map!$O$2:$P$10,2,FALSE),""))</f>
        <v/>
      </c>
    </row>
    <row r="228" spans="2:17" x14ac:dyDescent="0.25">
      <c r="B228" t="str">
        <f t="shared" si="30"/>
        <v/>
      </c>
      <c r="C228" t="str">
        <f t="shared" si="31"/>
        <v>**</v>
      </c>
      <c r="D228" t="str">
        <f t="shared" si="32"/>
        <v/>
      </c>
      <c r="E228" t="str">
        <f>IFERROR(VLOOKUP(MID(A228,7,2),Map!$A$2:$B$20,2,FALSE),"")</f>
        <v/>
      </c>
      <c r="F228" t="str">
        <f>IF(A228="","",IFERROR(VLOOKUP(MID(A228,9,2),Map!$R$2:$S$14,2,FALSE),""))</f>
        <v/>
      </c>
      <c r="G228" t="str">
        <f t="shared" si="33"/>
        <v/>
      </c>
      <c r="H228" t="str">
        <f t="shared" si="34"/>
        <v/>
      </c>
      <c r="I228" t="str">
        <f>IF(A228="","",IFERROR(VLOOKUP(LEFT(A228,1),Map!$D$2:$E$20,2,FALSE),""))</f>
        <v/>
      </c>
      <c r="J228" t="str">
        <f>IF(OR(H228="",NOT(OR(LEFT(H228,1)="G",LEFT(H228,1)="R"))),"",IFERROR(VLOOKUP(MID(H228,2,1),Map!$J$2:$M$10,2,FALSE),""))</f>
        <v/>
      </c>
      <c r="K228" t="str">
        <f t="shared" si="35"/>
        <v/>
      </c>
      <c r="L228" t="str">
        <f t="shared" si="36"/>
        <v/>
      </c>
      <c r="M228" t="str">
        <f t="shared" si="37"/>
        <v/>
      </c>
      <c r="N228" t="str">
        <f t="shared" si="38"/>
        <v/>
      </c>
      <c r="O228" t="str">
        <f t="shared" si="39"/>
        <v/>
      </c>
      <c r="P228" t="str">
        <f>IF(OR(H228="",NOT(OR(LEFT(H228,1)="G",LEFT(H228,1)="R"))),"",IFERROR(VLOOKUP(MID(H228,3,1),Map!$G$2:$H$10,2,FALSE),""))</f>
        <v/>
      </c>
      <c r="Q228" t="str">
        <f>IF(A228="","",IFERROR(VLOOKUP(MID(A228,4,1),Map!$O$2:$P$10,2,FALSE),""))</f>
        <v/>
      </c>
    </row>
    <row r="229" spans="2:17" x14ac:dyDescent="0.25">
      <c r="B229" t="str">
        <f t="shared" si="30"/>
        <v/>
      </c>
      <c r="C229" t="str">
        <f t="shared" si="31"/>
        <v>**</v>
      </c>
      <c r="D229" t="str">
        <f t="shared" si="32"/>
        <v/>
      </c>
      <c r="E229" t="str">
        <f>IFERROR(VLOOKUP(MID(A229,7,2),Map!$A$2:$B$20,2,FALSE),"")</f>
        <v/>
      </c>
      <c r="F229" t="str">
        <f>IF(A229="","",IFERROR(VLOOKUP(MID(A229,9,2),Map!$R$2:$S$14,2,FALSE),""))</f>
        <v/>
      </c>
      <c r="G229" t="str">
        <f t="shared" si="33"/>
        <v/>
      </c>
      <c r="H229" t="str">
        <f t="shared" si="34"/>
        <v/>
      </c>
      <c r="I229" t="str">
        <f>IF(A229="","",IFERROR(VLOOKUP(LEFT(A229,1),Map!$D$2:$E$20,2,FALSE),""))</f>
        <v/>
      </c>
      <c r="J229" t="str">
        <f>IF(OR(H229="",NOT(OR(LEFT(H229,1)="G",LEFT(H229,1)="R"))),"",IFERROR(VLOOKUP(MID(H229,2,1),Map!$J$2:$M$10,2,FALSE),""))</f>
        <v/>
      </c>
      <c r="K229" t="str">
        <f t="shared" si="35"/>
        <v/>
      </c>
      <c r="L229" t="str">
        <f t="shared" si="36"/>
        <v/>
      </c>
      <c r="M229" t="str">
        <f t="shared" si="37"/>
        <v/>
      </c>
      <c r="N229" t="str">
        <f t="shared" si="38"/>
        <v/>
      </c>
      <c r="O229" t="str">
        <f t="shared" si="39"/>
        <v/>
      </c>
      <c r="P229" t="str">
        <f>IF(OR(H229="",NOT(OR(LEFT(H229,1)="G",LEFT(H229,1)="R"))),"",IFERROR(VLOOKUP(MID(H229,3,1),Map!$G$2:$H$10,2,FALSE),""))</f>
        <v/>
      </c>
      <c r="Q229" t="str">
        <f>IF(A229="","",IFERROR(VLOOKUP(MID(A229,4,1),Map!$O$2:$P$10,2,FALSE),""))</f>
        <v/>
      </c>
    </row>
    <row r="230" spans="2:17" x14ac:dyDescent="0.25">
      <c r="B230" t="str">
        <f t="shared" si="30"/>
        <v/>
      </c>
      <c r="C230" t="str">
        <f t="shared" si="31"/>
        <v>**</v>
      </c>
      <c r="D230" t="str">
        <f t="shared" si="32"/>
        <v/>
      </c>
      <c r="E230" t="str">
        <f>IFERROR(VLOOKUP(MID(A230,7,2),Map!$A$2:$B$20,2,FALSE),"")</f>
        <v/>
      </c>
      <c r="F230" t="str">
        <f>IF(A230="","",IFERROR(VLOOKUP(MID(A230,9,2),Map!$R$2:$S$14,2,FALSE),""))</f>
        <v/>
      </c>
      <c r="G230" t="str">
        <f t="shared" si="33"/>
        <v/>
      </c>
      <c r="H230" t="str">
        <f t="shared" si="34"/>
        <v/>
      </c>
      <c r="I230" t="str">
        <f>IF(A230="","",IFERROR(VLOOKUP(LEFT(A230,1),Map!$D$2:$E$20,2,FALSE),""))</f>
        <v/>
      </c>
      <c r="J230" t="str">
        <f>IF(OR(H230="",NOT(OR(LEFT(H230,1)="G",LEFT(H230,1)="R"))),"",IFERROR(VLOOKUP(MID(H230,2,1),Map!$J$2:$M$10,2,FALSE),""))</f>
        <v/>
      </c>
      <c r="K230" t="str">
        <f t="shared" si="35"/>
        <v/>
      </c>
      <c r="L230" t="str">
        <f t="shared" si="36"/>
        <v/>
      </c>
      <c r="M230" t="str">
        <f t="shared" si="37"/>
        <v/>
      </c>
      <c r="N230" t="str">
        <f t="shared" si="38"/>
        <v/>
      </c>
      <c r="O230" t="str">
        <f t="shared" si="39"/>
        <v/>
      </c>
      <c r="P230" t="str">
        <f>IF(OR(H230="",NOT(OR(LEFT(H230,1)="G",LEFT(H230,1)="R"))),"",IFERROR(VLOOKUP(MID(H230,3,1),Map!$G$2:$H$10,2,FALSE),""))</f>
        <v/>
      </c>
      <c r="Q230" t="str">
        <f>IF(A230="","",IFERROR(VLOOKUP(MID(A230,4,1),Map!$O$2:$P$10,2,FALSE),""))</f>
        <v/>
      </c>
    </row>
    <row r="231" spans="2:17" x14ac:dyDescent="0.25">
      <c r="B231" t="str">
        <f t="shared" si="30"/>
        <v/>
      </c>
      <c r="C231" t="str">
        <f t="shared" si="31"/>
        <v>**</v>
      </c>
      <c r="D231" t="str">
        <f t="shared" si="32"/>
        <v/>
      </c>
      <c r="E231" t="str">
        <f>IFERROR(VLOOKUP(MID(A231,7,2),Map!$A$2:$B$20,2,FALSE),"")</f>
        <v/>
      </c>
      <c r="F231" t="str">
        <f>IF(A231="","",IFERROR(VLOOKUP(MID(A231,9,2),Map!$R$2:$S$14,2,FALSE),""))</f>
        <v/>
      </c>
      <c r="G231" t="str">
        <f t="shared" si="33"/>
        <v/>
      </c>
      <c r="H231" t="str">
        <f t="shared" si="34"/>
        <v/>
      </c>
      <c r="I231" t="str">
        <f>IF(A231="","",IFERROR(VLOOKUP(LEFT(A231,1),Map!$D$2:$E$20,2,FALSE),""))</f>
        <v/>
      </c>
      <c r="J231" t="str">
        <f>IF(OR(H231="",NOT(OR(LEFT(H231,1)="G",LEFT(H231,1)="R"))),"",IFERROR(VLOOKUP(MID(H231,2,1),Map!$J$2:$M$10,2,FALSE),""))</f>
        <v/>
      </c>
      <c r="K231" t="str">
        <f t="shared" si="35"/>
        <v/>
      </c>
      <c r="L231" t="str">
        <f t="shared" si="36"/>
        <v/>
      </c>
      <c r="M231" t="str">
        <f t="shared" si="37"/>
        <v/>
      </c>
      <c r="N231" t="str">
        <f t="shared" si="38"/>
        <v/>
      </c>
      <c r="O231" t="str">
        <f t="shared" si="39"/>
        <v/>
      </c>
      <c r="P231" t="str">
        <f>IF(OR(H231="",NOT(OR(LEFT(H231,1)="G",LEFT(H231,1)="R"))),"",IFERROR(VLOOKUP(MID(H231,3,1),Map!$G$2:$H$10,2,FALSE),""))</f>
        <v/>
      </c>
      <c r="Q231" t="str">
        <f>IF(A231="","",IFERROR(VLOOKUP(MID(A231,4,1),Map!$O$2:$P$10,2,FALSE),""))</f>
        <v/>
      </c>
    </row>
    <row r="232" spans="2:17" x14ac:dyDescent="0.25">
      <c r="B232" t="str">
        <f t="shared" si="30"/>
        <v/>
      </c>
      <c r="C232" t="str">
        <f t="shared" si="31"/>
        <v>**</v>
      </c>
      <c r="D232" t="str">
        <f t="shared" si="32"/>
        <v/>
      </c>
      <c r="E232" t="str">
        <f>IFERROR(VLOOKUP(MID(A232,7,2),Map!$A$2:$B$20,2,FALSE),"")</f>
        <v/>
      </c>
      <c r="F232" t="str">
        <f>IF(A232="","",IFERROR(VLOOKUP(MID(A232,9,2),Map!$R$2:$S$14,2,FALSE),""))</f>
        <v/>
      </c>
      <c r="G232" t="str">
        <f t="shared" si="33"/>
        <v/>
      </c>
      <c r="H232" t="str">
        <f t="shared" si="34"/>
        <v/>
      </c>
      <c r="I232" t="str">
        <f>IF(A232="","",IFERROR(VLOOKUP(LEFT(A232,1),Map!$D$2:$E$20,2,FALSE),""))</f>
        <v/>
      </c>
      <c r="J232" t="str">
        <f>IF(OR(H232="",NOT(OR(LEFT(H232,1)="G",LEFT(H232,1)="R"))),"",IFERROR(VLOOKUP(MID(H232,2,1),Map!$J$2:$M$10,2,FALSE),""))</f>
        <v/>
      </c>
      <c r="K232" t="str">
        <f t="shared" si="35"/>
        <v/>
      </c>
      <c r="L232" t="str">
        <f t="shared" si="36"/>
        <v/>
      </c>
      <c r="M232" t="str">
        <f t="shared" si="37"/>
        <v/>
      </c>
      <c r="N232" t="str">
        <f t="shared" si="38"/>
        <v/>
      </c>
      <c r="O232" t="str">
        <f t="shared" si="39"/>
        <v/>
      </c>
      <c r="P232" t="str">
        <f>IF(OR(H232="",NOT(OR(LEFT(H232,1)="G",LEFT(H232,1)="R"))),"",IFERROR(VLOOKUP(MID(H232,3,1),Map!$G$2:$H$10,2,FALSE),""))</f>
        <v/>
      </c>
      <c r="Q232" t="str">
        <f>IF(A232="","",IFERROR(VLOOKUP(MID(A232,4,1),Map!$O$2:$P$10,2,FALSE),""))</f>
        <v/>
      </c>
    </row>
    <row r="233" spans="2:17" x14ac:dyDescent="0.25">
      <c r="B233" t="str">
        <f t="shared" si="30"/>
        <v/>
      </c>
      <c r="C233" t="str">
        <f t="shared" si="31"/>
        <v>**</v>
      </c>
      <c r="D233" t="str">
        <f t="shared" si="32"/>
        <v/>
      </c>
      <c r="E233" t="str">
        <f>IFERROR(VLOOKUP(MID(A233,7,2),Map!$A$2:$B$20,2,FALSE),"")</f>
        <v/>
      </c>
      <c r="F233" t="str">
        <f>IF(A233="","",IFERROR(VLOOKUP(MID(A233,9,2),Map!$R$2:$S$14,2,FALSE),""))</f>
        <v/>
      </c>
      <c r="G233" t="str">
        <f t="shared" si="33"/>
        <v/>
      </c>
      <c r="H233" t="str">
        <f t="shared" si="34"/>
        <v/>
      </c>
      <c r="I233" t="str">
        <f>IF(A233="","",IFERROR(VLOOKUP(LEFT(A233,1),Map!$D$2:$E$20,2,FALSE),""))</f>
        <v/>
      </c>
      <c r="J233" t="str">
        <f>IF(OR(H233="",NOT(OR(LEFT(H233,1)="G",LEFT(H233,1)="R"))),"",IFERROR(VLOOKUP(MID(H233,2,1),Map!$J$2:$M$10,2,FALSE),""))</f>
        <v/>
      </c>
      <c r="K233" t="str">
        <f t="shared" si="35"/>
        <v/>
      </c>
      <c r="L233" t="str">
        <f t="shared" si="36"/>
        <v/>
      </c>
      <c r="M233" t="str">
        <f t="shared" si="37"/>
        <v/>
      </c>
      <c r="N233" t="str">
        <f t="shared" si="38"/>
        <v/>
      </c>
      <c r="O233" t="str">
        <f t="shared" si="39"/>
        <v/>
      </c>
      <c r="P233" t="str">
        <f>IF(OR(H233="",NOT(OR(LEFT(H233,1)="G",LEFT(H233,1)="R"))),"",IFERROR(VLOOKUP(MID(H233,3,1),Map!$G$2:$H$10,2,FALSE),""))</f>
        <v/>
      </c>
      <c r="Q233" t="str">
        <f>IF(A233="","",IFERROR(VLOOKUP(MID(A233,4,1),Map!$O$2:$P$10,2,FALSE),""))</f>
        <v/>
      </c>
    </row>
    <row r="234" spans="2:17" x14ac:dyDescent="0.25">
      <c r="B234" t="str">
        <f t="shared" si="30"/>
        <v/>
      </c>
      <c r="C234" t="str">
        <f t="shared" si="31"/>
        <v>**</v>
      </c>
      <c r="D234" t="str">
        <f t="shared" si="32"/>
        <v/>
      </c>
      <c r="E234" t="str">
        <f>IFERROR(VLOOKUP(MID(A234,7,2),Map!$A$2:$B$20,2,FALSE),"")</f>
        <v/>
      </c>
      <c r="F234" t="str">
        <f>IF(A234="","",IFERROR(VLOOKUP(MID(A234,9,2),Map!$R$2:$S$14,2,FALSE),""))</f>
        <v/>
      </c>
      <c r="G234" t="str">
        <f t="shared" si="33"/>
        <v/>
      </c>
      <c r="H234" t="str">
        <f t="shared" si="34"/>
        <v/>
      </c>
      <c r="I234" t="str">
        <f>IF(A234="","",IFERROR(VLOOKUP(LEFT(A234,1),Map!$D$2:$E$20,2,FALSE),""))</f>
        <v/>
      </c>
      <c r="J234" t="str">
        <f>IF(OR(H234="",NOT(OR(LEFT(H234,1)="G",LEFT(H234,1)="R"))),"",IFERROR(VLOOKUP(MID(H234,2,1),Map!$J$2:$M$10,2,FALSE),""))</f>
        <v/>
      </c>
      <c r="K234" t="str">
        <f t="shared" si="35"/>
        <v/>
      </c>
      <c r="L234" t="str">
        <f t="shared" si="36"/>
        <v/>
      </c>
      <c r="M234" t="str">
        <f t="shared" si="37"/>
        <v/>
      </c>
      <c r="N234" t="str">
        <f t="shared" si="38"/>
        <v/>
      </c>
      <c r="O234" t="str">
        <f t="shared" si="39"/>
        <v/>
      </c>
      <c r="P234" t="str">
        <f>IF(OR(H234="",NOT(OR(LEFT(H234,1)="G",LEFT(H234,1)="R"))),"",IFERROR(VLOOKUP(MID(H234,3,1),Map!$G$2:$H$10,2,FALSE),""))</f>
        <v/>
      </c>
      <c r="Q234" t="str">
        <f>IF(A234="","",IFERROR(VLOOKUP(MID(A234,4,1),Map!$O$2:$P$10,2,FALSE),""))</f>
        <v/>
      </c>
    </row>
    <row r="235" spans="2:17" x14ac:dyDescent="0.25">
      <c r="B235" t="str">
        <f t="shared" si="30"/>
        <v/>
      </c>
      <c r="C235" t="str">
        <f t="shared" si="31"/>
        <v>**</v>
      </c>
      <c r="D235" t="str">
        <f t="shared" si="32"/>
        <v/>
      </c>
      <c r="E235" t="str">
        <f>IFERROR(VLOOKUP(MID(A235,7,2),Map!$A$2:$B$20,2,FALSE),"")</f>
        <v/>
      </c>
      <c r="F235" t="str">
        <f>IF(A235="","",IFERROR(VLOOKUP(MID(A235,9,2),Map!$R$2:$S$14,2,FALSE),""))</f>
        <v/>
      </c>
      <c r="G235" t="str">
        <f t="shared" si="33"/>
        <v/>
      </c>
      <c r="H235" t="str">
        <f t="shared" si="34"/>
        <v/>
      </c>
      <c r="I235" t="str">
        <f>IF(A235="","",IFERROR(VLOOKUP(LEFT(A235,1),Map!$D$2:$E$20,2,FALSE),""))</f>
        <v/>
      </c>
      <c r="J235" t="str">
        <f>IF(OR(H235="",NOT(OR(LEFT(H235,1)="G",LEFT(H235,1)="R"))),"",IFERROR(VLOOKUP(MID(H235,2,1),Map!$J$2:$M$10,2,FALSE),""))</f>
        <v/>
      </c>
      <c r="K235" t="str">
        <f t="shared" si="35"/>
        <v/>
      </c>
      <c r="L235" t="str">
        <f t="shared" si="36"/>
        <v/>
      </c>
      <c r="M235" t="str">
        <f t="shared" si="37"/>
        <v/>
      </c>
      <c r="N235" t="str">
        <f t="shared" si="38"/>
        <v/>
      </c>
      <c r="O235" t="str">
        <f t="shared" si="39"/>
        <v/>
      </c>
      <c r="P235" t="str">
        <f>IF(OR(H235="",NOT(OR(LEFT(H235,1)="G",LEFT(H235,1)="R"))),"",IFERROR(VLOOKUP(MID(H235,3,1),Map!$G$2:$H$10,2,FALSE),""))</f>
        <v/>
      </c>
      <c r="Q235" t="str">
        <f>IF(A235="","",IFERROR(VLOOKUP(MID(A235,4,1),Map!$O$2:$P$10,2,FALSE),""))</f>
        <v/>
      </c>
    </row>
    <row r="236" spans="2:17" x14ac:dyDescent="0.25">
      <c r="B236" t="str">
        <f t="shared" si="30"/>
        <v/>
      </c>
      <c r="C236" t="str">
        <f t="shared" si="31"/>
        <v>**</v>
      </c>
      <c r="D236" t="str">
        <f t="shared" si="32"/>
        <v/>
      </c>
      <c r="E236" t="str">
        <f>IFERROR(VLOOKUP(MID(A236,7,2),Map!$A$2:$B$20,2,FALSE),"")</f>
        <v/>
      </c>
      <c r="F236" t="str">
        <f>IF(A236="","",IFERROR(VLOOKUP(MID(A236,9,2),Map!$R$2:$S$14,2,FALSE),""))</f>
        <v/>
      </c>
      <c r="G236" t="str">
        <f t="shared" si="33"/>
        <v/>
      </c>
      <c r="H236" t="str">
        <f t="shared" si="34"/>
        <v/>
      </c>
      <c r="I236" t="str">
        <f>IF(A236="","",IFERROR(VLOOKUP(LEFT(A236,1),Map!$D$2:$E$20,2,FALSE),""))</f>
        <v/>
      </c>
      <c r="J236" t="str">
        <f>IF(OR(H236="",NOT(OR(LEFT(H236,1)="G",LEFT(H236,1)="R"))),"",IFERROR(VLOOKUP(MID(H236,2,1),Map!$J$2:$M$10,2,FALSE),""))</f>
        <v/>
      </c>
      <c r="K236" t="str">
        <f t="shared" si="35"/>
        <v/>
      </c>
      <c r="L236" t="str">
        <f t="shared" si="36"/>
        <v/>
      </c>
      <c r="M236" t="str">
        <f t="shared" si="37"/>
        <v/>
      </c>
      <c r="N236" t="str">
        <f t="shared" si="38"/>
        <v/>
      </c>
      <c r="O236" t="str">
        <f t="shared" si="39"/>
        <v/>
      </c>
      <c r="P236" t="str">
        <f>IF(OR(H236="",NOT(OR(LEFT(H236,1)="G",LEFT(H236,1)="R"))),"",IFERROR(VLOOKUP(MID(H236,3,1),Map!$G$2:$H$10,2,FALSE),""))</f>
        <v/>
      </c>
      <c r="Q236" t="str">
        <f>IF(A236="","",IFERROR(VLOOKUP(MID(A236,4,1),Map!$O$2:$P$10,2,FALSE),""))</f>
        <v/>
      </c>
    </row>
    <row r="237" spans="2:17" x14ac:dyDescent="0.25">
      <c r="B237" t="str">
        <f t="shared" si="30"/>
        <v/>
      </c>
      <c r="C237" t="str">
        <f t="shared" si="31"/>
        <v>**</v>
      </c>
      <c r="D237" t="str">
        <f t="shared" si="32"/>
        <v/>
      </c>
      <c r="E237" t="str">
        <f>IFERROR(VLOOKUP(MID(A237,7,2),Map!$A$2:$B$20,2,FALSE),"")</f>
        <v/>
      </c>
      <c r="F237" t="str">
        <f>IF(A237="","",IFERROR(VLOOKUP(MID(A237,9,2),Map!$R$2:$S$14,2,FALSE),""))</f>
        <v/>
      </c>
      <c r="G237" t="str">
        <f t="shared" si="33"/>
        <v/>
      </c>
      <c r="H237" t="str">
        <f t="shared" si="34"/>
        <v/>
      </c>
      <c r="I237" t="str">
        <f>IF(A237="","",IFERROR(VLOOKUP(LEFT(A237,1),Map!$D$2:$E$20,2,FALSE),""))</f>
        <v/>
      </c>
      <c r="J237" t="str">
        <f>IF(OR(H237="",NOT(OR(LEFT(H237,1)="G",LEFT(H237,1)="R"))),"",IFERROR(VLOOKUP(MID(H237,2,1),Map!$J$2:$M$10,2,FALSE),""))</f>
        <v/>
      </c>
      <c r="K237" t="str">
        <f t="shared" si="35"/>
        <v/>
      </c>
      <c r="L237" t="str">
        <f t="shared" si="36"/>
        <v/>
      </c>
      <c r="M237" t="str">
        <f t="shared" si="37"/>
        <v/>
      </c>
      <c r="N237" t="str">
        <f t="shared" si="38"/>
        <v/>
      </c>
      <c r="O237" t="str">
        <f t="shared" si="39"/>
        <v/>
      </c>
      <c r="P237" t="str">
        <f>IF(OR(H237="",NOT(OR(LEFT(H237,1)="G",LEFT(H237,1)="R"))),"",IFERROR(VLOOKUP(MID(H237,3,1),Map!$G$2:$H$10,2,FALSE),""))</f>
        <v/>
      </c>
      <c r="Q237" t="str">
        <f>IF(A237="","",IFERROR(VLOOKUP(MID(A237,4,1),Map!$O$2:$P$10,2,FALSE),""))</f>
        <v/>
      </c>
    </row>
    <row r="238" spans="2:17" x14ac:dyDescent="0.25">
      <c r="B238" t="str">
        <f t="shared" si="30"/>
        <v/>
      </c>
      <c r="C238" t="str">
        <f t="shared" si="31"/>
        <v>**</v>
      </c>
      <c r="D238" t="str">
        <f t="shared" si="32"/>
        <v/>
      </c>
      <c r="E238" t="str">
        <f>IFERROR(VLOOKUP(MID(A238,7,2),Map!$A$2:$B$20,2,FALSE),"")</f>
        <v/>
      </c>
      <c r="F238" t="str">
        <f>IF(A238="","",IFERROR(VLOOKUP(MID(A238,9,2),Map!$R$2:$S$14,2,FALSE),""))</f>
        <v/>
      </c>
      <c r="G238" t="str">
        <f t="shared" si="33"/>
        <v/>
      </c>
      <c r="H238" t="str">
        <f t="shared" si="34"/>
        <v/>
      </c>
      <c r="I238" t="str">
        <f>IF(A238="","",IFERROR(VLOOKUP(LEFT(A238,1),Map!$D$2:$E$20,2,FALSE),""))</f>
        <v/>
      </c>
      <c r="J238" t="str">
        <f>IF(OR(H238="",NOT(OR(LEFT(H238,1)="G",LEFT(H238,1)="R"))),"",IFERROR(VLOOKUP(MID(H238,2,1),Map!$J$2:$M$10,2,FALSE),""))</f>
        <v/>
      </c>
      <c r="K238" t="str">
        <f t="shared" si="35"/>
        <v/>
      </c>
      <c r="L238" t="str">
        <f t="shared" si="36"/>
        <v/>
      </c>
      <c r="M238" t="str">
        <f t="shared" si="37"/>
        <v/>
      </c>
      <c r="N238" t="str">
        <f t="shared" si="38"/>
        <v/>
      </c>
      <c r="O238" t="str">
        <f t="shared" si="39"/>
        <v/>
      </c>
      <c r="P238" t="str">
        <f>IF(OR(H238="",NOT(OR(LEFT(H238,1)="G",LEFT(H238,1)="R"))),"",IFERROR(VLOOKUP(MID(H238,3,1),Map!$G$2:$H$10,2,FALSE),""))</f>
        <v/>
      </c>
      <c r="Q238" t="str">
        <f>IF(A238="","",IFERROR(VLOOKUP(MID(A238,4,1),Map!$O$2:$P$10,2,FALSE),""))</f>
        <v/>
      </c>
    </row>
    <row r="239" spans="2:17" x14ac:dyDescent="0.25">
      <c r="B239" t="str">
        <f t="shared" si="30"/>
        <v/>
      </c>
      <c r="C239" t="str">
        <f t="shared" si="31"/>
        <v>**</v>
      </c>
      <c r="D239" t="str">
        <f t="shared" si="32"/>
        <v/>
      </c>
      <c r="E239" t="str">
        <f>IFERROR(VLOOKUP(MID(A239,7,2),Map!$A$2:$B$20,2,FALSE),"")</f>
        <v/>
      </c>
      <c r="F239" t="str">
        <f>IF(A239="","",IFERROR(VLOOKUP(MID(A239,9,2),Map!$R$2:$S$14,2,FALSE),""))</f>
        <v/>
      </c>
      <c r="G239" t="str">
        <f t="shared" si="33"/>
        <v/>
      </c>
      <c r="H239" t="str">
        <f t="shared" si="34"/>
        <v/>
      </c>
      <c r="I239" t="str">
        <f>IF(A239="","",IFERROR(VLOOKUP(LEFT(A239,1),Map!$D$2:$E$20,2,FALSE),""))</f>
        <v/>
      </c>
      <c r="J239" t="str">
        <f>IF(OR(H239="",NOT(OR(LEFT(H239,1)="G",LEFT(H239,1)="R"))),"",IFERROR(VLOOKUP(MID(H239,2,1),Map!$J$2:$M$10,2,FALSE),""))</f>
        <v/>
      </c>
      <c r="K239" t="str">
        <f t="shared" si="35"/>
        <v/>
      </c>
      <c r="L239" t="str">
        <f t="shared" si="36"/>
        <v/>
      </c>
      <c r="M239" t="str">
        <f t="shared" si="37"/>
        <v/>
      </c>
      <c r="N239" t="str">
        <f t="shared" si="38"/>
        <v/>
      </c>
      <c r="O239" t="str">
        <f t="shared" si="39"/>
        <v/>
      </c>
      <c r="P239" t="str">
        <f>IF(OR(H239="",NOT(OR(LEFT(H239,1)="G",LEFT(H239,1)="R"))),"",IFERROR(VLOOKUP(MID(H239,3,1),Map!$G$2:$H$10,2,FALSE),""))</f>
        <v/>
      </c>
      <c r="Q239" t="str">
        <f>IF(A239="","",IFERROR(VLOOKUP(MID(A239,4,1),Map!$O$2:$P$10,2,FALSE),""))</f>
        <v/>
      </c>
    </row>
    <row r="240" spans="2:17" x14ac:dyDescent="0.25">
      <c r="B240" t="str">
        <f t="shared" si="30"/>
        <v/>
      </c>
      <c r="C240" t="str">
        <f t="shared" si="31"/>
        <v>**</v>
      </c>
      <c r="D240" t="str">
        <f t="shared" si="32"/>
        <v/>
      </c>
      <c r="E240" t="str">
        <f>IFERROR(VLOOKUP(MID(A240,7,2),Map!$A$2:$B$20,2,FALSE),"")</f>
        <v/>
      </c>
      <c r="F240" t="str">
        <f>IF(A240="","",IFERROR(VLOOKUP(MID(A240,9,2),Map!$R$2:$S$14,2,FALSE),""))</f>
        <v/>
      </c>
      <c r="G240" t="str">
        <f t="shared" si="33"/>
        <v/>
      </c>
      <c r="H240" t="str">
        <f t="shared" si="34"/>
        <v/>
      </c>
      <c r="I240" t="str">
        <f>IF(A240="","",IFERROR(VLOOKUP(LEFT(A240,1),Map!$D$2:$E$20,2,FALSE),""))</f>
        <v/>
      </c>
      <c r="J240" t="str">
        <f>IF(OR(H240="",NOT(OR(LEFT(H240,1)="G",LEFT(H240,1)="R"))),"",IFERROR(VLOOKUP(MID(H240,2,1),Map!$J$2:$M$10,2,FALSE),""))</f>
        <v/>
      </c>
      <c r="K240" t="str">
        <f t="shared" si="35"/>
        <v/>
      </c>
      <c r="L240" t="str">
        <f t="shared" si="36"/>
        <v/>
      </c>
      <c r="M240" t="str">
        <f t="shared" si="37"/>
        <v/>
      </c>
      <c r="N240" t="str">
        <f t="shared" si="38"/>
        <v/>
      </c>
      <c r="O240" t="str">
        <f t="shared" si="39"/>
        <v/>
      </c>
      <c r="P240" t="str">
        <f>IF(OR(H240="",NOT(OR(LEFT(H240,1)="G",LEFT(H240,1)="R"))),"",IFERROR(VLOOKUP(MID(H240,3,1),Map!$G$2:$H$10,2,FALSE),""))</f>
        <v/>
      </c>
      <c r="Q240" t="str">
        <f>IF(A240="","",IFERROR(VLOOKUP(MID(A240,4,1),Map!$O$2:$P$10,2,FALSE),""))</f>
        <v/>
      </c>
    </row>
    <row r="241" spans="2:17" x14ac:dyDescent="0.25">
      <c r="B241" t="str">
        <f t="shared" si="30"/>
        <v/>
      </c>
      <c r="C241" t="str">
        <f t="shared" si="31"/>
        <v>**</v>
      </c>
      <c r="D241" t="str">
        <f t="shared" si="32"/>
        <v/>
      </c>
      <c r="E241" t="str">
        <f>IFERROR(VLOOKUP(MID(A241,7,2),Map!$A$2:$B$20,2,FALSE),"")</f>
        <v/>
      </c>
      <c r="F241" t="str">
        <f>IF(A241="","",IFERROR(VLOOKUP(MID(A241,9,2),Map!$R$2:$S$14,2,FALSE),""))</f>
        <v/>
      </c>
      <c r="G241" t="str">
        <f t="shared" si="33"/>
        <v/>
      </c>
      <c r="H241" t="str">
        <f t="shared" si="34"/>
        <v/>
      </c>
      <c r="I241" t="str">
        <f>IF(A241="","",IFERROR(VLOOKUP(LEFT(A241,1),Map!$D$2:$E$20,2,FALSE),""))</f>
        <v/>
      </c>
      <c r="J241" t="str">
        <f>IF(OR(H241="",NOT(OR(LEFT(H241,1)="G",LEFT(H241,1)="R"))),"",IFERROR(VLOOKUP(MID(H241,2,1),Map!$J$2:$M$10,2,FALSE),""))</f>
        <v/>
      </c>
      <c r="K241" t="str">
        <f t="shared" si="35"/>
        <v/>
      </c>
      <c r="L241" t="str">
        <f t="shared" si="36"/>
        <v/>
      </c>
      <c r="M241" t="str">
        <f t="shared" si="37"/>
        <v/>
      </c>
      <c r="N241" t="str">
        <f t="shared" si="38"/>
        <v/>
      </c>
      <c r="O241" t="str">
        <f t="shared" si="39"/>
        <v/>
      </c>
      <c r="P241" t="str">
        <f>IF(OR(H241="",NOT(OR(LEFT(H241,1)="G",LEFT(H241,1)="R"))),"",IFERROR(VLOOKUP(MID(H241,3,1),Map!$G$2:$H$10,2,FALSE),""))</f>
        <v/>
      </c>
      <c r="Q241" t="str">
        <f>IF(A241="","",IFERROR(VLOOKUP(MID(A241,4,1),Map!$O$2:$P$10,2,FALSE),""))</f>
        <v/>
      </c>
    </row>
    <row r="242" spans="2:17" x14ac:dyDescent="0.25">
      <c r="B242" t="str">
        <f t="shared" si="30"/>
        <v/>
      </c>
      <c r="C242" t="str">
        <f t="shared" si="31"/>
        <v>**</v>
      </c>
      <c r="D242" t="str">
        <f t="shared" si="32"/>
        <v/>
      </c>
      <c r="E242" t="str">
        <f>IFERROR(VLOOKUP(MID(A242,7,2),Map!$A$2:$B$20,2,FALSE),"")</f>
        <v/>
      </c>
      <c r="F242" t="str">
        <f>IF(A242="","",IFERROR(VLOOKUP(MID(A242,9,2),Map!$R$2:$S$14,2,FALSE),""))</f>
        <v/>
      </c>
      <c r="G242" t="str">
        <f t="shared" si="33"/>
        <v/>
      </c>
      <c r="H242" t="str">
        <f t="shared" si="34"/>
        <v/>
      </c>
      <c r="I242" t="str">
        <f>IF(A242="","",IFERROR(VLOOKUP(LEFT(A242,1),Map!$D$2:$E$20,2,FALSE),""))</f>
        <v/>
      </c>
      <c r="J242" t="str">
        <f>IF(OR(H242="",NOT(OR(LEFT(H242,1)="G",LEFT(H242,1)="R"))),"",IFERROR(VLOOKUP(MID(H242,2,1),Map!$J$2:$M$10,2,FALSE),""))</f>
        <v/>
      </c>
      <c r="K242" t="str">
        <f t="shared" si="35"/>
        <v/>
      </c>
      <c r="L242" t="str">
        <f t="shared" si="36"/>
        <v/>
      </c>
      <c r="M242" t="str">
        <f t="shared" si="37"/>
        <v/>
      </c>
      <c r="N242" t="str">
        <f t="shared" si="38"/>
        <v/>
      </c>
      <c r="O242" t="str">
        <f t="shared" si="39"/>
        <v/>
      </c>
      <c r="P242" t="str">
        <f>IF(OR(H242="",NOT(OR(LEFT(H242,1)="G",LEFT(H242,1)="R"))),"",IFERROR(VLOOKUP(MID(H242,3,1),Map!$G$2:$H$10,2,FALSE),""))</f>
        <v/>
      </c>
      <c r="Q242" t="str">
        <f>IF(A242="","",IFERROR(VLOOKUP(MID(A242,4,1),Map!$O$2:$P$10,2,FALSE),""))</f>
        <v/>
      </c>
    </row>
    <row r="243" spans="2:17" x14ac:dyDescent="0.25">
      <c r="B243" t="str">
        <f t="shared" si="30"/>
        <v/>
      </c>
      <c r="C243" t="str">
        <f t="shared" si="31"/>
        <v>**</v>
      </c>
      <c r="D243" t="str">
        <f t="shared" si="32"/>
        <v/>
      </c>
      <c r="E243" t="str">
        <f>IFERROR(VLOOKUP(MID(A243,7,2),Map!$A$2:$B$20,2,FALSE),"")</f>
        <v/>
      </c>
      <c r="F243" t="str">
        <f>IF(A243="","",IFERROR(VLOOKUP(MID(A243,9,2),Map!$R$2:$S$14,2,FALSE),""))</f>
        <v/>
      </c>
      <c r="G243" t="str">
        <f t="shared" si="33"/>
        <v/>
      </c>
      <c r="H243" t="str">
        <f t="shared" si="34"/>
        <v/>
      </c>
      <c r="I243" t="str">
        <f>IF(A243="","",IFERROR(VLOOKUP(LEFT(A243,1),Map!$D$2:$E$20,2,FALSE),""))</f>
        <v/>
      </c>
      <c r="J243" t="str">
        <f>IF(OR(H243="",NOT(OR(LEFT(H243,1)="G",LEFT(H243,1)="R"))),"",IFERROR(VLOOKUP(MID(H243,2,1),Map!$J$2:$M$10,2,FALSE),""))</f>
        <v/>
      </c>
      <c r="K243" t="str">
        <f t="shared" si="35"/>
        <v/>
      </c>
      <c r="L243" t="str">
        <f t="shared" si="36"/>
        <v/>
      </c>
      <c r="M243" t="str">
        <f t="shared" si="37"/>
        <v/>
      </c>
      <c r="N243" t="str">
        <f t="shared" si="38"/>
        <v/>
      </c>
      <c r="O243" t="str">
        <f t="shared" si="39"/>
        <v/>
      </c>
      <c r="P243" t="str">
        <f>IF(OR(H243="",NOT(OR(LEFT(H243,1)="G",LEFT(H243,1)="R"))),"",IFERROR(VLOOKUP(MID(H243,3,1),Map!$G$2:$H$10,2,FALSE),""))</f>
        <v/>
      </c>
      <c r="Q243" t="str">
        <f>IF(A243="","",IFERROR(VLOOKUP(MID(A243,4,1),Map!$O$2:$P$10,2,FALSE),""))</f>
        <v/>
      </c>
    </row>
    <row r="244" spans="2:17" x14ac:dyDescent="0.25">
      <c r="B244" t="str">
        <f t="shared" si="30"/>
        <v/>
      </c>
      <c r="C244" t="str">
        <f t="shared" si="31"/>
        <v>**</v>
      </c>
      <c r="D244" t="str">
        <f t="shared" si="32"/>
        <v/>
      </c>
      <c r="E244" t="str">
        <f>IFERROR(VLOOKUP(MID(A244,7,2),Map!$A$2:$B$20,2,FALSE),"")</f>
        <v/>
      </c>
      <c r="F244" t="str">
        <f>IF(A244="","",IFERROR(VLOOKUP(MID(A244,9,2),Map!$R$2:$S$14,2,FALSE),""))</f>
        <v/>
      </c>
      <c r="G244" t="str">
        <f t="shared" si="33"/>
        <v/>
      </c>
      <c r="H244" t="str">
        <f t="shared" si="34"/>
        <v/>
      </c>
      <c r="I244" t="str">
        <f>IF(A244="","",IFERROR(VLOOKUP(LEFT(A244,1),Map!$D$2:$E$20,2,FALSE),""))</f>
        <v/>
      </c>
      <c r="J244" t="str">
        <f>IF(OR(H244="",NOT(OR(LEFT(H244,1)="G",LEFT(H244,1)="R"))),"",IFERROR(VLOOKUP(MID(H244,2,1),Map!$J$2:$M$10,2,FALSE),""))</f>
        <v/>
      </c>
      <c r="K244" t="str">
        <f t="shared" si="35"/>
        <v/>
      </c>
      <c r="L244" t="str">
        <f t="shared" si="36"/>
        <v/>
      </c>
      <c r="M244" t="str">
        <f t="shared" si="37"/>
        <v/>
      </c>
      <c r="N244" t="str">
        <f t="shared" si="38"/>
        <v/>
      </c>
      <c r="O244" t="str">
        <f t="shared" si="39"/>
        <v/>
      </c>
      <c r="P244" t="str">
        <f>IF(OR(H244="",NOT(OR(LEFT(H244,1)="G",LEFT(H244,1)="R"))),"",IFERROR(VLOOKUP(MID(H244,3,1),Map!$G$2:$H$10,2,FALSE),""))</f>
        <v/>
      </c>
      <c r="Q244" t="str">
        <f>IF(A244="","",IFERROR(VLOOKUP(MID(A244,4,1),Map!$O$2:$P$10,2,FALSE),""))</f>
        <v/>
      </c>
    </row>
    <row r="245" spans="2:17" x14ac:dyDescent="0.25">
      <c r="B245" t="str">
        <f t="shared" si="30"/>
        <v/>
      </c>
      <c r="C245" t="str">
        <f t="shared" si="31"/>
        <v>**</v>
      </c>
      <c r="D245" t="str">
        <f t="shared" si="32"/>
        <v/>
      </c>
      <c r="E245" t="str">
        <f>IFERROR(VLOOKUP(MID(A245,7,2),Map!$A$2:$B$20,2,FALSE),"")</f>
        <v/>
      </c>
      <c r="F245" t="str">
        <f>IF(A245="","",IFERROR(VLOOKUP(MID(A245,9,2),Map!$R$2:$S$14,2,FALSE),""))</f>
        <v/>
      </c>
      <c r="G245" t="str">
        <f t="shared" si="33"/>
        <v/>
      </c>
      <c r="H245" t="str">
        <f t="shared" si="34"/>
        <v/>
      </c>
      <c r="I245" t="str">
        <f>IF(A245="","",IFERROR(VLOOKUP(LEFT(A245,1),Map!$D$2:$E$20,2,FALSE),""))</f>
        <v/>
      </c>
      <c r="J245" t="str">
        <f>IF(OR(H245="",NOT(OR(LEFT(H245,1)="G",LEFT(H245,1)="R"))),"",IFERROR(VLOOKUP(MID(H245,2,1),Map!$J$2:$M$10,2,FALSE),""))</f>
        <v/>
      </c>
      <c r="K245" t="str">
        <f t="shared" si="35"/>
        <v/>
      </c>
      <c r="L245" t="str">
        <f t="shared" si="36"/>
        <v/>
      </c>
      <c r="M245" t="str">
        <f t="shared" si="37"/>
        <v/>
      </c>
      <c r="N245" t="str">
        <f t="shared" si="38"/>
        <v/>
      </c>
      <c r="O245" t="str">
        <f t="shared" si="39"/>
        <v/>
      </c>
      <c r="P245" t="str">
        <f>IF(OR(H245="",NOT(OR(LEFT(H245,1)="G",LEFT(H245,1)="R"))),"",IFERROR(VLOOKUP(MID(H245,3,1),Map!$G$2:$H$10,2,FALSE),""))</f>
        <v/>
      </c>
      <c r="Q245" t="str">
        <f>IF(A245="","",IFERROR(VLOOKUP(MID(A245,4,1),Map!$O$2:$P$10,2,FALSE),""))</f>
        <v/>
      </c>
    </row>
    <row r="246" spans="2:17" x14ac:dyDescent="0.25">
      <c r="B246" t="str">
        <f t="shared" si="30"/>
        <v/>
      </c>
      <c r="C246" t="str">
        <f t="shared" si="31"/>
        <v>**</v>
      </c>
      <c r="D246" t="str">
        <f t="shared" si="32"/>
        <v/>
      </c>
      <c r="E246" t="str">
        <f>IFERROR(VLOOKUP(MID(A246,7,2),Map!$A$2:$B$20,2,FALSE),"")</f>
        <v/>
      </c>
      <c r="F246" t="str">
        <f>IF(A246="","",IFERROR(VLOOKUP(MID(A246,9,2),Map!$R$2:$S$14,2,FALSE),""))</f>
        <v/>
      </c>
      <c r="G246" t="str">
        <f t="shared" si="33"/>
        <v/>
      </c>
      <c r="H246" t="str">
        <f t="shared" si="34"/>
        <v/>
      </c>
      <c r="I246" t="str">
        <f>IF(A246="","",IFERROR(VLOOKUP(LEFT(A246,1),Map!$D$2:$E$20,2,FALSE),""))</f>
        <v/>
      </c>
      <c r="J246" t="str">
        <f>IF(OR(H246="",NOT(OR(LEFT(H246,1)="G",LEFT(H246,1)="R"))),"",IFERROR(VLOOKUP(MID(H246,2,1),Map!$J$2:$M$10,2,FALSE),""))</f>
        <v/>
      </c>
      <c r="K246" t="str">
        <f t="shared" si="35"/>
        <v/>
      </c>
      <c r="L246" t="str">
        <f t="shared" si="36"/>
        <v/>
      </c>
      <c r="M246" t="str">
        <f t="shared" si="37"/>
        <v/>
      </c>
      <c r="N246" t="str">
        <f t="shared" si="38"/>
        <v/>
      </c>
      <c r="O246" t="str">
        <f t="shared" si="39"/>
        <v/>
      </c>
      <c r="P246" t="str">
        <f>IF(OR(H246="",NOT(OR(LEFT(H246,1)="G",LEFT(H246,1)="R"))),"",IFERROR(VLOOKUP(MID(H246,3,1),Map!$G$2:$H$10,2,FALSE),""))</f>
        <v/>
      </c>
      <c r="Q246" t="str">
        <f>IF(A246="","",IFERROR(VLOOKUP(MID(A246,4,1),Map!$O$2:$P$10,2,FALSE),""))</f>
        <v/>
      </c>
    </row>
    <row r="247" spans="2:17" x14ac:dyDescent="0.25">
      <c r="B247" t="str">
        <f t="shared" si="30"/>
        <v/>
      </c>
      <c r="C247" t="str">
        <f t="shared" si="31"/>
        <v>**</v>
      </c>
      <c r="D247" t="str">
        <f t="shared" si="32"/>
        <v/>
      </c>
      <c r="E247" t="str">
        <f>IFERROR(VLOOKUP(MID(A247,7,2),Map!$A$2:$B$20,2,FALSE),"")</f>
        <v/>
      </c>
      <c r="F247" t="str">
        <f>IF(A247="","",IFERROR(VLOOKUP(MID(A247,9,2),Map!$R$2:$S$14,2,FALSE),""))</f>
        <v/>
      </c>
      <c r="G247" t="str">
        <f t="shared" si="33"/>
        <v/>
      </c>
      <c r="H247" t="str">
        <f t="shared" si="34"/>
        <v/>
      </c>
      <c r="I247" t="str">
        <f>IF(A247="","",IFERROR(VLOOKUP(LEFT(A247,1),Map!$D$2:$E$20,2,FALSE),""))</f>
        <v/>
      </c>
      <c r="J247" t="str">
        <f>IF(OR(H247="",NOT(OR(LEFT(H247,1)="G",LEFT(H247,1)="R"))),"",IFERROR(VLOOKUP(MID(H247,2,1),Map!$J$2:$M$10,2,FALSE),""))</f>
        <v/>
      </c>
      <c r="K247" t="str">
        <f t="shared" si="35"/>
        <v/>
      </c>
      <c r="L247" t="str">
        <f t="shared" si="36"/>
        <v/>
      </c>
      <c r="M247" t="str">
        <f t="shared" si="37"/>
        <v/>
      </c>
      <c r="N247" t="str">
        <f t="shared" si="38"/>
        <v/>
      </c>
      <c r="O247" t="str">
        <f t="shared" si="39"/>
        <v/>
      </c>
      <c r="P247" t="str">
        <f>IF(OR(H247="",NOT(OR(LEFT(H247,1)="G",LEFT(H247,1)="R"))),"",IFERROR(VLOOKUP(MID(H247,3,1),Map!$G$2:$H$10,2,FALSE),""))</f>
        <v/>
      </c>
      <c r="Q247" t="str">
        <f>IF(A247="","",IFERROR(VLOOKUP(MID(A247,4,1),Map!$O$2:$P$10,2,FALSE),""))</f>
        <v/>
      </c>
    </row>
    <row r="248" spans="2:17" x14ac:dyDescent="0.25">
      <c r="B248" t="str">
        <f t="shared" si="30"/>
        <v/>
      </c>
      <c r="C248" t="str">
        <f t="shared" si="31"/>
        <v>**</v>
      </c>
      <c r="D248" t="str">
        <f t="shared" si="32"/>
        <v/>
      </c>
      <c r="E248" t="str">
        <f>IFERROR(VLOOKUP(MID(A248,7,2),Map!$A$2:$B$20,2,FALSE),"")</f>
        <v/>
      </c>
      <c r="F248" t="str">
        <f>IF(A248="","",IFERROR(VLOOKUP(MID(A248,9,2),Map!$R$2:$S$14,2,FALSE),""))</f>
        <v/>
      </c>
      <c r="G248" t="str">
        <f t="shared" si="33"/>
        <v/>
      </c>
      <c r="H248" t="str">
        <f t="shared" si="34"/>
        <v/>
      </c>
      <c r="I248" t="str">
        <f>IF(A248="","",IFERROR(VLOOKUP(LEFT(A248,1),Map!$D$2:$E$20,2,FALSE),""))</f>
        <v/>
      </c>
      <c r="J248" t="str">
        <f>IF(OR(H248="",NOT(OR(LEFT(H248,1)="G",LEFT(H248,1)="R"))),"",IFERROR(VLOOKUP(MID(H248,2,1),Map!$J$2:$M$10,2,FALSE),""))</f>
        <v/>
      </c>
      <c r="K248" t="str">
        <f t="shared" si="35"/>
        <v/>
      </c>
      <c r="L248" t="str">
        <f t="shared" si="36"/>
        <v/>
      </c>
      <c r="M248" t="str">
        <f t="shared" si="37"/>
        <v/>
      </c>
      <c r="N248" t="str">
        <f t="shared" si="38"/>
        <v/>
      </c>
      <c r="O248" t="str">
        <f t="shared" si="39"/>
        <v/>
      </c>
      <c r="P248" t="str">
        <f>IF(OR(H248="",NOT(OR(LEFT(H248,1)="G",LEFT(H248,1)="R"))),"",IFERROR(VLOOKUP(MID(H248,3,1),Map!$G$2:$H$10,2,FALSE),""))</f>
        <v/>
      </c>
      <c r="Q248" t="str">
        <f>IF(A248="","",IFERROR(VLOOKUP(MID(A248,4,1),Map!$O$2:$P$10,2,FALSE),""))</f>
        <v/>
      </c>
    </row>
    <row r="249" spans="2:17" x14ac:dyDescent="0.25">
      <c r="B249" t="str">
        <f t="shared" si="30"/>
        <v/>
      </c>
      <c r="C249" t="str">
        <f t="shared" si="31"/>
        <v>**</v>
      </c>
      <c r="D249" t="str">
        <f t="shared" si="32"/>
        <v/>
      </c>
      <c r="E249" t="str">
        <f>IFERROR(VLOOKUP(MID(A249,7,2),Map!$A$2:$B$20,2,FALSE),"")</f>
        <v/>
      </c>
      <c r="F249" t="str">
        <f>IF(A249="","",IFERROR(VLOOKUP(MID(A249,9,2),Map!$R$2:$S$14,2,FALSE),""))</f>
        <v/>
      </c>
      <c r="G249" t="str">
        <f t="shared" si="33"/>
        <v/>
      </c>
      <c r="H249" t="str">
        <f t="shared" si="34"/>
        <v/>
      </c>
      <c r="I249" t="str">
        <f>IF(A249="","",IFERROR(VLOOKUP(LEFT(A249,1),Map!$D$2:$E$20,2,FALSE),""))</f>
        <v/>
      </c>
      <c r="J249" t="str">
        <f>IF(OR(H249="",NOT(OR(LEFT(H249,1)="G",LEFT(H249,1)="R"))),"",IFERROR(VLOOKUP(MID(H249,2,1),Map!$J$2:$M$10,2,FALSE),""))</f>
        <v/>
      </c>
      <c r="K249" t="str">
        <f t="shared" si="35"/>
        <v/>
      </c>
      <c r="L249" t="str">
        <f t="shared" si="36"/>
        <v/>
      </c>
      <c r="M249" t="str">
        <f t="shared" si="37"/>
        <v/>
      </c>
      <c r="N249" t="str">
        <f t="shared" si="38"/>
        <v/>
      </c>
      <c r="O249" t="str">
        <f t="shared" si="39"/>
        <v/>
      </c>
      <c r="P249" t="str">
        <f>IF(OR(H249="",NOT(OR(LEFT(H249,1)="G",LEFT(H249,1)="R"))),"",IFERROR(VLOOKUP(MID(H249,3,1),Map!$G$2:$H$10,2,FALSE),""))</f>
        <v/>
      </c>
      <c r="Q249" t="str">
        <f>IF(A249="","",IFERROR(VLOOKUP(MID(A249,4,1),Map!$O$2:$P$10,2,FALSE),""))</f>
        <v/>
      </c>
    </row>
    <row r="250" spans="2:17" x14ac:dyDescent="0.25">
      <c r="B250" t="str">
        <f t="shared" si="30"/>
        <v/>
      </c>
      <c r="C250" t="str">
        <f t="shared" si="31"/>
        <v>**</v>
      </c>
      <c r="D250" t="str">
        <f t="shared" si="32"/>
        <v/>
      </c>
      <c r="E250" t="str">
        <f>IFERROR(VLOOKUP(MID(A250,7,2),Map!$A$2:$B$20,2,FALSE),"")</f>
        <v/>
      </c>
      <c r="F250" t="str">
        <f>IF(A250="","",IFERROR(VLOOKUP(MID(A250,9,2),Map!$R$2:$S$14,2,FALSE),""))</f>
        <v/>
      </c>
      <c r="G250" t="str">
        <f t="shared" si="33"/>
        <v/>
      </c>
      <c r="H250" t="str">
        <f t="shared" si="34"/>
        <v/>
      </c>
      <c r="I250" t="str">
        <f>IF(A250="","",IFERROR(VLOOKUP(LEFT(A250,1),Map!$D$2:$E$20,2,FALSE),""))</f>
        <v/>
      </c>
      <c r="J250" t="str">
        <f>IF(OR(H250="",NOT(OR(LEFT(H250,1)="G",LEFT(H250,1)="R"))),"",IFERROR(VLOOKUP(MID(H250,2,1),Map!$J$2:$M$10,2,FALSE),""))</f>
        <v/>
      </c>
      <c r="K250" t="str">
        <f t="shared" si="35"/>
        <v/>
      </c>
      <c r="L250" t="str">
        <f t="shared" si="36"/>
        <v/>
      </c>
      <c r="M250" t="str">
        <f t="shared" si="37"/>
        <v/>
      </c>
      <c r="N250" t="str">
        <f t="shared" si="38"/>
        <v/>
      </c>
      <c r="O250" t="str">
        <f t="shared" si="39"/>
        <v/>
      </c>
      <c r="P250" t="str">
        <f>IF(OR(H250="",NOT(OR(LEFT(H250,1)="G",LEFT(H250,1)="R"))),"",IFERROR(VLOOKUP(MID(H250,3,1),Map!$G$2:$H$10,2,FALSE),""))</f>
        <v/>
      </c>
      <c r="Q250" t="str">
        <f>IF(A250="","",IFERROR(VLOOKUP(MID(A250,4,1),Map!$O$2:$P$10,2,FALSE),""))</f>
        <v/>
      </c>
    </row>
    <row r="251" spans="2:17" x14ac:dyDescent="0.25">
      <c r="B251" t="str">
        <f t="shared" si="30"/>
        <v/>
      </c>
      <c r="C251" t="str">
        <f t="shared" si="31"/>
        <v>**</v>
      </c>
      <c r="D251" t="str">
        <f t="shared" si="32"/>
        <v/>
      </c>
      <c r="E251" t="str">
        <f>IFERROR(VLOOKUP(MID(A251,7,2),Map!$A$2:$B$20,2,FALSE),"")</f>
        <v/>
      </c>
      <c r="F251" t="str">
        <f>IF(A251="","",IFERROR(VLOOKUP(MID(A251,9,2),Map!$R$2:$S$14,2,FALSE),""))</f>
        <v/>
      </c>
      <c r="G251" t="str">
        <f t="shared" si="33"/>
        <v/>
      </c>
      <c r="H251" t="str">
        <f t="shared" si="34"/>
        <v/>
      </c>
      <c r="I251" t="str">
        <f>IF(A251="","",IFERROR(VLOOKUP(LEFT(A251,1),Map!$D$2:$E$20,2,FALSE),""))</f>
        <v/>
      </c>
      <c r="J251" t="str">
        <f>IF(OR(H251="",NOT(OR(LEFT(H251,1)="G",LEFT(H251,1)="R"))),"",IFERROR(VLOOKUP(MID(H251,2,1),Map!$J$2:$M$10,2,FALSE),""))</f>
        <v/>
      </c>
      <c r="K251" t="str">
        <f t="shared" si="35"/>
        <v/>
      </c>
      <c r="L251" t="str">
        <f t="shared" si="36"/>
        <v/>
      </c>
      <c r="M251" t="str">
        <f t="shared" si="37"/>
        <v/>
      </c>
      <c r="N251" t="str">
        <f t="shared" si="38"/>
        <v/>
      </c>
      <c r="O251" t="str">
        <f t="shared" si="39"/>
        <v/>
      </c>
      <c r="P251" t="str">
        <f>IF(OR(H251="",NOT(OR(LEFT(H251,1)="G",LEFT(H251,1)="R"))),"",IFERROR(VLOOKUP(MID(H251,3,1),Map!$G$2:$H$10,2,FALSE),""))</f>
        <v/>
      </c>
      <c r="Q251" t="str">
        <f>IF(A251="","",IFERROR(VLOOKUP(MID(A251,4,1),Map!$O$2:$P$10,2,FALSE),""))</f>
        <v/>
      </c>
    </row>
    <row r="252" spans="2:17" x14ac:dyDescent="0.25">
      <c r="B252" t="str">
        <f t="shared" si="30"/>
        <v/>
      </c>
      <c r="C252" t="str">
        <f t="shared" si="31"/>
        <v>**</v>
      </c>
      <c r="D252" t="str">
        <f t="shared" si="32"/>
        <v/>
      </c>
      <c r="E252" t="str">
        <f>IFERROR(VLOOKUP(MID(A252,7,2),Map!$A$2:$B$20,2,FALSE),"")</f>
        <v/>
      </c>
      <c r="F252" t="str">
        <f>IF(A252="","",IFERROR(VLOOKUP(MID(A252,9,2),Map!$R$2:$S$14,2,FALSE),""))</f>
        <v/>
      </c>
      <c r="G252" t="str">
        <f t="shared" si="33"/>
        <v/>
      </c>
      <c r="H252" t="str">
        <f t="shared" si="34"/>
        <v/>
      </c>
      <c r="I252" t="str">
        <f>IF(A252="","",IFERROR(VLOOKUP(LEFT(A252,1),Map!$D$2:$E$20,2,FALSE),""))</f>
        <v/>
      </c>
      <c r="J252" t="str">
        <f>IF(OR(H252="",NOT(OR(LEFT(H252,1)="G",LEFT(H252,1)="R"))),"",IFERROR(VLOOKUP(MID(H252,2,1),Map!$J$2:$M$10,2,FALSE),""))</f>
        <v/>
      </c>
      <c r="K252" t="str">
        <f t="shared" si="35"/>
        <v/>
      </c>
      <c r="L252" t="str">
        <f t="shared" si="36"/>
        <v/>
      </c>
      <c r="M252" t="str">
        <f t="shared" si="37"/>
        <v/>
      </c>
      <c r="N252" t="str">
        <f t="shared" si="38"/>
        <v/>
      </c>
      <c r="O252" t="str">
        <f t="shared" si="39"/>
        <v/>
      </c>
      <c r="P252" t="str">
        <f>IF(OR(H252="",NOT(OR(LEFT(H252,1)="G",LEFT(H252,1)="R"))),"",IFERROR(VLOOKUP(MID(H252,3,1),Map!$G$2:$H$10,2,FALSE),""))</f>
        <v/>
      </c>
      <c r="Q252" t="str">
        <f>IF(A252="","",IFERROR(VLOOKUP(MID(A252,4,1),Map!$O$2:$P$10,2,FALSE),""))</f>
        <v/>
      </c>
    </row>
    <row r="253" spans="2:17" x14ac:dyDescent="0.25">
      <c r="B253" t="str">
        <f t="shared" si="30"/>
        <v/>
      </c>
      <c r="C253" t="str">
        <f t="shared" si="31"/>
        <v>**</v>
      </c>
      <c r="D253" t="str">
        <f t="shared" si="32"/>
        <v/>
      </c>
      <c r="E253" t="str">
        <f>IFERROR(VLOOKUP(MID(A253,7,2),Map!$A$2:$B$20,2,FALSE),"")</f>
        <v/>
      </c>
      <c r="F253" t="str">
        <f>IF(A253="","",IFERROR(VLOOKUP(MID(A253,9,2),Map!$R$2:$S$14,2,FALSE),""))</f>
        <v/>
      </c>
      <c r="G253" t="str">
        <f t="shared" si="33"/>
        <v/>
      </c>
      <c r="H253" t="str">
        <f t="shared" si="34"/>
        <v/>
      </c>
      <c r="I253" t="str">
        <f>IF(A253="","",IFERROR(VLOOKUP(LEFT(A253,1),Map!$D$2:$E$20,2,FALSE),""))</f>
        <v/>
      </c>
      <c r="J253" t="str">
        <f>IF(OR(H253="",NOT(OR(LEFT(H253,1)="G",LEFT(H253,1)="R"))),"",IFERROR(VLOOKUP(MID(H253,2,1),Map!$J$2:$M$10,2,FALSE),""))</f>
        <v/>
      </c>
      <c r="K253" t="str">
        <f t="shared" si="35"/>
        <v/>
      </c>
      <c r="L253" t="str">
        <f t="shared" si="36"/>
        <v/>
      </c>
      <c r="M253" t="str">
        <f t="shared" si="37"/>
        <v/>
      </c>
      <c r="N253" t="str">
        <f t="shared" si="38"/>
        <v/>
      </c>
      <c r="O253" t="str">
        <f t="shared" si="39"/>
        <v/>
      </c>
      <c r="P253" t="str">
        <f>IF(OR(H253="",NOT(OR(LEFT(H253,1)="G",LEFT(H253,1)="R"))),"",IFERROR(VLOOKUP(MID(H253,3,1),Map!$G$2:$H$10,2,FALSE),""))</f>
        <v/>
      </c>
      <c r="Q253" t="str">
        <f>IF(A253="","",IFERROR(VLOOKUP(MID(A253,4,1),Map!$O$2:$P$10,2,FALSE),""))</f>
        <v/>
      </c>
    </row>
    <row r="254" spans="2:17" x14ac:dyDescent="0.25">
      <c r="B254" t="str">
        <f t="shared" si="30"/>
        <v/>
      </c>
      <c r="C254" t="str">
        <f t="shared" si="31"/>
        <v>**</v>
      </c>
      <c r="D254" t="str">
        <f t="shared" si="32"/>
        <v/>
      </c>
      <c r="E254" t="str">
        <f>IFERROR(VLOOKUP(MID(A254,7,2),Map!$A$2:$B$20,2,FALSE),"")</f>
        <v/>
      </c>
      <c r="F254" t="str">
        <f>IF(A254="","",IFERROR(VLOOKUP(MID(A254,9,2),Map!$R$2:$S$14,2,FALSE),""))</f>
        <v/>
      </c>
      <c r="G254" t="str">
        <f t="shared" si="33"/>
        <v/>
      </c>
      <c r="H254" t="str">
        <f t="shared" si="34"/>
        <v/>
      </c>
      <c r="I254" t="str">
        <f>IF(A254="","",IFERROR(VLOOKUP(LEFT(A254,1),Map!$D$2:$E$20,2,FALSE),""))</f>
        <v/>
      </c>
      <c r="J254" t="str">
        <f>IF(OR(H254="",NOT(OR(LEFT(H254,1)="G",LEFT(H254,1)="R"))),"",IFERROR(VLOOKUP(MID(H254,2,1),Map!$J$2:$M$10,2,FALSE),""))</f>
        <v/>
      </c>
      <c r="K254" t="str">
        <f t="shared" si="35"/>
        <v/>
      </c>
      <c r="L254" t="str">
        <f t="shared" si="36"/>
        <v/>
      </c>
      <c r="M254" t="str">
        <f t="shared" si="37"/>
        <v/>
      </c>
      <c r="N254" t="str">
        <f t="shared" si="38"/>
        <v/>
      </c>
      <c r="O254" t="str">
        <f t="shared" si="39"/>
        <v/>
      </c>
      <c r="P254" t="str">
        <f>IF(OR(H254="",NOT(OR(LEFT(H254,1)="G",LEFT(H254,1)="R"))),"",IFERROR(VLOOKUP(MID(H254,3,1),Map!$G$2:$H$10,2,FALSE),""))</f>
        <v/>
      </c>
      <c r="Q254" t="str">
        <f>IF(A254="","",IFERROR(VLOOKUP(MID(A254,4,1),Map!$O$2:$P$10,2,FALSE),""))</f>
        <v/>
      </c>
    </row>
    <row r="255" spans="2:17" x14ac:dyDescent="0.25">
      <c r="B255" t="str">
        <f t="shared" si="30"/>
        <v/>
      </c>
      <c r="C255" t="str">
        <f t="shared" si="31"/>
        <v>**</v>
      </c>
      <c r="D255" t="str">
        <f t="shared" si="32"/>
        <v/>
      </c>
      <c r="E255" t="str">
        <f>IFERROR(VLOOKUP(MID(A255,7,2),Map!$A$2:$B$20,2,FALSE),"")</f>
        <v/>
      </c>
      <c r="F255" t="str">
        <f>IF(A255="","",IFERROR(VLOOKUP(MID(A255,9,2),Map!$R$2:$S$14,2,FALSE),""))</f>
        <v/>
      </c>
      <c r="G255" t="str">
        <f t="shared" si="33"/>
        <v/>
      </c>
      <c r="H255" t="str">
        <f t="shared" si="34"/>
        <v/>
      </c>
      <c r="I255" t="str">
        <f>IF(A255="","",IFERROR(VLOOKUP(LEFT(A255,1),Map!$D$2:$E$20,2,FALSE),""))</f>
        <v/>
      </c>
      <c r="J255" t="str">
        <f>IF(OR(H255="",NOT(OR(LEFT(H255,1)="G",LEFT(H255,1)="R"))),"",IFERROR(VLOOKUP(MID(H255,2,1),Map!$J$2:$M$10,2,FALSE),""))</f>
        <v/>
      </c>
      <c r="K255" t="str">
        <f t="shared" si="35"/>
        <v/>
      </c>
      <c r="L255" t="str">
        <f t="shared" si="36"/>
        <v/>
      </c>
      <c r="M255" t="str">
        <f t="shared" si="37"/>
        <v/>
      </c>
      <c r="N255" t="str">
        <f t="shared" si="38"/>
        <v/>
      </c>
      <c r="O255" t="str">
        <f t="shared" si="39"/>
        <v/>
      </c>
      <c r="P255" t="str">
        <f>IF(OR(H255="",NOT(OR(LEFT(H255,1)="G",LEFT(H255,1)="R"))),"",IFERROR(VLOOKUP(MID(H255,3,1),Map!$G$2:$H$10,2,FALSE),""))</f>
        <v/>
      </c>
      <c r="Q255" t="str">
        <f>IF(A255="","",IFERROR(VLOOKUP(MID(A255,4,1),Map!$O$2:$P$10,2,FALSE),""))</f>
        <v/>
      </c>
    </row>
    <row r="256" spans="2:17" x14ac:dyDescent="0.25">
      <c r="B256" t="str">
        <f t="shared" si="30"/>
        <v/>
      </c>
      <c r="C256" t="str">
        <f t="shared" si="31"/>
        <v>**</v>
      </c>
      <c r="D256" t="str">
        <f t="shared" si="32"/>
        <v/>
      </c>
      <c r="E256" t="str">
        <f>IFERROR(VLOOKUP(MID(A256,7,2),Map!$A$2:$B$20,2,FALSE),"")</f>
        <v/>
      </c>
      <c r="F256" t="str">
        <f>IF(A256="","",IFERROR(VLOOKUP(MID(A256,9,2),Map!$R$2:$S$14,2,FALSE),""))</f>
        <v/>
      </c>
      <c r="G256" t="str">
        <f t="shared" si="33"/>
        <v/>
      </c>
      <c r="H256" t="str">
        <f t="shared" si="34"/>
        <v/>
      </c>
      <c r="I256" t="str">
        <f>IF(A256="","",IFERROR(VLOOKUP(LEFT(A256,1),Map!$D$2:$E$20,2,FALSE),""))</f>
        <v/>
      </c>
      <c r="J256" t="str">
        <f>IF(OR(H256="",NOT(OR(LEFT(H256,1)="G",LEFT(H256,1)="R"))),"",IFERROR(VLOOKUP(MID(H256,2,1),Map!$J$2:$M$10,2,FALSE),""))</f>
        <v/>
      </c>
      <c r="K256" t="str">
        <f t="shared" si="35"/>
        <v/>
      </c>
      <c r="L256" t="str">
        <f t="shared" si="36"/>
        <v/>
      </c>
      <c r="M256" t="str">
        <f t="shared" si="37"/>
        <v/>
      </c>
      <c r="N256" t="str">
        <f t="shared" si="38"/>
        <v/>
      </c>
      <c r="O256" t="str">
        <f t="shared" si="39"/>
        <v/>
      </c>
      <c r="P256" t="str">
        <f>IF(OR(H256="",NOT(OR(LEFT(H256,1)="G",LEFT(H256,1)="R"))),"",IFERROR(VLOOKUP(MID(H256,3,1),Map!$G$2:$H$10,2,FALSE),""))</f>
        <v/>
      </c>
      <c r="Q256" t="str">
        <f>IF(A256="","",IFERROR(VLOOKUP(MID(A256,4,1),Map!$O$2:$P$10,2,FALSE),""))</f>
        <v/>
      </c>
    </row>
    <row r="257" spans="2:17" x14ac:dyDescent="0.25">
      <c r="B257" t="str">
        <f t="shared" si="30"/>
        <v/>
      </c>
      <c r="C257" t="str">
        <f t="shared" si="31"/>
        <v>**</v>
      </c>
      <c r="D257" t="str">
        <f t="shared" si="32"/>
        <v/>
      </c>
      <c r="E257" t="str">
        <f>IFERROR(VLOOKUP(MID(A257,7,2),Map!$A$2:$B$20,2,FALSE),"")</f>
        <v/>
      </c>
      <c r="F257" t="str">
        <f>IF(A257="","",IFERROR(VLOOKUP(MID(A257,9,2),Map!$R$2:$S$14,2,FALSE),""))</f>
        <v/>
      </c>
      <c r="G257" t="str">
        <f t="shared" si="33"/>
        <v/>
      </c>
      <c r="H257" t="str">
        <f t="shared" si="34"/>
        <v/>
      </c>
      <c r="I257" t="str">
        <f>IF(A257="","",IFERROR(VLOOKUP(LEFT(A257,1),Map!$D$2:$E$20,2,FALSE),""))</f>
        <v/>
      </c>
      <c r="J257" t="str">
        <f>IF(OR(H257="",NOT(OR(LEFT(H257,1)="G",LEFT(H257,1)="R"))),"",IFERROR(VLOOKUP(MID(H257,2,1),Map!$J$2:$M$10,2,FALSE),""))</f>
        <v/>
      </c>
      <c r="K257" t="str">
        <f t="shared" si="35"/>
        <v/>
      </c>
      <c r="L257" t="str">
        <f t="shared" si="36"/>
        <v/>
      </c>
      <c r="M257" t="str">
        <f t="shared" si="37"/>
        <v/>
      </c>
      <c r="N257" t="str">
        <f t="shared" si="38"/>
        <v/>
      </c>
      <c r="O257" t="str">
        <f t="shared" si="39"/>
        <v/>
      </c>
      <c r="P257" t="str">
        <f>IF(OR(H257="",NOT(OR(LEFT(H257,1)="G",LEFT(H257,1)="R"))),"",IFERROR(VLOOKUP(MID(H257,3,1),Map!$G$2:$H$10,2,FALSE),""))</f>
        <v/>
      </c>
      <c r="Q257" t="str">
        <f>IF(A257="","",IFERROR(VLOOKUP(MID(A257,4,1),Map!$O$2:$P$10,2,FALSE),""))</f>
        <v/>
      </c>
    </row>
    <row r="258" spans="2:17" x14ac:dyDescent="0.25">
      <c r="B258" t="str">
        <f t="shared" ref="B258:B321" si="40">LEFT(A258,4)</f>
        <v/>
      </c>
      <c r="C258" t="str">
        <f t="shared" ref="C258:C321" si="41">LEFT(A258,2)&amp;"**"</f>
        <v>**</v>
      </c>
      <c r="D258" t="str">
        <f t="shared" ref="D258:D321" si="42">MID(A258,5,2)</f>
        <v/>
      </c>
      <c r="E258" t="str">
        <f>IFERROR(VLOOKUP(MID(A258,7,2),Map!$A$2:$B$20,2,FALSE),"")</f>
        <v/>
      </c>
      <c r="F258" t="str">
        <f>IF(A258="","",IFERROR(VLOOKUP(MID(A258,9,2),Map!$R$2:$S$14,2,FALSE),""))</f>
        <v/>
      </c>
      <c r="G258" t="str">
        <f t="shared" ref="G258:G321" si="43">IFERROR(MID(A258,FIND("-",A258)+1,FIND("-",A258,FIND("-",A258)+1)-FIND("-",A258)-1),"")</f>
        <v/>
      </c>
      <c r="H258" t="str">
        <f t="shared" ref="H258:H321" si="44">IFERROR(RIGHT(A258,LEN(A258)-FIND("-",A258,FIND("-",A258)+1)),"")</f>
        <v/>
      </c>
      <c r="I258" t="str">
        <f>IF(A258="","",IFERROR(VLOOKUP(LEFT(A258,1),Map!$D$2:$E$20,2,FALSE),""))</f>
        <v/>
      </c>
      <c r="J258" t="str">
        <f>IF(OR(H258="",NOT(OR(LEFT(H258,1)="G",LEFT(H258,1)="R"))),"",IFERROR(VLOOKUP(MID(H258,2,1),Map!$J$2:$M$10,2,FALSE),""))</f>
        <v/>
      </c>
      <c r="K258" t="str">
        <f t="shared" ref="K258:K321" si="45">IF(OR(H258="",NOT(OR(LEFT(H258,1)="G",LEFT(H258,1)="R")),MID(H258,2,1)&lt;&gt;"A"),"","M")</f>
        <v/>
      </c>
      <c r="L258" t="str">
        <f t="shared" ref="L258:L321" si="46">IF(OR(H258="",NOT(OR(LEFT(H258,1)="G",LEFT(H258,1)="R")),MID(H258,2,1)&lt;&gt;"A"),"","K")</f>
        <v/>
      </c>
      <c r="M258" t="str">
        <f t="shared" ref="M258:M321" si="47">IF(OR(H258="",NOT(OR(LEFT(H258,1)="G",LEFT(H258,1)="R"))),"","")</f>
        <v/>
      </c>
      <c r="N258" t="str">
        <f t="shared" ref="N258:N321" si="48">IF(OR(H258="",NOT(OR(LEFT(H258,1)="G",LEFT(H258,1)="R"))),"","")</f>
        <v/>
      </c>
      <c r="O258" t="str">
        <f t="shared" ref="O258:O321" si="49">IF(OR(H258="",NOT(OR(LEFT(H258,1)="G",LEFT(H258,1)="R"))),"","")</f>
        <v/>
      </c>
      <c r="P258" t="str">
        <f>IF(OR(H258="",NOT(OR(LEFT(H258,1)="G",LEFT(H258,1)="R"))),"",IFERROR(VLOOKUP(MID(H258,3,1),Map!$G$2:$H$10,2,FALSE),""))</f>
        <v/>
      </c>
      <c r="Q258" t="str">
        <f>IF(A258="","",IFERROR(VLOOKUP(MID(A258,4,1),Map!$O$2:$P$10,2,FALSE),""))</f>
        <v/>
      </c>
    </row>
    <row r="259" spans="2:17" x14ac:dyDescent="0.25">
      <c r="B259" t="str">
        <f t="shared" si="40"/>
        <v/>
      </c>
      <c r="C259" t="str">
        <f t="shared" si="41"/>
        <v>**</v>
      </c>
      <c r="D259" t="str">
        <f t="shared" si="42"/>
        <v/>
      </c>
      <c r="E259" t="str">
        <f>IFERROR(VLOOKUP(MID(A259,7,2),Map!$A$2:$B$20,2,FALSE),"")</f>
        <v/>
      </c>
      <c r="F259" t="str">
        <f>IF(A259="","",IFERROR(VLOOKUP(MID(A259,9,2),Map!$R$2:$S$14,2,FALSE),""))</f>
        <v/>
      </c>
      <c r="G259" t="str">
        <f t="shared" si="43"/>
        <v/>
      </c>
      <c r="H259" t="str">
        <f t="shared" si="44"/>
        <v/>
      </c>
      <c r="I259" t="str">
        <f>IF(A259="","",IFERROR(VLOOKUP(LEFT(A259,1),Map!$D$2:$E$20,2,FALSE),""))</f>
        <v/>
      </c>
      <c r="J259" t="str">
        <f>IF(OR(H259="",NOT(OR(LEFT(H259,1)="G",LEFT(H259,1)="R"))),"",IFERROR(VLOOKUP(MID(H259,2,1),Map!$J$2:$M$10,2,FALSE),""))</f>
        <v/>
      </c>
      <c r="K259" t="str">
        <f t="shared" si="45"/>
        <v/>
      </c>
      <c r="L259" t="str">
        <f t="shared" si="46"/>
        <v/>
      </c>
      <c r="M259" t="str">
        <f t="shared" si="47"/>
        <v/>
      </c>
      <c r="N259" t="str">
        <f t="shared" si="48"/>
        <v/>
      </c>
      <c r="O259" t="str">
        <f t="shared" si="49"/>
        <v/>
      </c>
      <c r="P259" t="str">
        <f>IF(OR(H259="",NOT(OR(LEFT(H259,1)="G",LEFT(H259,1)="R"))),"",IFERROR(VLOOKUP(MID(H259,3,1),Map!$G$2:$H$10,2,FALSE),""))</f>
        <v/>
      </c>
      <c r="Q259" t="str">
        <f>IF(A259="","",IFERROR(VLOOKUP(MID(A259,4,1),Map!$O$2:$P$10,2,FALSE),""))</f>
        <v/>
      </c>
    </row>
    <row r="260" spans="2:17" x14ac:dyDescent="0.25">
      <c r="B260" t="str">
        <f t="shared" si="40"/>
        <v/>
      </c>
      <c r="C260" t="str">
        <f t="shared" si="41"/>
        <v>**</v>
      </c>
      <c r="D260" t="str">
        <f t="shared" si="42"/>
        <v/>
      </c>
      <c r="E260" t="str">
        <f>IFERROR(VLOOKUP(MID(A260,7,2),Map!$A$2:$B$20,2,FALSE),"")</f>
        <v/>
      </c>
      <c r="F260" t="str">
        <f>IF(A260="","",IFERROR(VLOOKUP(MID(A260,9,2),Map!$R$2:$S$14,2,FALSE),""))</f>
        <v/>
      </c>
      <c r="G260" t="str">
        <f t="shared" si="43"/>
        <v/>
      </c>
      <c r="H260" t="str">
        <f t="shared" si="44"/>
        <v/>
      </c>
      <c r="I260" t="str">
        <f>IF(A260="","",IFERROR(VLOOKUP(LEFT(A260,1),Map!$D$2:$E$20,2,FALSE),""))</f>
        <v/>
      </c>
      <c r="J260" t="str">
        <f>IF(OR(H260="",NOT(OR(LEFT(H260,1)="G",LEFT(H260,1)="R"))),"",IFERROR(VLOOKUP(MID(H260,2,1),Map!$J$2:$M$10,2,FALSE),""))</f>
        <v/>
      </c>
      <c r="K260" t="str">
        <f t="shared" si="45"/>
        <v/>
      </c>
      <c r="L260" t="str">
        <f t="shared" si="46"/>
        <v/>
      </c>
      <c r="M260" t="str">
        <f t="shared" si="47"/>
        <v/>
      </c>
      <c r="N260" t="str">
        <f t="shared" si="48"/>
        <v/>
      </c>
      <c r="O260" t="str">
        <f t="shared" si="49"/>
        <v/>
      </c>
      <c r="P260" t="str">
        <f>IF(OR(H260="",NOT(OR(LEFT(H260,1)="G",LEFT(H260,1)="R"))),"",IFERROR(VLOOKUP(MID(H260,3,1),Map!$G$2:$H$10,2,FALSE),""))</f>
        <v/>
      </c>
      <c r="Q260" t="str">
        <f>IF(A260="","",IFERROR(VLOOKUP(MID(A260,4,1),Map!$O$2:$P$10,2,FALSE),""))</f>
        <v/>
      </c>
    </row>
    <row r="261" spans="2:17" x14ac:dyDescent="0.25">
      <c r="B261" t="str">
        <f t="shared" si="40"/>
        <v/>
      </c>
      <c r="C261" t="str">
        <f t="shared" si="41"/>
        <v>**</v>
      </c>
      <c r="D261" t="str">
        <f t="shared" si="42"/>
        <v/>
      </c>
      <c r="E261" t="str">
        <f>IFERROR(VLOOKUP(MID(A261,7,2),Map!$A$2:$B$20,2,FALSE),"")</f>
        <v/>
      </c>
      <c r="F261" t="str">
        <f>IF(A261="","",IFERROR(VLOOKUP(MID(A261,9,2),Map!$R$2:$S$14,2,FALSE),""))</f>
        <v/>
      </c>
      <c r="G261" t="str">
        <f t="shared" si="43"/>
        <v/>
      </c>
      <c r="H261" t="str">
        <f t="shared" si="44"/>
        <v/>
      </c>
      <c r="I261" t="str">
        <f>IF(A261="","",IFERROR(VLOOKUP(LEFT(A261,1),Map!$D$2:$E$20,2,FALSE),""))</f>
        <v/>
      </c>
      <c r="J261" t="str">
        <f>IF(OR(H261="",NOT(OR(LEFT(H261,1)="G",LEFT(H261,1)="R"))),"",IFERROR(VLOOKUP(MID(H261,2,1),Map!$J$2:$M$10,2,FALSE),""))</f>
        <v/>
      </c>
      <c r="K261" t="str">
        <f t="shared" si="45"/>
        <v/>
      </c>
      <c r="L261" t="str">
        <f t="shared" si="46"/>
        <v/>
      </c>
      <c r="M261" t="str">
        <f t="shared" si="47"/>
        <v/>
      </c>
      <c r="N261" t="str">
        <f t="shared" si="48"/>
        <v/>
      </c>
      <c r="O261" t="str">
        <f t="shared" si="49"/>
        <v/>
      </c>
      <c r="P261" t="str">
        <f>IF(OR(H261="",NOT(OR(LEFT(H261,1)="G",LEFT(H261,1)="R"))),"",IFERROR(VLOOKUP(MID(H261,3,1),Map!$G$2:$H$10,2,FALSE),""))</f>
        <v/>
      </c>
      <c r="Q261" t="str">
        <f>IF(A261="","",IFERROR(VLOOKUP(MID(A261,4,1),Map!$O$2:$P$10,2,FALSE),""))</f>
        <v/>
      </c>
    </row>
    <row r="262" spans="2:17" x14ac:dyDescent="0.25">
      <c r="B262" t="str">
        <f t="shared" si="40"/>
        <v/>
      </c>
      <c r="C262" t="str">
        <f t="shared" si="41"/>
        <v>**</v>
      </c>
      <c r="D262" t="str">
        <f t="shared" si="42"/>
        <v/>
      </c>
      <c r="E262" t="str">
        <f>IFERROR(VLOOKUP(MID(A262,7,2),Map!$A$2:$B$20,2,FALSE),"")</f>
        <v/>
      </c>
      <c r="F262" t="str">
        <f>IF(A262="","",IFERROR(VLOOKUP(MID(A262,9,2),Map!$R$2:$S$14,2,FALSE),""))</f>
        <v/>
      </c>
      <c r="G262" t="str">
        <f t="shared" si="43"/>
        <v/>
      </c>
      <c r="H262" t="str">
        <f t="shared" si="44"/>
        <v/>
      </c>
      <c r="I262" t="str">
        <f>IF(A262="","",IFERROR(VLOOKUP(LEFT(A262,1),Map!$D$2:$E$20,2,FALSE),""))</f>
        <v/>
      </c>
      <c r="J262" t="str">
        <f>IF(OR(H262="",NOT(OR(LEFT(H262,1)="G",LEFT(H262,1)="R"))),"",IFERROR(VLOOKUP(MID(H262,2,1),Map!$J$2:$M$10,2,FALSE),""))</f>
        <v/>
      </c>
      <c r="K262" t="str">
        <f t="shared" si="45"/>
        <v/>
      </c>
      <c r="L262" t="str">
        <f t="shared" si="46"/>
        <v/>
      </c>
      <c r="M262" t="str">
        <f t="shared" si="47"/>
        <v/>
      </c>
      <c r="N262" t="str">
        <f t="shared" si="48"/>
        <v/>
      </c>
      <c r="O262" t="str">
        <f t="shared" si="49"/>
        <v/>
      </c>
      <c r="P262" t="str">
        <f>IF(OR(H262="",NOT(OR(LEFT(H262,1)="G",LEFT(H262,1)="R"))),"",IFERROR(VLOOKUP(MID(H262,3,1),Map!$G$2:$H$10,2,FALSE),""))</f>
        <v/>
      </c>
      <c r="Q262" t="str">
        <f>IF(A262="","",IFERROR(VLOOKUP(MID(A262,4,1),Map!$O$2:$P$10,2,FALSE),""))</f>
        <v/>
      </c>
    </row>
    <row r="263" spans="2:17" x14ac:dyDescent="0.25">
      <c r="B263" t="str">
        <f t="shared" si="40"/>
        <v/>
      </c>
      <c r="C263" t="str">
        <f t="shared" si="41"/>
        <v>**</v>
      </c>
      <c r="D263" t="str">
        <f t="shared" si="42"/>
        <v/>
      </c>
      <c r="E263" t="str">
        <f>IFERROR(VLOOKUP(MID(A263,7,2),Map!$A$2:$B$20,2,FALSE),"")</f>
        <v/>
      </c>
      <c r="F263" t="str">
        <f>IF(A263="","",IFERROR(VLOOKUP(MID(A263,9,2),Map!$R$2:$S$14,2,FALSE),""))</f>
        <v/>
      </c>
      <c r="G263" t="str">
        <f t="shared" si="43"/>
        <v/>
      </c>
      <c r="H263" t="str">
        <f t="shared" si="44"/>
        <v/>
      </c>
      <c r="I263" t="str">
        <f>IF(A263="","",IFERROR(VLOOKUP(LEFT(A263,1),Map!$D$2:$E$20,2,FALSE),""))</f>
        <v/>
      </c>
      <c r="J263" t="str">
        <f>IF(OR(H263="",NOT(OR(LEFT(H263,1)="G",LEFT(H263,1)="R"))),"",IFERROR(VLOOKUP(MID(H263,2,1),Map!$J$2:$M$10,2,FALSE),""))</f>
        <v/>
      </c>
      <c r="K263" t="str">
        <f t="shared" si="45"/>
        <v/>
      </c>
      <c r="L263" t="str">
        <f t="shared" si="46"/>
        <v/>
      </c>
      <c r="M263" t="str">
        <f t="shared" si="47"/>
        <v/>
      </c>
      <c r="N263" t="str">
        <f t="shared" si="48"/>
        <v/>
      </c>
      <c r="O263" t="str">
        <f t="shared" si="49"/>
        <v/>
      </c>
      <c r="P263" t="str">
        <f>IF(OR(H263="",NOT(OR(LEFT(H263,1)="G",LEFT(H263,1)="R"))),"",IFERROR(VLOOKUP(MID(H263,3,1),Map!$G$2:$H$10,2,FALSE),""))</f>
        <v/>
      </c>
      <c r="Q263" t="str">
        <f>IF(A263="","",IFERROR(VLOOKUP(MID(A263,4,1),Map!$O$2:$P$10,2,FALSE),""))</f>
        <v/>
      </c>
    </row>
    <row r="264" spans="2:17" x14ac:dyDescent="0.25">
      <c r="B264" t="str">
        <f t="shared" si="40"/>
        <v/>
      </c>
      <c r="C264" t="str">
        <f t="shared" si="41"/>
        <v>**</v>
      </c>
      <c r="D264" t="str">
        <f t="shared" si="42"/>
        <v/>
      </c>
      <c r="E264" t="str">
        <f>IFERROR(VLOOKUP(MID(A264,7,2),Map!$A$2:$B$20,2,FALSE),"")</f>
        <v/>
      </c>
      <c r="F264" t="str">
        <f>IF(A264="","",IFERROR(VLOOKUP(MID(A264,9,2),Map!$R$2:$S$14,2,FALSE),""))</f>
        <v/>
      </c>
      <c r="G264" t="str">
        <f t="shared" si="43"/>
        <v/>
      </c>
      <c r="H264" t="str">
        <f t="shared" si="44"/>
        <v/>
      </c>
      <c r="I264" t="str">
        <f>IF(A264="","",IFERROR(VLOOKUP(LEFT(A264,1),Map!$D$2:$E$20,2,FALSE),""))</f>
        <v/>
      </c>
      <c r="J264" t="str">
        <f>IF(OR(H264="",NOT(OR(LEFT(H264,1)="G",LEFT(H264,1)="R"))),"",IFERROR(VLOOKUP(MID(H264,2,1),Map!$J$2:$M$10,2,FALSE),""))</f>
        <v/>
      </c>
      <c r="K264" t="str">
        <f t="shared" si="45"/>
        <v/>
      </c>
      <c r="L264" t="str">
        <f t="shared" si="46"/>
        <v/>
      </c>
      <c r="M264" t="str">
        <f t="shared" si="47"/>
        <v/>
      </c>
      <c r="N264" t="str">
        <f t="shared" si="48"/>
        <v/>
      </c>
      <c r="O264" t="str">
        <f t="shared" si="49"/>
        <v/>
      </c>
      <c r="P264" t="str">
        <f>IF(OR(H264="",NOT(OR(LEFT(H264,1)="G",LEFT(H264,1)="R"))),"",IFERROR(VLOOKUP(MID(H264,3,1),Map!$G$2:$H$10,2,FALSE),""))</f>
        <v/>
      </c>
      <c r="Q264" t="str">
        <f>IF(A264="","",IFERROR(VLOOKUP(MID(A264,4,1),Map!$O$2:$P$10,2,FALSE),""))</f>
        <v/>
      </c>
    </row>
    <row r="265" spans="2:17" x14ac:dyDescent="0.25">
      <c r="B265" t="str">
        <f t="shared" si="40"/>
        <v/>
      </c>
      <c r="C265" t="str">
        <f t="shared" si="41"/>
        <v>**</v>
      </c>
      <c r="D265" t="str">
        <f t="shared" si="42"/>
        <v/>
      </c>
      <c r="E265" t="str">
        <f>IFERROR(VLOOKUP(MID(A265,7,2),Map!$A$2:$B$20,2,FALSE),"")</f>
        <v/>
      </c>
      <c r="F265" t="str">
        <f>IF(A265="","",IFERROR(VLOOKUP(MID(A265,9,2),Map!$R$2:$S$14,2,FALSE),""))</f>
        <v/>
      </c>
      <c r="G265" t="str">
        <f t="shared" si="43"/>
        <v/>
      </c>
      <c r="H265" t="str">
        <f t="shared" si="44"/>
        <v/>
      </c>
      <c r="I265" t="str">
        <f>IF(A265="","",IFERROR(VLOOKUP(LEFT(A265,1),Map!$D$2:$E$20,2,FALSE),""))</f>
        <v/>
      </c>
      <c r="J265" t="str">
        <f>IF(OR(H265="",NOT(OR(LEFT(H265,1)="G",LEFT(H265,1)="R"))),"",IFERROR(VLOOKUP(MID(H265,2,1),Map!$J$2:$M$10,2,FALSE),""))</f>
        <v/>
      </c>
      <c r="K265" t="str">
        <f t="shared" si="45"/>
        <v/>
      </c>
      <c r="L265" t="str">
        <f t="shared" si="46"/>
        <v/>
      </c>
      <c r="M265" t="str">
        <f t="shared" si="47"/>
        <v/>
      </c>
      <c r="N265" t="str">
        <f t="shared" si="48"/>
        <v/>
      </c>
      <c r="O265" t="str">
        <f t="shared" si="49"/>
        <v/>
      </c>
      <c r="P265" t="str">
        <f>IF(OR(H265="",NOT(OR(LEFT(H265,1)="G",LEFT(H265,1)="R"))),"",IFERROR(VLOOKUP(MID(H265,3,1),Map!$G$2:$H$10,2,FALSE),""))</f>
        <v/>
      </c>
      <c r="Q265" t="str">
        <f>IF(A265="","",IFERROR(VLOOKUP(MID(A265,4,1),Map!$O$2:$P$10,2,FALSE),""))</f>
        <v/>
      </c>
    </row>
    <row r="266" spans="2:17" x14ac:dyDescent="0.25">
      <c r="B266" t="str">
        <f t="shared" si="40"/>
        <v/>
      </c>
      <c r="C266" t="str">
        <f t="shared" si="41"/>
        <v>**</v>
      </c>
      <c r="D266" t="str">
        <f t="shared" si="42"/>
        <v/>
      </c>
      <c r="E266" t="str">
        <f>IFERROR(VLOOKUP(MID(A266,7,2),Map!$A$2:$B$20,2,FALSE),"")</f>
        <v/>
      </c>
      <c r="F266" t="str">
        <f>IF(A266="","",IFERROR(VLOOKUP(MID(A266,9,2),Map!$R$2:$S$14,2,FALSE),""))</f>
        <v/>
      </c>
      <c r="G266" t="str">
        <f t="shared" si="43"/>
        <v/>
      </c>
      <c r="H266" t="str">
        <f t="shared" si="44"/>
        <v/>
      </c>
      <c r="I266" t="str">
        <f>IF(A266="","",IFERROR(VLOOKUP(LEFT(A266,1),Map!$D$2:$E$20,2,FALSE),""))</f>
        <v/>
      </c>
      <c r="J266" t="str">
        <f>IF(OR(H266="",NOT(OR(LEFT(H266,1)="G",LEFT(H266,1)="R"))),"",IFERROR(VLOOKUP(MID(H266,2,1),Map!$J$2:$M$10,2,FALSE),""))</f>
        <v/>
      </c>
      <c r="K266" t="str">
        <f t="shared" si="45"/>
        <v/>
      </c>
      <c r="L266" t="str">
        <f t="shared" si="46"/>
        <v/>
      </c>
      <c r="M266" t="str">
        <f t="shared" si="47"/>
        <v/>
      </c>
      <c r="N266" t="str">
        <f t="shared" si="48"/>
        <v/>
      </c>
      <c r="O266" t="str">
        <f t="shared" si="49"/>
        <v/>
      </c>
      <c r="P266" t="str">
        <f>IF(OR(H266="",NOT(OR(LEFT(H266,1)="G",LEFT(H266,1)="R"))),"",IFERROR(VLOOKUP(MID(H266,3,1),Map!$G$2:$H$10,2,FALSE),""))</f>
        <v/>
      </c>
      <c r="Q266" t="str">
        <f>IF(A266="","",IFERROR(VLOOKUP(MID(A266,4,1),Map!$O$2:$P$10,2,FALSE),""))</f>
        <v/>
      </c>
    </row>
    <row r="267" spans="2:17" x14ac:dyDescent="0.25">
      <c r="B267" t="str">
        <f t="shared" si="40"/>
        <v/>
      </c>
      <c r="C267" t="str">
        <f t="shared" si="41"/>
        <v>**</v>
      </c>
      <c r="D267" t="str">
        <f t="shared" si="42"/>
        <v/>
      </c>
      <c r="E267" t="str">
        <f>IFERROR(VLOOKUP(MID(A267,7,2),Map!$A$2:$B$20,2,FALSE),"")</f>
        <v/>
      </c>
      <c r="F267" t="str">
        <f>IF(A267="","",IFERROR(VLOOKUP(MID(A267,9,2),Map!$R$2:$S$14,2,FALSE),""))</f>
        <v/>
      </c>
      <c r="G267" t="str">
        <f t="shared" si="43"/>
        <v/>
      </c>
      <c r="H267" t="str">
        <f t="shared" si="44"/>
        <v/>
      </c>
      <c r="I267" t="str">
        <f>IF(A267="","",IFERROR(VLOOKUP(LEFT(A267,1),Map!$D$2:$E$20,2,FALSE),""))</f>
        <v/>
      </c>
      <c r="J267" t="str">
        <f>IF(OR(H267="",NOT(OR(LEFT(H267,1)="G",LEFT(H267,1)="R"))),"",IFERROR(VLOOKUP(MID(H267,2,1),Map!$J$2:$M$10,2,FALSE),""))</f>
        <v/>
      </c>
      <c r="K267" t="str">
        <f t="shared" si="45"/>
        <v/>
      </c>
      <c r="L267" t="str">
        <f t="shared" si="46"/>
        <v/>
      </c>
      <c r="M267" t="str">
        <f t="shared" si="47"/>
        <v/>
      </c>
      <c r="N267" t="str">
        <f t="shared" si="48"/>
        <v/>
      </c>
      <c r="O267" t="str">
        <f t="shared" si="49"/>
        <v/>
      </c>
      <c r="P267" t="str">
        <f>IF(OR(H267="",NOT(OR(LEFT(H267,1)="G",LEFT(H267,1)="R"))),"",IFERROR(VLOOKUP(MID(H267,3,1),Map!$G$2:$H$10,2,FALSE),""))</f>
        <v/>
      </c>
      <c r="Q267" t="str">
        <f>IF(A267="","",IFERROR(VLOOKUP(MID(A267,4,1),Map!$O$2:$P$10,2,FALSE),""))</f>
        <v/>
      </c>
    </row>
    <row r="268" spans="2:17" x14ac:dyDescent="0.25">
      <c r="B268" t="str">
        <f t="shared" si="40"/>
        <v/>
      </c>
      <c r="C268" t="str">
        <f t="shared" si="41"/>
        <v>**</v>
      </c>
      <c r="D268" t="str">
        <f t="shared" si="42"/>
        <v/>
      </c>
      <c r="E268" t="str">
        <f>IFERROR(VLOOKUP(MID(A268,7,2),Map!$A$2:$B$20,2,FALSE),"")</f>
        <v/>
      </c>
      <c r="F268" t="str">
        <f>IF(A268="","",IFERROR(VLOOKUP(MID(A268,9,2),Map!$R$2:$S$14,2,FALSE),""))</f>
        <v/>
      </c>
      <c r="G268" t="str">
        <f t="shared" si="43"/>
        <v/>
      </c>
      <c r="H268" t="str">
        <f t="shared" si="44"/>
        <v/>
      </c>
      <c r="I268" t="str">
        <f>IF(A268="","",IFERROR(VLOOKUP(LEFT(A268,1),Map!$D$2:$E$20,2,FALSE),""))</f>
        <v/>
      </c>
      <c r="J268" t="str">
        <f>IF(OR(H268="",NOT(OR(LEFT(H268,1)="G",LEFT(H268,1)="R"))),"",IFERROR(VLOOKUP(MID(H268,2,1),Map!$J$2:$M$10,2,FALSE),""))</f>
        <v/>
      </c>
      <c r="K268" t="str">
        <f t="shared" si="45"/>
        <v/>
      </c>
      <c r="L268" t="str">
        <f t="shared" si="46"/>
        <v/>
      </c>
      <c r="M268" t="str">
        <f t="shared" si="47"/>
        <v/>
      </c>
      <c r="N268" t="str">
        <f t="shared" si="48"/>
        <v/>
      </c>
      <c r="O268" t="str">
        <f t="shared" si="49"/>
        <v/>
      </c>
      <c r="P268" t="str">
        <f>IF(OR(H268="",NOT(OR(LEFT(H268,1)="G",LEFT(H268,1)="R"))),"",IFERROR(VLOOKUP(MID(H268,3,1),Map!$G$2:$H$10,2,FALSE),""))</f>
        <v/>
      </c>
      <c r="Q268" t="str">
        <f>IF(A268="","",IFERROR(VLOOKUP(MID(A268,4,1),Map!$O$2:$P$10,2,FALSE),""))</f>
        <v/>
      </c>
    </row>
    <row r="269" spans="2:17" x14ac:dyDescent="0.25">
      <c r="B269" t="str">
        <f t="shared" si="40"/>
        <v/>
      </c>
      <c r="C269" t="str">
        <f t="shared" si="41"/>
        <v>**</v>
      </c>
      <c r="D269" t="str">
        <f t="shared" si="42"/>
        <v/>
      </c>
      <c r="E269" t="str">
        <f>IFERROR(VLOOKUP(MID(A269,7,2),Map!$A$2:$B$20,2,FALSE),"")</f>
        <v/>
      </c>
      <c r="F269" t="str">
        <f>IF(A269="","",IFERROR(VLOOKUP(MID(A269,9,2),Map!$R$2:$S$14,2,FALSE),""))</f>
        <v/>
      </c>
      <c r="G269" t="str">
        <f t="shared" si="43"/>
        <v/>
      </c>
      <c r="H269" t="str">
        <f t="shared" si="44"/>
        <v/>
      </c>
      <c r="I269" t="str">
        <f>IF(A269="","",IFERROR(VLOOKUP(LEFT(A269,1),Map!$D$2:$E$20,2,FALSE),""))</f>
        <v/>
      </c>
      <c r="J269" t="str">
        <f>IF(OR(H269="",NOT(OR(LEFT(H269,1)="G",LEFT(H269,1)="R"))),"",IFERROR(VLOOKUP(MID(H269,2,1),Map!$J$2:$M$10,2,FALSE),""))</f>
        <v/>
      </c>
      <c r="K269" t="str">
        <f t="shared" si="45"/>
        <v/>
      </c>
      <c r="L269" t="str">
        <f t="shared" si="46"/>
        <v/>
      </c>
      <c r="M269" t="str">
        <f t="shared" si="47"/>
        <v/>
      </c>
      <c r="N269" t="str">
        <f t="shared" si="48"/>
        <v/>
      </c>
      <c r="O269" t="str">
        <f t="shared" si="49"/>
        <v/>
      </c>
      <c r="P269" t="str">
        <f>IF(OR(H269="",NOT(OR(LEFT(H269,1)="G",LEFT(H269,1)="R"))),"",IFERROR(VLOOKUP(MID(H269,3,1),Map!$G$2:$H$10,2,FALSE),""))</f>
        <v/>
      </c>
      <c r="Q269" t="str">
        <f>IF(A269="","",IFERROR(VLOOKUP(MID(A269,4,1),Map!$O$2:$P$10,2,FALSE),""))</f>
        <v/>
      </c>
    </row>
    <row r="270" spans="2:17" x14ac:dyDescent="0.25">
      <c r="B270" t="str">
        <f t="shared" si="40"/>
        <v/>
      </c>
      <c r="C270" t="str">
        <f t="shared" si="41"/>
        <v>**</v>
      </c>
      <c r="D270" t="str">
        <f t="shared" si="42"/>
        <v/>
      </c>
      <c r="E270" t="str">
        <f>IFERROR(VLOOKUP(MID(A270,7,2),Map!$A$2:$B$20,2,FALSE),"")</f>
        <v/>
      </c>
      <c r="F270" t="str">
        <f>IF(A270="","",IFERROR(VLOOKUP(MID(A270,9,2),Map!$R$2:$S$14,2,FALSE),""))</f>
        <v/>
      </c>
      <c r="G270" t="str">
        <f t="shared" si="43"/>
        <v/>
      </c>
      <c r="H270" t="str">
        <f t="shared" si="44"/>
        <v/>
      </c>
      <c r="I270" t="str">
        <f>IF(A270="","",IFERROR(VLOOKUP(LEFT(A270,1),Map!$D$2:$E$20,2,FALSE),""))</f>
        <v/>
      </c>
      <c r="J270" t="str">
        <f>IF(OR(H270="",NOT(OR(LEFT(H270,1)="G",LEFT(H270,1)="R"))),"",IFERROR(VLOOKUP(MID(H270,2,1),Map!$J$2:$M$10,2,FALSE),""))</f>
        <v/>
      </c>
      <c r="K270" t="str">
        <f t="shared" si="45"/>
        <v/>
      </c>
      <c r="L270" t="str">
        <f t="shared" si="46"/>
        <v/>
      </c>
      <c r="M270" t="str">
        <f t="shared" si="47"/>
        <v/>
      </c>
      <c r="N270" t="str">
        <f t="shared" si="48"/>
        <v/>
      </c>
      <c r="O270" t="str">
        <f t="shared" si="49"/>
        <v/>
      </c>
      <c r="P270" t="str">
        <f>IF(OR(H270="",NOT(OR(LEFT(H270,1)="G",LEFT(H270,1)="R"))),"",IFERROR(VLOOKUP(MID(H270,3,1),Map!$G$2:$H$10,2,FALSE),""))</f>
        <v/>
      </c>
      <c r="Q270" t="str">
        <f>IF(A270="","",IFERROR(VLOOKUP(MID(A270,4,1),Map!$O$2:$P$10,2,FALSE),""))</f>
        <v/>
      </c>
    </row>
    <row r="271" spans="2:17" x14ac:dyDescent="0.25">
      <c r="B271" t="str">
        <f t="shared" si="40"/>
        <v/>
      </c>
      <c r="C271" t="str">
        <f t="shared" si="41"/>
        <v>**</v>
      </c>
      <c r="D271" t="str">
        <f t="shared" si="42"/>
        <v/>
      </c>
      <c r="E271" t="str">
        <f>IFERROR(VLOOKUP(MID(A271,7,2),Map!$A$2:$B$20,2,FALSE),"")</f>
        <v/>
      </c>
      <c r="F271" t="str">
        <f>IF(A271="","",IFERROR(VLOOKUP(MID(A271,9,2),Map!$R$2:$S$14,2,FALSE),""))</f>
        <v/>
      </c>
      <c r="G271" t="str">
        <f t="shared" si="43"/>
        <v/>
      </c>
      <c r="H271" t="str">
        <f t="shared" si="44"/>
        <v/>
      </c>
      <c r="I271" t="str">
        <f>IF(A271="","",IFERROR(VLOOKUP(LEFT(A271,1),Map!$D$2:$E$20,2,FALSE),""))</f>
        <v/>
      </c>
      <c r="J271" t="str">
        <f>IF(OR(H271="",NOT(OR(LEFT(H271,1)="G",LEFT(H271,1)="R"))),"",IFERROR(VLOOKUP(MID(H271,2,1),Map!$J$2:$M$10,2,FALSE),""))</f>
        <v/>
      </c>
      <c r="K271" t="str">
        <f t="shared" si="45"/>
        <v/>
      </c>
      <c r="L271" t="str">
        <f t="shared" si="46"/>
        <v/>
      </c>
      <c r="M271" t="str">
        <f t="shared" si="47"/>
        <v/>
      </c>
      <c r="N271" t="str">
        <f t="shared" si="48"/>
        <v/>
      </c>
      <c r="O271" t="str">
        <f t="shared" si="49"/>
        <v/>
      </c>
      <c r="P271" t="str">
        <f>IF(OR(H271="",NOT(OR(LEFT(H271,1)="G",LEFT(H271,1)="R"))),"",IFERROR(VLOOKUP(MID(H271,3,1),Map!$G$2:$H$10,2,FALSE),""))</f>
        <v/>
      </c>
      <c r="Q271" t="str">
        <f>IF(A271="","",IFERROR(VLOOKUP(MID(A271,4,1),Map!$O$2:$P$10,2,FALSE),""))</f>
        <v/>
      </c>
    </row>
    <row r="272" spans="2:17" x14ac:dyDescent="0.25">
      <c r="B272" t="str">
        <f t="shared" si="40"/>
        <v/>
      </c>
      <c r="C272" t="str">
        <f t="shared" si="41"/>
        <v>**</v>
      </c>
      <c r="D272" t="str">
        <f t="shared" si="42"/>
        <v/>
      </c>
      <c r="E272" t="str">
        <f>IFERROR(VLOOKUP(MID(A272,7,2),Map!$A$2:$B$20,2,FALSE),"")</f>
        <v/>
      </c>
      <c r="F272" t="str">
        <f>IF(A272="","",IFERROR(VLOOKUP(MID(A272,9,2),Map!$R$2:$S$14,2,FALSE),""))</f>
        <v/>
      </c>
      <c r="G272" t="str">
        <f t="shared" si="43"/>
        <v/>
      </c>
      <c r="H272" t="str">
        <f t="shared" si="44"/>
        <v/>
      </c>
      <c r="I272" t="str">
        <f>IF(A272="","",IFERROR(VLOOKUP(LEFT(A272,1),Map!$D$2:$E$20,2,FALSE),""))</f>
        <v/>
      </c>
      <c r="J272" t="str">
        <f>IF(OR(H272="",NOT(OR(LEFT(H272,1)="G",LEFT(H272,1)="R"))),"",IFERROR(VLOOKUP(MID(H272,2,1),Map!$J$2:$M$10,2,FALSE),""))</f>
        <v/>
      </c>
      <c r="K272" t="str">
        <f t="shared" si="45"/>
        <v/>
      </c>
      <c r="L272" t="str">
        <f t="shared" si="46"/>
        <v/>
      </c>
      <c r="M272" t="str">
        <f t="shared" si="47"/>
        <v/>
      </c>
      <c r="N272" t="str">
        <f t="shared" si="48"/>
        <v/>
      </c>
      <c r="O272" t="str">
        <f t="shared" si="49"/>
        <v/>
      </c>
      <c r="P272" t="str">
        <f>IF(OR(H272="",NOT(OR(LEFT(H272,1)="G",LEFT(H272,1)="R"))),"",IFERROR(VLOOKUP(MID(H272,3,1),Map!$G$2:$H$10,2,FALSE),""))</f>
        <v/>
      </c>
      <c r="Q272" t="str">
        <f>IF(A272="","",IFERROR(VLOOKUP(MID(A272,4,1),Map!$O$2:$P$10,2,FALSE),""))</f>
        <v/>
      </c>
    </row>
    <row r="273" spans="2:17" x14ac:dyDescent="0.25">
      <c r="B273" t="str">
        <f t="shared" si="40"/>
        <v/>
      </c>
      <c r="C273" t="str">
        <f t="shared" si="41"/>
        <v>**</v>
      </c>
      <c r="D273" t="str">
        <f t="shared" si="42"/>
        <v/>
      </c>
      <c r="E273" t="str">
        <f>IFERROR(VLOOKUP(MID(A273,7,2),Map!$A$2:$B$20,2,FALSE),"")</f>
        <v/>
      </c>
      <c r="F273" t="str">
        <f>IF(A273="","",IFERROR(VLOOKUP(MID(A273,9,2),Map!$R$2:$S$14,2,FALSE),""))</f>
        <v/>
      </c>
      <c r="G273" t="str">
        <f t="shared" si="43"/>
        <v/>
      </c>
      <c r="H273" t="str">
        <f t="shared" si="44"/>
        <v/>
      </c>
      <c r="I273" t="str">
        <f>IF(A273="","",IFERROR(VLOOKUP(LEFT(A273,1),Map!$D$2:$E$20,2,FALSE),""))</f>
        <v/>
      </c>
      <c r="J273" t="str">
        <f>IF(OR(H273="",NOT(OR(LEFT(H273,1)="G",LEFT(H273,1)="R"))),"",IFERROR(VLOOKUP(MID(H273,2,1),Map!$J$2:$M$10,2,FALSE),""))</f>
        <v/>
      </c>
      <c r="K273" t="str">
        <f t="shared" si="45"/>
        <v/>
      </c>
      <c r="L273" t="str">
        <f t="shared" si="46"/>
        <v/>
      </c>
      <c r="M273" t="str">
        <f t="shared" si="47"/>
        <v/>
      </c>
      <c r="N273" t="str">
        <f t="shared" si="48"/>
        <v/>
      </c>
      <c r="O273" t="str">
        <f t="shared" si="49"/>
        <v/>
      </c>
      <c r="P273" t="str">
        <f>IF(OR(H273="",NOT(OR(LEFT(H273,1)="G",LEFT(H273,1)="R"))),"",IFERROR(VLOOKUP(MID(H273,3,1),Map!$G$2:$H$10,2,FALSE),""))</f>
        <v/>
      </c>
      <c r="Q273" t="str">
        <f>IF(A273="","",IFERROR(VLOOKUP(MID(A273,4,1),Map!$O$2:$P$10,2,FALSE),""))</f>
        <v/>
      </c>
    </row>
    <row r="274" spans="2:17" x14ac:dyDescent="0.25">
      <c r="B274" t="str">
        <f t="shared" si="40"/>
        <v/>
      </c>
      <c r="C274" t="str">
        <f t="shared" si="41"/>
        <v>**</v>
      </c>
      <c r="D274" t="str">
        <f t="shared" si="42"/>
        <v/>
      </c>
      <c r="E274" t="str">
        <f>IFERROR(VLOOKUP(MID(A274,7,2),Map!$A$2:$B$20,2,FALSE),"")</f>
        <v/>
      </c>
      <c r="F274" t="str">
        <f>IF(A274="","",IFERROR(VLOOKUP(MID(A274,9,2),Map!$R$2:$S$14,2,FALSE),""))</f>
        <v/>
      </c>
      <c r="G274" t="str">
        <f t="shared" si="43"/>
        <v/>
      </c>
      <c r="H274" t="str">
        <f t="shared" si="44"/>
        <v/>
      </c>
      <c r="I274" t="str">
        <f>IF(A274="","",IFERROR(VLOOKUP(LEFT(A274,1),Map!$D$2:$E$20,2,FALSE),""))</f>
        <v/>
      </c>
      <c r="J274" t="str">
        <f>IF(OR(H274="",NOT(OR(LEFT(H274,1)="G",LEFT(H274,1)="R"))),"",IFERROR(VLOOKUP(MID(H274,2,1),Map!$J$2:$M$10,2,FALSE),""))</f>
        <v/>
      </c>
      <c r="K274" t="str">
        <f t="shared" si="45"/>
        <v/>
      </c>
      <c r="L274" t="str">
        <f t="shared" si="46"/>
        <v/>
      </c>
      <c r="M274" t="str">
        <f t="shared" si="47"/>
        <v/>
      </c>
      <c r="N274" t="str">
        <f t="shared" si="48"/>
        <v/>
      </c>
      <c r="O274" t="str">
        <f t="shared" si="49"/>
        <v/>
      </c>
      <c r="P274" t="str">
        <f>IF(OR(H274="",NOT(OR(LEFT(H274,1)="G",LEFT(H274,1)="R"))),"",IFERROR(VLOOKUP(MID(H274,3,1),Map!$G$2:$H$10,2,FALSE),""))</f>
        <v/>
      </c>
      <c r="Q274" t="str">
        <f>IF(A274="","",IFERROR(VLOOKUP(MID(A274,4,1),Map!$O$2:$P$10,2,FALSE),""))</f>
        <v/>
      </c>
    </row>
    <row r="275" spans="2:17" x14ac:dyDescent="0.25">
      <c r="B275" t="str">
        <f t="shared" si="40"/>
        <v/>
      </c>
      <c r="C275" t="str">
        <f t="shared" si="41"/>
        <v>**</v>
      </c>
      <c r="D275" t="str">
        <f t="shared" si="42"/>
        <v/>
      </c>
      <c r="E275" t="str">
        <f>IFERROR(VLOOKUP(MID(A275,7,2),Map!$A$2:$B$20,2,FALSE),"")</f>
        <v/>
      </c>
      <c r="F275" t="str">
        <f>IF(A275="","",IFERROR(VLOOKUP(MID(A275,9,2),Map!$R$2:$S$14,2,FALSE),""))</f>
        <v/>
      </c>
      <c r="G275" t="str">
        <f t="shared" si="43"/>
        <v/>
      </c>
      <c r="H275" t="str">
        <f t="shared" si="44"/>
        <v/>
      </c>
      <c r="I275" t="str">
        <f>IF(A275="","",IFERROR(VLOOKUP(LEFT(A275,1),Map!$D$2:$E$20,2,FALSE),""))</f>
        <v/>
      </c>
      <c r="J275" t="str">
        <f>IF(OR(H275="",NOT(OR(LEFT(H275,1)="G",LEFT(H275,1)="R"))),"",IFERROR(VLOOKUP(MID(H275,2,1),Map!$J$2:$M$10,2,FALSE),""))</f>
        <v/>
      </c>
      <c r="K275" t="str">
        <f t="shared" si="45"/>
        <v/>
      </c>
      <c r="L275" t="str">
        <f t="shared" si="46"/>
        <v/>
      </c>
      <c r="M275" t="str">
        <f t="shared" si="47"/>
        <v/>
      </c>
      <c r="N275" t="str">
        <f t="shared" si="48"/>
        <v/>
      </c>
      <c r="O275" t="str">
        <f t="shared" si="49"/>
        <v/>
      </c>
      <c r="P275" t="str">
        <f>IF(OR(H275="",NOT(OR(LEFT(H275,1)="G",LEFT(H275,1)="R"))),"",IFERROR(VLOOKUP(MID(H275,3,1),Map!$G$2:$H$10,2,FALSE),""))</f>
        <v/>
      </c>
      <c r="Q275" t="str">
        <f>IF(A275="","",IFERROR(VLOOKUP(MID(A275,4,1),Map!$O$2:$P$10,2,FALSE),""))</f>
        <v/>
      </c>
    </row>
    <row r="276" spans="2:17" x14ac:dyDescent="0.25">
      <c r="B276" t="str">
        <f t="shared" si="40"/>
        <v/>
      </c>
      <c r="C276" t="str">
        <f t="shared" si="41"/>
        <v>**</v>
      </c>
      <c r="D276" t="str">
        <f t="shared" si="42"/>
        <v/>
      </c>
      <c r="E276" t="str">
        <f>IFERROR(VLOOKUP(MID(A276,7,2),Map!$A$2:$B$20,2,FALSE),"")</f>
        <v/>
      </c>
      <c r="F276" t="str">
        <f>IF(A276="","",IFERROR(VLOOKUP(MID(A276,9,2),Map!$R$2:$S$14,2,FALSE),""))</f>
        <v/>
      </c>
      <c r="G276" t="str">
        <f t="shared" si="43"/>
        <v/>
      </c>
      <c r="H276" t="str">
        <f t="shared" si="44"/>
        <v/>
      </c>
      <c r="I276" t="str">
        <f>IF(A276="","",IFERROR(VLOOKUP(LEFT(A276,1),Map!$D$2:$E$20,2,FALSE),""))</f>
        <v/>
      </c>
      <c r="J276" t="str">
        <f>IF(OR(H276="",NOT(OR(LEFT(H276,1)="G",LEFT(H276,1)="R"))),"",IFERROR(VLOOKUP(MID(H276,2,1),Map!$J$2:$M$10,2,FALSE),""))</f>
        <v/>
      </c>
      <c r="K276" t="str">
        <f t="shared" si="45"/>
        <v/>
      </c>
      <c r="L276" t="str">
        <f t="shared" si="46"/>
        <v/>
      </c>
      <c r="M276" t="str">
        <f t="shared" si="47"/>
        <v/>
      </c>
      <c r="N276" t="str">
        <f t="shared" si="48"/>
        <v/>
      </c>
      <c r="O276" t="str">
        <f t="shared" si="49"/>
        <v/>
      </c>
      <c r="P276" t="str">
        <f>IF(OR(H276="",NOT(OR(LEFT(H276,1)="G",LEFT(H276,1)="R"))),"",IFERROR(VLOOKUP(MID(H276,3,1),Map!$G$2:$H$10,2,FALSE),""))</f>
        <v/>
      </c>
      <c r="Q276" t="str">
        <f>IF(A276="","",IFERROR(VLOOKUP(MID(A276,4,1),Map!$O$2:$P$10,2,FALSE),""))</f>
        <v/>
      </c>
    </row>
    <row r="277" spans="2:17" x14ac:dyDescent="0.25">
      <c r="B277" t="str">
        <f t="shared" si="40"/>
        <v/>
      </c>
      <c r="C277" t="str">
        <f t="shared" si="41"/>
        <v>**</v>
      </c>
      <c r="D277" t="str">
        <f t="shared" si="42"/>
        <v/>
      </c>
      <c r="E277" t="str">
        <f>IFERROR(VLOOKUP(MID(A277,7,2),Map!$A$2:$B$20,2,FALSE),"")</f>
        <v/>
      </c>
      <c r="F277" t="str">
        <f>IF(A277="","",IFERROR(VLOOKUP(MID(A277,9,2),Map!$R$2:$S$14,2,FALSE),""))</f>
        <v/>
      </c>
      <c r="G277" t="str">
        <f t="shared" si="43"/>
        <v/>
      </c>
      <c r="H277" t="str">
        <f t="shared" si="44"/>
        <v/>
      </c>
      <c r="I277" t="str">
        <f>IF(A277="","",IFERROR(VLOOKUP(LEFT(A277,1),Map!$D$2:$E$20,2,FALSE),""))</f>
        <v/>
      </c>
      <c r="J277" t="str">
        <f>IF(OR(H277="",NOT(OR(LEFT(H277,1)="G",LEFT(H277,1)="R"))),"",IFERROR(VLOOKUP(MID(H277,2,1),Map!$J$2:$M$10,2,FALSE),""))</f>
        <v/>
      </c>
      <c r="K277" t="str">
        <f t="shared" si="45"/>
        <v/>
      </c>
      <c r="L277" t="str">
        <f t="shared" si="46"/>
        <v/>
      </c>
      <c r="M277" t="str">
        <f t="shared" si="47"/>
        <v/>
      </c>
      <c r="N277" t="str">
        <f t="shared" si="48"/>
        <v/>
      </c>
      <c r="O277" t="str">
        <f t="shared" si="49"/>
        <v/>
      </c>
      <c r="P277" t="str">
        <f>IF(OR(H277="",NOT(OR(LEFT(H277,1)="G",LEFT(H277,1)="R"))),"",IFERROR(VLOOKUP(MID(H277,3,1),Map!$G$2:$H$10,2,FALSE),""))</f>
        <v/>
      </c>
      <c r="Q277" t="str">
        <f>IF(A277="","",IFERROR(VLOOKUP(MID(A277,4,1),Map!$O$2:$P$10,2,FALSE),""))</f>
        <v/>
      </c>
    </row>
    <row r="278" spans="2:17" x14ac:dyDescent="0.25">
      <c r="B278" t="str">
        <f t="shared" si="40"/>
        <v/>
      </c>
      <c r="C278" t="str">
        <f t="shared" si="41"/>
        <v>**</v>
      </c>
      <c r="D278" t="str">
        <f t="shared" si="42"/>
        <v/>
      </c>
      <c r="E278" t="str">
        <f>IFERROR(VLOOKUP(MID(A278,7,2),Map!$A$2:$B$20,2,FALSE),"")</f>
        <v/>
      </c>
      <c r="F278" t="str">
        <f>IF(A278="","",IFERROR(VLOOKUP(MID(A278,9,2),Map!$R$2:$S$14,2,FALSE),""))</f>
        <v/>
      </c>
      <c r="G278" t="str">
        <f t="shared" si="43"/>
        <v/>
      </c>
      <c r="H278" t="str">
        <f t="shared" si="44"/>
        <v/>
      </c>
      <c r="I278" t="str">
        <f>IF(A278="","",IFERROR(VLOOKUP(LEFT(A278,1),Map!$D$2:$E$20,2,FALSE),""))</f>
        <v/>
      </c>
      <c r="J278" t="str">
        <f>IF(OR(H278="",NOT(OR(LEFT(H278,1)="G",LEFT(H278,1)="R"))),"",IFERROR(VLOOKUP(MID(H278,2,1),Map!$J$2:$M$10,2,FALSE),""))</f>
        <v/>
      </c>
      <c r="K278" t="str">
        <f t="shared" si="45"/>
        <v/>
      </c>
      <c r="L278" t="str">
        <f t="shared" si="46"/>
        <v/>
      </c>
      <c r="M278" t="str">
        <f t="shared" si="47"/>
        <v/>
      </c>
      <c r="N278" t="str">
        <f t="shared" si="48"/>
        <v/>
      </c>
      <c r="O278" t="str">
        <f t="shared" si="49"/>
        <v/>
      </c>
      <c r="P278" t="str">
        <f>IF(OR(H278="",NOT(OR(LEFT(H278,1)="G",LEFT(H278,1)="R"))),"",IFERROR(VLOOKUP(MID(H278,3,1),Map!$G$2:$H$10,2,FALSE),""))</f>
        <v/>
      </c>
      <c r="Q278" t="str">
        <f>IF(A278="","",IFERROR(VLOOKUP(MID(A278,4,1),Map!$O$2:$P$10,2,FALSE),""))</f>
        <v/>
      </c>
    </row>
    <row r="279" spans="2:17" x14ac:dyDescent="0.25">
      <c r="B279" t="str">
        <f t="shared" si="40"/>
        <v/>
      </c>
      <c r="C279" t="str">
        <f t="shared" si="41"/>
        <v>**</v>
      </c>
      <c r="D279" t="str">
        <f t="shared" si="42"/>
        <v/>
      </c>
      <c r="E279" t="str">
        <f>IFERROR(VLOOKUP(MID(A279,7,2),Map!$A$2:$B$20,2,FALSE),"")</f>
        <v/>
      </c>
      <c r="F279" t="str">
        <f>IF(A279="","",IFERROR(VLOOKUP(MID(A279,9,2),Map!$R$2:$S$14,2,FALSE),""))</f>
        <v/>
      </c>
      <c r="G279" t="str">
        <f t="shared" si="43"/>
        <v/>
      </c>
      <c r="H279" t="str">
        <f t="shared" si="44"/>
        <v/>
      </c>
      <c r="I279" t="str">
        <f>IF(A279="","",IFERROR(VLOOKUP(LEFT(A279,1),Map!$D$2:$E$20,2,FALSE),""))</f>
        <v/>
      </c>
      <c r="J279" t="str">
        <f>IF(OR(H279="",NOT(OR(LEFT(H279,1)="G",LEFT(H279,1)="R"))),"",IFERROR(VLOOKUP(MID(H279,2,1),Map!$J$2:$M$10,2,FALSE),""))</f>
        <v/>
      </c>
      <c r="K279" t="str">
        <f t="shared" si="45"/>
        <v/>
      </c>
      <c r="L279" t="str">
        <f t="shared" si="46"/>
        <v/>
      </c>
      <c r="M279" t="str">
        <f t="shared" si="47"/>
        <v/>
      </c>
      <c r="N279" t="str">
        <f t="shared" si="48"/>
        <v/>
      </c>
      <c r="O279" t="str">
        <f t="shared" si="49"/>
        <v/>
      </c>
      <c r="P279" t="str">
        <f>IF(OR(H279="",NOT(OR(LEFT(H279,1)="G",LEFT(H279,1)="R"))),"",IFERROR(VLOOKUP(MID(H279,3,1),Map!$G$2:$H$10,2,FALSE),""))</f>
        <v/>
      </c>
      <c r="Q279" t="str">
        <f>IF(A279="","",IFERROR(VLOOKUP(MID(A279,4,1),Map!$O$2:$P$10,2,FALSE),""))</f>
        <v/>
      </c>
    </row>
    <row r="280" spans="2:17" x14ac:dyDescent="0.25">
      <c r="B280" t="str">
        <f t="shared" si="40"/>
        <v/>
      </c>
      <c r="C280" t="str">
        <f t="shared" si="41"/>
        <v>**</v>
      </c>
      <c r="D280" t="str">
        <f t="shared" si="42"/>
        <v/>
      </c>
      <c r="E280" t="str">
        <f>IFERROR(VLOOKUP(MID(A280,7,2),Map!$A$2:$B$20,2,FALSE),"")</f>
        <v/>
      </c>
      <c r="F280" t="str">
        <f>IF(A280="","",IFERROR(VLOOKUP(MID(A280,9,2),Map!$R$2:$S$14,2,FALSE),""))</f>
        <v/>
      </c>
      <c r="G280" t="str">
        <f t="shared" si="43"/>
        <v/>
      </c>
      <c r="H280" t="str">
        <f t="shared" si="44"/>
        <v/>
      </c>
      <c r="I280" t="str">
        <f>IF(A280="","",IFERROR(VLOOKUP(LEFT(A280,1),Map!$D$2:$E$20,2,FALSE),""))</f>
        <v/>
      </c>
      <c r="J280" t="str">
        <f>IF(OR(H280="",NOT(OR(LEFT(H280,1)="G",LEFT(H280,1)="R"))),"",IFERROR(VLOOKUP(MID(H280,2,1),Map!$J$2:$M$10,2,FALSE),""))</f>
        <v/>
      </c>
      <c r="K280" t="str">
        <f t="shared" si="45"/>
        <v/>
      </c>
      <c r="L280" t="str">
        <f t="shared" si="46"/>
        <v/>
      </c>
      <c r="M280" t="str">
        <f t="shared" si="47"/>
        <v/>
      </c>
      <c r="N280" t="str">
        <f t="shared" si="48"/>
        <v/>
      </c>
      <c r="O280" t="str">
        <f t="shared" si="49"/>
        <v/>
      </c>
      <c r="P280" t="str">
        <f>IF(OR(H280="",NOT(OR(LEFT(H280,1)="G",LEFT(H280,1)="R"))),"",IFERROR(VLOOKUP(MID(H280,3,1),Map!$G$2:$H$10,2,FALSE),""))</f>
        <v/>
      </c>
      <c r="Q280" t="str">
        <f>IF(A280="","",IFERROR(VLOOKUP(MID(A280,4,1),Map!$O$2:$P$10,2,FALSE),""))</f>
        <v/>
      </c>
    </row>
    <row r="281" spans="2:17" x14ac:dyDescent="0.25">
      <c r="B281" t="str">
        <f t="shared" si="40"/>
        <v/>
      </c>
      <c r="C281" t="str">
        <f t="shared" si="41"/>
        <v>**</v>
      </c>
      <c r="D281" t="str">
        <f t="shared" si="42"/>
        <v/>
      </c>
      <c r="E281" t="str">
        <f>IFERROR(VLOOKUP(MID(A281,7,2),Map!$A$2:$B$20,2,FALSE),"")</f>
        <v/>
      </c>
      <c r="F281" t="str">
        <f>IF(A281="","",IFERROR(VLOOKUP(MID(A281,9,2),Map!$R$2:$S$14,2,FALSE),""))</f>
        <v/>
      </c>
      <c r="G281" t="str">
        <f t="shared" si="43"/>
        <v/>
      </c>
      <c r="H281" t="str">
        <f t="shared" si="44"/>
        <v/>
      </c>
      <c r="I281" t="str">
        <f>IF(A281="","",IFERROR(VLOOKUP(LEFT(A281,1),Map!$D$2:$E$20,2,FALSE),""))</f>
        <v/>
      </c>
      <c r="J281" t="str">
        <f>IF(OR(H281="",NOT(OR(LEFT(H281,1)="G",LEFT(H281,1)="R"))),"",IFERROR(VLOOKUP(MID(H281,2,1),Map!$J$2:$M$10,2,FALSE),""))</f>
        <v/>
      </c>
      <c r="K281" t="str">
        <f t="shared" si="45"/>
        <v/>
      </c>
      <c r="L281" t="str">
        <f t="shared" si="46"/>
        <v/>
      </c>
      <c r="M281" t="str">
        <f t="shared" si="47"/>
        <v/>
      </c>
      <c r="N281" t="str">
        <f t="shared" si="48"/>
        <v/>
      </c>
      <c r="O281" t="str">
        <f t="shared" si="49"/>
        <v/>
      </c>
      <c r="P281" t="str">
        <f>IF(OR(H281="",NOT(OR(LEFT(H281,1)="G",LEFT(H281,1)="R"))),"",IFERROR(VLOOKUP(MID(H281,3,1),Map!$G$2:$H$10,2,FALSE),""))</f>
        <v/>
      </c>
      <c r="Q281" t="str">
        <f>IF(A281="","",IFERROR(VLOOKUP(MID(A281,4,1),Map!$O$2:$P$10,2,FALSE),""))</f>
        <v/>
      </c>
    </row>
    <row r="282" spans="2:17" x14ac:dyDescent="0.25">
      <c r="B282" t="str">
        <f t="shared" si="40"/>
        <v/>
      </c>
      <c r="C282" t="str">
        <f t="shared" si="41"/>
        <v>**</v>
      </c>
      <c r="D282" t="str">
        <f t="shared" si="42"/>
        <v/>
      </c>
      <c r="E282" t="str">
        <f>IFERROR(VLOOKUP(MID(A282,7,2),Map!$A$2:$B$20,2,FALSE),"")</f>
        <v/>
      </c>
      <c r="F282" t="str">
        <f>IF(A282="","",IFERROR(VLOOKUP(MID(A282,9,2),Map!$R$2:$S$14,2,FALSE),""))</f>
        <v/>
      </c>
      <c r="G282" t="str">
        <f t="shared" si="43"/>
        <v/>
      </c>
      <c r="H282" t="str">
        <f t="shared" si="44"/>
        <v/>
      </c>
      <c r="I282" t="str">
        <f>IF(A282="","",IFERROR(VLOOKUP(LEFT(A282,1),Map!$D$2:$E$20,2,FALSE),""))</f>
        <v/>
      </c>
      <c r="J282" t="str">
        <f>IF(OR(H282="",NOT(OR(LEFT(H282,1)="G",LEFT(H282,1)="R"))),"",IFERROR(VLOOKUP(MID(H282,2,1),Map!$J$2:$M$10,2,FALSE),""))</f>
        <v/>
      </c>
      <c r="K282" t="str">
        <f t="shared" si="45"/>
        <v/>
      </c>
      <c r="L282" t="str">
        <f t="shared" si="46"/>
        <v/>
      </c>
      <c r="M282" t="str">
        <f t="shared" si="47"/>
        <v/>
      </c>
      <c r="N282" t="str">
        <f t="shared" si="48"/>
        <v/>
      </c>
      <c r="O282" t="str">
        <f t="shared" si="49"/>
        <v/>
      </c>
      <c r="P282" t="str">
        <f>IF(OR(H282="",NOT(OR(LEFT(H282,1)="G",LEFT(H282,1)="R"))),"",IFERROR(VLOOKUP(MID(H282,3,1),Map!$G$2:$H$10,2,FALSE),""))</f>
        <v/>
      </c>
      <c r="Q282" t="str">
        <f>IF(A282="","",IFERROR(VLOOKUP(MID(A282,4,1),Map!$O$2:$P$10,2,FALSE),""))</f>
        <v/>
      </c>
    </row>
    <row r="283" spans="2:17" x14ac:dyDescent="0.25">
      <c r="B283" t="str">
        <f t="shared" si="40"/>
        <v/>
      </c>
      <c r="C283" t="str">
        <f t="shared" si="41"/>
        <v>**</v>
      </c>
      <c r="D283" t="str">
        <f t="shared" si="42"/>
        <v/>
      </c>
      <c r="E283" t="str">
        <f>IFERROR(VLOOKUP(MID(A283,7,2),Map!$A$2:$B$20,2,FALSE),"")</f>
        <v/>
      </c>
      <c r="F283" t="str">
        <f>IF(A283="","",IFERROR(VLOOKUP(MID(A283,9,2),Map!$R$2:$S$14,2,FALSE),""))</f>
        <v/>
      </c>
      <c r="G283" t="str">
        <f t="shared" si="43"/>
        <v/>
      </c>
      <c r="H283" t="str">
        <f t="shared" si="44"/>
        <v/>
      </c>
      <c r="I283" t="str">
        <f>IF(A283="","",IFERROR(VLOOKUP(LEFT(A283,1),Map!$D$2:$E$20,2,FALSE),""))</f>
        <v/>
      </c>
      <c r="J283" t="str">
        <f>IF(OR(H283="",NOT(OR(LEFT(H283,1)="G",LEFT(H283,1)="R"))),"",IFERROR(VLOOKUP(MID(H283,2,1),Map!$J$2:$M$10,2,FALSE),""))</f>
        <v/>
      </c>
      <c r="K283" t="str">
        <f t="shared" si="45"/>
        <v/>
      </c>
      <c r="L283" t="str">
        <f t="shared" si="46"/>
        <v/>
      </c>
      <c r="M283" t="str">
        <f t="shared" si="47"/>
        <v/>
      </c>
      <c r="N283" t="str">
        <f t="shared" si="48"/>
        <v/>
      </c>
      <c r="O283" t="str">
        <f t="shared" si="49"/>
        <v/>
      </c>
      <c r="P283" t="str">
        <f>IF(OR(H283="",NOT(OR(LEFT(H283,1)="G",LEFT(H283,1)="R"))),"",IFERROR(VLOOKUP(MID(H283,3,1),Map!$G$2:$H$10,2,FALSE),""))</f>
        <v/>
      </c>
      <c r="Q283" t="str">
        <f>IF(A283="","",IFERROR(VLOOKUP(MID(A283,4,1),Map!$O$2:$P$10,2,FALSE),""))</f>
        <v/>
      </c>
    </row>
    <row r="284" spans="2:17" x14ac:dyDescent="0.25">
      <c r="B284" t="str">
        <f t="shared" si="40"/>
        <v/>
      </c>
      <c r="C284" t="str">
        <f t="shared" si="41"/>
        <v>**</v>
      </c>
      <c r="D284" t="str">
        <f t="shared" si="42"/>
        <v/>
      </c>
      <c r="E284" t="str">
        <f>IFERROR(VLOOKUP(MID(A284,7,2),Map!$A$2:$B$20,2,FALSE),"")</f>
        <v/>
      </c>
      <c r="F284" t="str">
        <f>IF(A284="","",IFERROR(VLOOKUP(MID(A284,9,2),Map!$R$2:$S$14,2,FALSE),""))</f>
        <v/>
      </c>
      <c r="G284" t="str">
        <f t="shared" si="43"/>
        <v/>
      </c>
      <c r="H284" t="str">
        <f t="shared" si="44"/>
        <v/>
      </c>
      <c r="I284" t="str">
        <f>IF(A284="","",IFERROR(VLOOKUP(LEFT(A284,1),Map!$D$2:$E$20,2,FALSE),""))</f>
        <v/>
      </c>
      <c r="J284" t="str">
        <f>IF(OR(H284="",NOT(OR(LEFT(H284,1)="G",LEFT(H284,1)="R"))),"",IFERROR(VLOOKUP(MID(H284,2,1),Map!$J$2:$M$10,2,FALSE),""))</f>
        <v/>
      </c>
      <c r="K284" t="str">
        <f t="shared" si="45"/>
        <v/>
      </c>
      <c r="L284" t="str">
        <f t="shared" si="46"/>
        <v/>
      </c>
      <c r="M284" t="str">
        <f t="shared" si="47"/>
        <v/>
      </c>
      <c r="N284" t="str">
        <f t="shared" si="48"/>
        <v/>
      </c>
      <c r="O284" t="str">
        <f t="shared" si="49"/>
        <v/>
      </c>
      <c r="P284" t="str">
        <f>IF(OR(H284="",NOT(OR(LEFT(H284,1)="G",LEFT(H284,1)="R"))),"",IFERROR(VLOOKUP(MID(H284,3,1),Map!$G$2:$H$10,2,FALSE),""))</f>
        <v/>
      </c>
      <c r="Q284" t="str">
        <f>IF(A284="","",IFERROR(VLOOKUP(MID(A284,4,1),Map!$O$2:$P$10,2,FALSE),""))</f>
        <v/>
      </c>
    </row>
    <row r="285" spans="2:17" x14ac:dyDescent="0.25">
      <c r="B285" t="str">
        <f t="shared" si="40"/>
        <v/>
      </c>
      <c r="C285" t="str">
        <f t="shared" si="41"/>
        <v>**</v>
      </c>
      <c r="D285" t="str">
        <f t="shared" si="42"/>
        <v/>
      </c>
      <c r="E285" t="str">
        <f>IFERROR(VLOOKUP(MID(A285,7,2),Map!$A$2:$B$20,2,FALSE),"")</f>
        <v/>
      </c>
      <c r="F285" t="str">
        <f>IF(A285="","",IFERROR(VLOOKUP(MID(A285,9,2),Map!$R$2:$S$14,2,FALSE),""))</f>
        <v/>
      </c>
      <c r="G285" t="str">
        <f t="shared" si="43"/>
        <v/>
      </c>
      <c r="H285" t="str">
        <f t="shared" si="44"/>
        <v/>
      </c>
      <c r="I285" t="str">
        <f>IF(A285="","",IFERROR(VLOOKUP(LEFT(A285,1),Map!$D$2:$E$20,2,FALSE),""))</f>
        <v/>
      </c>
      <c r="J285" t="str">
        <f>IF(OR(H285="",NOT(OR(LEFT(H285,1)="G",LEFT(H285,1)="R"))),"",IFERROR(VLOOKUP(MID(H285,2,1),Map!$J$2:$M$10,2,FALSE),""))</f>
        <v/>
      </c>
      <c r="K285" t="str">
        <f t="shared" si="45"/>
        <v/>
      </c>
      <c r="L285" t="str">
        <f t="shared" si="46"/>
        <v/>
      </c>
      <c r="M285" t="str">
        <f t="shared" si="47"/>
        <v/>
      </c>
      <c r="N285" t="str">
        <f t="shared" si="48"/>
        <v/>
      </c>
      <c r="O285" t="str">
        <f t="shared" si="49"/>
        <v/>
      </c>
      <c r="P285" t="str">
        <f>IF(OR(H285="",NOT(OR(LEFT(H285,1)="G",LEFT(H285,1)="R"))),"",IFERROR(VLOOKUP(MID(H285,3,1),Map!$G$2:$H$10,2,FALSE),""))</f>
        <v/>
      </c>
      <c r="Q285" t="str">
        <f>IF(A285="","",IFERROR(VLOOKUP(MID(A285,4,1),Map!$O$2:$P$10,2,FALSE),""))</f>
        <v/>
      </c>
    </row>
    <row r="286" spans="2:17" x14ac:dyDescent="0.25">
      <c r="B286" t="str">
        <f t="shared" si="40"/>
        <v/>
      </c>
      <c r="C286" t="str">
        <f t="shared" si="41"/>
        <v>**</v>
      </c>
      <c r="D286" t="str">
        <f t="shared" si="42"/>
        <v/>
      </c>
      <c r="E286" t="str">
        <f>IFERROR(VLOOKUP(MID(A286,7,2),Map!$A$2:$B$20,2,FALSE),"")</f>
        <v/>
      </c>
      <c r="F286" t="str">
        <f>IF(A286="","",IFERROR(VLOOKUP(MID(A286,9,2),Map!$R$2:$S$14,2,FALSE),""))</f>
        <v/>
      </c>
      <c r="G286" t="str">
        <f t="shared" si="43"/>
        <v/>
      </c>
      <c r="H286" t="str">
        <f t="shared" si="44"/>
        <v/>
      </c>
      <c r="I286" t="str">
        <f>IF(A286="","",IFERROR(VLOOKUP(LEFT(A286,1),Map!$D$2:$E$20,2,FALSE),""))</f>
        <v/>
      </c>
      <c r="J286" t="str">
        <f>IF(OR(H286="",NOT(OR(LEFT(H286,1)="G",LEFT(H286,1)="R"))),"",IFERROR(VLOOKUP(MID(H286,2,1),Map!$J$2:$M$10,2,FALSE),""))</f>
        <v/>
      </c>
      <c r="K286" t="str">
        <f t="shared" si="45"/>
        <v/>
      </c>
      <c r="L286" t="str">
        <f t="shared" si="46"/>
        <v/>
      </c>
      <c r="M286" t="str">
        <f t="shared" si="47"/>
        <v/>
      </c>
      <c r="N286" t="str">
        <f t="shared" si="48"/>
        <v/>
      </c>
      <c r="O286" t="str">
        <f t="shared" si="49"/>
        <v/>
      </c>
      <c r="P286" t="str">
        <f>IF(OR(H286="",NOT(OR(LEFT(H286,1)="G",LEFT(H286,1)="R"))),"",IFERROR(VLOOKUP(MID(H286,3,1),Map!$G$2:$H$10,2,FALSE),""))</f>
        <v/>
      </c>
      <c r="Q286" t="str">
        <f>IF(A286="","",IFERROR(VLOOKUP(MID(A286,4,1),Map!$O$2:$P$10,2,FALSE),""))</f>
        <v/>
      </c>
    </row>
    <row r="287" spans="2:17" x14ac:dyDescent="0.25">
      <c r="B287" t="str">
        <f t="shared" si="40"/>
        <v/>
      </c>
      <c r="C287" t="str">
        <f t="shared" si="41"/>
        <v>**</v>
      </c>
      <c r="D287" t="str">
        <f t="shared" si="42"/>
        <v/>
      </c>
      <c r="E287" t="str">
        <f>IFERROR(VLOOKUP(MID(A287,7,2),Map!$A$2:$B$20,2,FALSE),"")</f>
        <v/>
      </c>
      <c r="F287" t="str">
        <f>IF(A287="","",IFERROR(VLOOKUP(MID(A287,9,2),Map!$R$2:$S$14,2,FALSE),""))</f>
        <v/>
      </c>
      <c r="G287" t="str">
        <f t="shared" si="43"/>
        <v/>
      </c>
      <c r="H287" t="str">
        <f t="shared" si="44"/>
        <v/>
      </c>
      <c r="I287" t="str">
        <f>IF(A287="","",IFERROR(VLOOKUP(LEFT(A287,1),Map!$D$2:$E$20,2,FALSE),""))</f>
        <v/>
      </c>
      <c r="J287" t="str">
        <f>IF(OR(H287="",NOT(OR(LEFT(H287,1)="G",LEFT(H287,1)="R"))),"",IFERROR(VLOOKUP(MID(H287,2,1),Map!$J$2:$M$10,2,FALSE),""))</f>
        <v/>
      </c>
      <c r="K287" t="str">
        <f t="shared" si="45"/>
        <v/>
      </c>
      <c r="L287" t="str">
        <f t="shared" si="46"/>
        <v/>
      </c>
      <c r="M287" t="str">
        <f t="shared" si="47"/>
        <v/>
      </c>
      <c r="N287" t="str">
        <f t="shared" si="48"/>
        <v/>
      </c>
      <c r="O287" t="str">
        <f t="shared" si="49"/>
        <v/>
      </c>
      <c r="P287" t="str">
        <f>IF(OR(H287="",NOT(OR(LEFT(H287,1)="G",LEFT(H287,1)="R"))),"",IFERROR(VLOOKUP(MID(H287,3,1),Map!$G$2:$H$10,2,FALSE),""))</f>
        <v/>
      </c>
      <c r="Q287" t="str">
        <f>IF(A287="","",IFERROR(VLOOKUP(MID(A287,4,1),Map!$O$2:$P$10,2,FALSE),""))</f>
        <v/>
      </c>
    </row>
    <row r="288" spans="2:17" x14ac:dyDescent="0.25">
      <c r="B288" t="str">
        <f t="shared" si="40"/>
        <v/>
      </c>
      <c r="C288" t="str">
        <f t="shared" si="41"/>
        <v>**</v>
      </c>
      <c r="D288" t="str">
        <f t="shared" si="42"/>
        <v/>
      </c>
      <c r="E288" t="str">
        <f>IFERROR(VLOOKUP(MID(A288,7,2),Map!$A$2:$B$20,2,FALSE),"")</f>
        <v/>
      </c>
      <c r="F288" t="str">
        <f>IF(A288="","",IFERROR(VLOOKUP(MID(A288,9,2),Map!$R$2:$S$14,2,FALSE),""))</f>
        <v/>
      </c>
      <c r="G288" t="str">
        <f t="shared" si="43"/>
        <v/>
      </c>
      <c r="H288" t="str">
        <f t="shared" si="44"/>
        <v/>
      </c>
      <c r="I288" t="str">
        <f>IF(A288="","",IFERROR(VLOOKUP(LEFT(A288,1),Map!$D$2:$E$20,2,FALSE),""))</f>
        <v/>
      </c>
      <c r="J288" t="str">
        <f>IF(OR(H288="",NOT(OR(LEFT(H288,1)="G",LEFT(H288,1)="R"))),"",IFERROR(VLOOKUP(MID(H288,2,1),Map!$J$2:$M$10,2,FALSE),""))</f>
        <v/>
      </c>
      <c r="K288" t="str">
        <f t="shared" si="45"/>
        <v/>
      </c>
      <c r="L288" t="str">
        <f t="shared" si="46"/>
        <v/>
      </c>
      <c r="M288" t="str">
        <f t="shared" si="47"/>
        <v/>
      </c>
      <c r="N288" t="str">
        <f t="shared" si="48"/>
        <v/>
      </c>
      <c r="O288" t="str">
        <f t="shared" si="49"/>
        <v/>
      </c>
      <c r="P288" t="str">
        <f>IF(OR(H288="",NOT(OR(LEFT(H288,1)="G",LEFT(H288,1)="R"))),"",IFERROR(VLOOKUP(MID(H288,3,1),Map!$G$2:$H$10,2,FALSE),""))</f>
        <v/>
      </c>
      <c r="Q288" t="str">
        <f>IF(A288="","",IFERROR(VLOOKUP(MID(A288,4,1),Map!$O$2:$P$10,2,FALSE),""))</f>
        <v/>
      </c>
    </row>
    <row r="289" spans="2:17" x14ac:dyDescent="0.25">
      <c r="B289" t="str">
        <f t="shared" si="40"/>
        <v/>
      </c>
      <c r="C289" t="str">
        <f t="shared" si="41"/>
        <v>**</v>
      </c>
      <c r="D289" t="str">
        <f t="shared" si="42"/>
        <v/>
      </c>
      <c r="E289" t="str">
        <f>IFERROR(VLOOKUP(MID(A289,7,2),Map!$A$2:$B$20,2,FALSE),"")</f>
        <v/>
      </c>
      <c r="F289" t="str">
        <f>IF(A289="","",IFERROR(VLOOKUP(MID(A289,9,2),Map!$R$2:$S$14,2,FALSE),""))</f>
        <v/>
      </c>
      <c r="G289" t="str">
        <f t="shared" si="43"/>
        <v/>
      </c>
      <c r="H289" t="str">
        <f t="shared" si="44"/>
        <v/>
      </c>
      <c r="I289" t="str">
        <f>IF(A289="","",IFERROR(VLOOKUP(LEFT(A289,1),Map!$D$2:$E$20,2,FALSE),""))</f>
        <v/>
      </c>
      <c r="J289" t="str">
        <f>IF(OR(H289="",NOT(OR(LEFT(H289,1)="G",LEFT(H289,1)="R"))),"",IFERROR(VLOOKUP(MID(H289,2,1),Map!$J$2:$M$10,2,FALSE),""))</f>
        <v/>
      </c>
      <c r="K289" t="str">
        <f t="shared" si="45"/>
        <v/>
      </c>
      <c r="L289" t="str">
        <f t="shared" si="46"/>
        <v/>
      </c>
      <c r="M289" t="str">
        <f t="shared" si="47"/>
        <v/>
      </c>
      <c r="N289" t="str">
        <f t="shared" si="48"/>
        <v/>
      </c>
      <c r="O289" t="str">
        <f t="shared" si="49"/>
        <v/>
      </c>
      <c r="P289" t="str">
        <f>IF(OR(H289="",NOT(OR(LEFT(H289,1)="G",LEFT(H289,1)="R"))),"",IFERROR(VLOOKUP(MID(H289,3,1),Map!$G$2:$H$10,2,FALSE),""))</f>
        <v/>
      </c>
      <c r="Q289" t="str">
        <f>IF(A289="","",IFERROR(VLOOKUP(MID(A289,4,1),Map!$O$2:$P$10,2,FALSE),""))</f>
        <v/>
      </c>
    </row>
    <row r="290" spans="2:17" x14ac:dyDescent="0.25">
      <c r="B290" t="str">
        <f t="shared" si="40"/>
        <v/>
      </c>
      <c r="C290" t="str">
        <f t="shared" si="41"/>
        <v>**</v>
      </c>
      <c r="D290" t="str">
        <f t="shared" si="42"/>
        <v/>
      </c>
      <c r="E290" t="str">
        <f>IFERROR(VLOOKUP(MID(A290,7,2),Map!$A$2:$B$20,2,FALSE),"")</f>
        <v/>
      </c>
      <c r="F290" t="str">
        <f>IF(A290="","",IFERROR(VLOOKUP(MID(A290,9,2),Map!$R$2:$S$14,2,FALSE),""))</f>
        <v/>
      </c>
      <c r="G290" t="str">
        <f t="shared" si="43"/>
        <v/>
      </c>
      <c r="H290" t="str">
        <f t="shared" si="44"/>
        <v/>
      </c>
      <c r="I290" t="str">
        <f>IF(A290="","",IFERROR(VLOOKUP(LEFT(A290,1),Map!$D$2:$E$20,2,FALSE),""))</f>
        <v/>
      </c>
      <c r="J290" t="str">
        <f>IF(OR(H290="",NOT(OR(LEFT(H290,1)="G",LEFT(H290,1)="R"))),"",IFERROR(VLOOKUP(MID(H290,2,1),Map!$J$2:$M$10,2,FALSE),""))</f>
        <v/>
      </c>
      <c r="K290" t="str">
        <f t="shared" si="45"/>
        <v/>
      </c>
      <c r="L290" t="str">
        <f t="shared" si="46"/>
        <v/>
      </c>
      <c r="M290" t="str">
        <f t="shared" si="47"/>
        <v/>
      </c>
      <c r="N290" t="str">
        <f t="shared" si="48"/>
        <v/>
      </c>
      <c r="O290" t="str">
        <f t="shared" si="49"/>
        <v/>
      </c>
      <c r="P290" t="str">
        <f>IF(OR(H290="",NOT(OR(LEFT(H290,1)="G",LEFT(H290,1)="R"))),"",IFERROR(VLOOKUP(MID(H290,3,1),Map!$G$2:$H$10,2,FALSE),""))</f>
        <v/>
      </c>
      <c r="Q290" t="str">
        <f>IF(A290="","",IFERROR(VLOOKUP(MID(A290,4,1),Map!$O$2:$P$10,2,FALSE),""))</f>
        <v/>
      </c>
    </row>
    <row r="291" spans="2:17" x14ac:dyDescent="0.25">
      <c r="B291" t="str">
        <f t="shared" si="40"/>
        <v/>
      </c>
      <c r="C291" t="str">
        <f t="shared" si="41"/>
        <v>**</v>
      </c>
      <c r="D291" t="str">
        <f t="shared" si="42"/>
        <v/>
      </c>
      <c r="E291" t="str">
        <f>IFERROR(VLOOKUP(MID(A291,7,2),Map!$A$2:$B$20,2,FALSE),"")</f>
        <v/>
      </c>
      <c r="F291" t="str">
        <f>IF(A291="","",IFERROR(VLOOKUP(MID(A291,9,2),Map!$R$2:$S$14,2,FALSE),""))</f>
        <v/>
      </c>
      <c r="G291" t="str">
        <f t="shared" si="43"/>
        <v/>
      </c>
      <c r="H291" t="str">
        <f t="shared" si="44"/>
        <v/>
      </c>
      <c r="I291" t="str">
        <f>IF(A291="","",IFERROR(VLOOKUP(LEFT(A291,1),Map!$D$2:$E$20,2,FALSE),""))</f>
        <v/>
      </c>
      <c r="J291" t="str">
        <f>IF(OR(H291="",NOT(OR(LEFT(H291,1)="G",LEFT(H291,1)="R"))),"",IFERROR(VLOOKUP(MID(H291,2,1),Map!$J$2:$M$10,2,FALSE),""))</f>
        <v/>
      </c>
      <c r="K291" t="str">
        <f t="shared" si="45"/>
        <v/>
      </c>
      <c r="L291" t="str">
        <f t="shared" si="46"/>
        <v/>
      </c>
      <c r="M291" t="str">
        <f t="shared" si="47"/>
        <v/>
      </c>
      <c r="N291" t="str">
        <f t="shared" si="48"/>
        <v/>
      </c>
      <c r="O291" t="str">
        <f t="shared" si="49"/>
        <v/>
      </c>
      <c r="P291" t="str">
        <f>IF(OR(H291="",NOT(OR(LEFT(H291,1)="G",LEFT(H291,1)="R"))),"",IFERROR(VLOOKUP(MID(H291,3,1),Map!$G$2:$H$10,2,FALSE),""))</f>
        <v/>
      </c>
      <c r="Q291" t="str">
        <f>IF(A291="","",IFERROR(VLOOKUP(MID(A291,4,1),Map!$O$2:$P$10,2,FALSE),""))</f>
        <v/>
      </c>
    </row>
    <row r="292" spans="2:17" x14ac:dyDescent="0.25">
      <c r="B292" t="str">
        <f t="shared" si="40"/>
        <v/>
      </c>
      <c r="C292" t="str">
        <f t="shared" si="41"/>
        <v>**</v>
      </c>
      <c r="D292" t="str">
        <f t="shared" si="42"/>
        <v/>
      </c>
      <c r="E292" t="str">
        <f>IFERROR(VLOOKUP(MID(A292,7,2),Map!$A$2:$B$20,2,FALSE),"")</f>
        <v/>
      </c>
      <c r="F292" t="str">
        <f>IF(A292="","",IFERROR(VLOOKUP(MID(A292,9,2),Map!$R$2:$S$14,2,FALSE),""))</f>
        <v/>
      </c>
      <c r="G292" t="str">
        <f t="shared" si="43"/>
        <v/>
      </c>
      <c r="H292" t="str">
        <f t="shared" si="44"/>
        <v/>
      </c>
      <c r="I292" t="str">
        <f>IF(A292="","",IFERROR(VLOOKUP(LEFT(A292,1),Map!$D$2:$E$20,2,FALSE),""))</f>
        <v/>
      </c>
      <c r="J292" t="str">
        <f>IF(OR(H292="",NOT(OR(LEFT(H292,1)="G",LEFT(H292,1)="R"))),"",IFERROR(VLOOKUP(MID(H292,2,1),Map!$J$2:$M$10,2,FALSE),""))</f>
        <v/>
      </c>
      <c r="K292" t="str">
        <f t="shared" si="45"/>
        <v/>
      </c>
      <c r="L292" t="str">
        <f t="shared" si="46"/>
        <v/>
      </c>
      <c r="M292" t="str">
        <f t="shared" si="47"/>
        <v/>
      </c>
      <c r="N292" t="str">
        <f t="shared" si="48"/>
        <v/>
      </c>
      <c r="O292" t="str">
        <f t="shared" si="49"/>
        <v/>
      </c>
      <c r="P292" t="str">
        <f>IF(OR(H292="",NOT(OR(LEFT(H292,1)="G",LEFT(H292,1)="R"))),"",IFERROR(VLOOKUP(MID(H292,3,1),Map!$G$2:$H$10,2,FALSE),""))</f>
        <v/>
      </c>
      <c r="Q292" t="str">
        <f>IF(A292="","",IFERROR(VLOOKUP(MID(A292,4,1),Map!$O$2:$P$10,2,FALSE),""))</f>
        <v/>
      </c>
    </row>
    <row r="293" spans="2:17" x14ac:dyDescent="0.25">
      <c r="B293" t="str">
        <f t="shared" si="40"/>
        <v/>
      </c>
      <c r="C293" t="str">
        <f t="shared" si="41"/>
        <v>**</v>
      </c>
      <c r="D293" t="str">
        <f t="shared" si="42"/>
        <v/>
      </c>
      <c r="E293" t="str">
        <f>IFERROR(VLOOKUP(MID(A293,7,2),Map!$A$2:$B$20,2,FALSE),"")</f>
        <v/>
      </c>
      <c r="F293" t="str">
        <f>IF(A293="","",IFERROR(VLOOKUP(MID(A293,9,2),Map!$R$2:$S$14,2,FALSE),""))</f>
        <v/>
      </c>
      <c r="G293" t="str">
        <f t="shared" si="43"/>
        <v/>
      </c>
      <c r="H293" t="str">
        <f t="shared" si="44"/>
        <v/>
      </c>
      <c r="I293" t="str">
        <f>IF(A293="","",IFERROR(VLOOKUP(LEFT(A293,1),Map!$D$2:$E$20,2,FALSE),""))</f>
        <v/>
      </c>
      <c r="J293" t="str">
        <f>IF(OR(H293="",NOT(OR(LEFT(H293,1)="G",LEFT(H293,1)="R"))),"",IFERROR(VLOOKUP(MID(H293,2,1),Map!$J$2:$M$10,2,FALSE),""))</f>
        <v/>
      </c>
      <c r="K293" t="str">
        <f t="shared" si="45"/>
        <v/>
      </c>
      <c r="L293" t="str">
        <f t="shared" si="46"/>
        <v/>
      </c>
      <c r="M293" t="str">
        <f t="shared" si="47"/>
        <v/>
      </c>
      <c r="N293" t="str">
        <f t="shared" si="48"/>
        <v/>
      </c>
      <c r="O293" t="str">
        <f t="shared" si="49"/>
        <v/>
      </c>
      <c r="P293" t="str">
        <f>IF(OR(H293="",NOT(OR(LEFT(H293,1)="G",LEFT(H293,1)="R"))),"",IFERROR(VLOOKUP(MID(H293,3,1),Map!$G$2:$H$10,2,FALSE),""))</f>
        <v/>
      </c>
      <c r="Q293" t="str">
        <f>IF(A293="","",IFERROR(VLOOKUP(MID(A293,4,1),Map!$O$2:$P$10,2,FALSE),""))</f>
        <v/>
      </c>
    </row>
    <row r="294" spans="2:17" x14ac:dyDescent="0.25">
      <c r="B294" t="str">
        <f t="shared" si="40"/>
        <v/>
      </c>
      <c r="C294" t="str">
        <f t="shared" si="41"/>
        <v>**</v>
      </c>
      <c r="D294" t="str">
        <f t="shared" si="42"/>
        <v/>
      </c>
      <c r="E294" t="str">
        <f>IFERROR(VLOOKUP(MID(A294,7,2),Map!$A$2:$B$20,2,FALSE),"")</f>
        <v/>
      </c>
      <c r="F294" t="str">
        <f>IF(A294="","",IFERROR(VLOOKUP(MID(A294,9,2),Map!$R$2:$S$14,2,FALSE),""))</f>
        <v/>
      </c>
      <c r="G294" t="str">
        <f t="shared" si="43"/>
        <v/>
      </c>
      <c r="H294" t="str">
        <f t="shared" si="44"/>
        <v/>
      </c>
      <c r="I294" t="str">
        <f>IF(A294="","",IFERROR(VLOOKUP(LEFT(A294,1),Map!$D$2:$E$20,2,FALSE),""))</f>
        <v/>
      </c>
      <c r="J294" t="str">
        <f>IF(OR(H294="",NOT(OR(LEFT(H294,1)="G",LEFT(H294,1)="R"))),"",IFERROR(VLOOKUP(MID(H294,2,1),Map!$J$2:$M$10,2,FALSE),""))</f>
        <v/>
      </c>
      <c r="K294" t="str">
        <f t="shared" si="45"/>
        <v/>
      </c>
      <c r="L294" t="str">
        <f t="shared" si="46"/>
        <v/>
      </c>
      <c r="M294" t="str">
        <f t="shared" si="47"/>
        <v/>
      </c>
      <c r="N294" t="str">
        <f t="shared" si="48"/>
        <v/>
      </c>
      <c r="O294" t="str">
        <f t="shared" si="49"/>
        <v/>
      </c>
      <c r="P294" t="str">
        <f>IF(OR(H294="",NOT(OR(LEFT(H294,1)="G",LEFT(H294,1)="R"))),"",IFERROR(VLOOKUP(MID(H294,3,1),Map!$G$2:$H$10,2,FALSE),""))</f>
        <v/>
      </c>
      <c r="Q294" t="str">
        <f>IF(A294="","",IFERROR(VLOOKUP(MID(A294,4,1),Map!$O$2:$P$10,2,FALSE),""))</f>
        <v/>
      </c>
    </row>
    <row r="295" spans="2:17" x14ac:dyDescent="0.25">
      <c r="B295" t="str">
        <f t="shared" si="40"/>
        <v/>
      </c>
      <c r="C295" t="str">
        <f t="shared" si="41"/>
        <v>**</v>
      </c>
      <c r="D295" t="str">
        <f t="shared" si="42"/>
        <v/>
      </c>
      <c r="E295" t="str">
        <f>IFERROR(VLOOKUP(MID(A295,7,2),Map!$A$2:$B$20,2,FALSE),"")</f>
        <v/>
      </c>
      <c r="F295" t="str">
        <f>IF(A295="","",IFERROR(VLOOKUP(MID(A295,9,2),Map!$R$2:$S$14,2,FALSE),""))</f>
        <v/>
      </c>
      <c r="G295" t="str">
        <f t="shared" si="43"/>
        <v/>
      </c>
      <c r="H295" t="str">
        <f t="shared" si="44"/>
        <v/>
      </c>
      <c r="I295" t="str">
        <f>IF(A295="","",IFERROR(VLOOKUP(LEFT(A295,1),Map!$D$2:$E$20,2,FALSE),""))</f>
        <v/>
      </c>
      <c r="J295" t="str">
        <f>IF(OR(H295="",NOT(OR(LEFT(H295,1)="G",LEFT(H295,1)="R"))),"",IFERROR(VLOOKUP(MID(H295,2,1),Map!$J$2:$M$10,2,FALSE),""))</f>
        <v/>
      </c>
      <c r="K295" t="str">
        <f t="shared" si="45"/>
        <v/>
      </c>
      <c r="L295" t="str">
        <f t="shared" si="46"/>
        <v/>
      </c>
      <c r="M295" t="str">
        <f t="shared" si="47"/>
        <v/>
      </c>
      <c r="N295" t="str">
        <f t="shared" si="48"/>
        <v/>
      </c>
      <c r="O295" t="str">
        <f t="shared" si="49"/>
        <v/>
      </c>
      <c r="P295" t="str">
        <f>IF(OR(H295="",NOT(OR(LEFT(H295,1)="G",LEFT(H295,1)="R"))),"",IFERROR(VLOOKUP(MID(H295,3,1),Map!$G$2:$H$10,2,FALSE),""))</f>
        <v/>
      </c>
      <c r="Q295" t="str">
        <f>IF(A295="","",IFERROR(VLOOKUP(MID(A295,4,1),Map!$O$2:$P$10,2,FALSE),""))</f>
        <v/>
      </c>
    </row>
    <row r="296" spans="2:17" x14ac:dyDescent="0.25">
      <c r="B296" t="str">
        <f t="shared" si="40"/>
        <v/>
      </c>
      <c r="C296" t="str">
        <f t="shared" si="41"/>
        <v>**</v>
      </c>
      <c r="D296" t="str">
        <f t="shared" si="42"/>
        <v/>
      </c>
      <c r="E296" t="str">
        <f>IFERROR(VLOOKUP(MID(A296,7,2),Map!$A$2:$B$20,2,FALSE),"")</f>
        <v/>
      </c>
      <c r="F296" t="str">
        <f>IF(A296="","",IFERROR(VLOOKUP(MID(A296,9,2),Map!$R$2:$S$14,2,FALSE),""))</f>
        <v/>
      </c>
      <c r="G296" t="str">
        <f t="shared" si="43"/>
        <v/>
      </c>
      <c r="H296" t="str">
        <f t="shared" si="44"/>
        <v/>
      </c>
      <c r="I296" t="str">
        <f>IF(A296="","",IFERROR(VLOOKUP(LEFT(A296,1),Map!$D$2:$E$20,2,FALSE),""))</f>
        <v/>
      </c>
      <c r="J296" t="str">
        <f>IF(OR(H296="",NOT(OR(LEFT(H296,1)="G",LEFT(H296,1)="R"))),"",IFERROR(VLOOKUP(MID(H296,2,1),Map!$J$2:$M$10,2,FALSE),""))</f>
        <v/>
      </c>
      <c r="K296" t="str">
        <f t="shared" si="45"/>
        <v/>
      </c>
      <c r="L296" t="str">
        <f t="shared" si="46"/>
        <v/>
      </c>
      <c r="M296" t="str">
        <f t="shared" si="47"/>
        <v/>
      </c>
      <c r="N296" t="str">
        <f t="shared" si="48"/>
        <v/>
      </c>
      <c r="O296" t="str">
        <f t="shared" si="49"/>
        <v/>
      </c>
      <c r="P296" t="str">
        <f>IF(OR(H296="",NOT(OR(LEFT(H296,1)="G",LEFT(H296,1)="R"))),"",IFERROR(VLOOKUP(MID(H296,3,1),Map!$G$2:$H$10,2,FALSE),""))</f>
        <v/>
      </c>
      <c r="Q296" t="str">
        <f>IF(A296="","",IFERROR(VLOOKUP(MID(A296,4,1),Map!$O$2:$P$10,2,FALSE),""))</f>
        <v/>
      </c>
    </row>
    <row r="297" spans="2:17" x14ac:dyDescent="0.25">
      <c r="B297" t="str">
        <f t="shared" si="40"/>
        <v/>
      </c>
      <c r="C297" t="str">
        <f t="shared" si="41"/>
        <v>**</v>
      </c>
      <c r="D297" t="str">
        <f t="shared" si="42"/>
        <v/>
      </c>
      <c r="E297" t="str">
        <f>IFERROR(VLOOKUP(MID(A297,7,2),Map!$A$2:$B$20,2,FALSE),"")</f>
        <v/>
      </c>
      <c r="F297" t="str">
        <f>IF(A297="","",IFERROR(VLOOKUP(MID(A297,9,2),Map!$R$2:$S$14,2,FALSE),""))</f>
        <v/>
      </c>
      <c r="G297" t="str">
        <f t="shared" si="43"/>
        <v/>
      </c>
      <c r="H297" t="str">
        <f t="shared" si="44"/>
        <v/>
      </c>
      <c r="I297" t="str">
        <f>IF(A297="","",IFERROR(VLOOKUP(LEFT(A297,1),Map!$D$2:$E$20,2,FALSE),""))</f>
        <v/>
      </c>
      <c r="J297" t="str">
        <f>IF(OR(H297="",NOT(OR(LEFT(H297,1)="G",LEFT(H297,1)="R"))),"",IFERROR(VLOOKUP(MID(H297,2,1),Map!$J$2:$M$10,2,FALSE),""))</f>
        <v/>
      </c>
      <c r="K297" t="str">
        <f t="shared" si="45"/>
        <v/>
      </c>
      <c r="L297" t="str">
        <f t="shared" si="46"/>
        <v/>
      </c>
      <c r="M297" t="str">
        <f t="shared" si="47"/>
        <v/>
      </c>
      <c r="N297" t="str">
        <f t="shared" si="48"/>
        <v/>
      </c>
      <c r="O297" t="str">
        <f t="shared" si="49"/>
        <v/>
      </c>
      <c r="P297" t="str">
        <f>IF(OR(H297="",NOT(OR(LEFT(H297,1)="G",LEFT(H297,1)="R"))),"",IFERROR(VLOOKUP(MID(H297,3,1),Map!$G$2:$H$10,2,FALSE),""))</f>
        <v/>
      </c>
      <c r="Q297" t="str">
        <f>IF(A297="","",IFERROR(VLOOKUP(MID(A297,4,1),Map!$O$2:$P$10,2,FALSE),""))</f>
        <v/>
      </c>
    </row>
    <row r="298" spans="2:17" x14ac:dyDescent="0.25">
      <c r="B298" t="str">
        <f t="shared" si="40"/>
        <v/>
      </c>
      <c r="C298" t="str">
        <f t="shared" si="41"/>
        <v>**</v>
      </c>
      <c r="D298" t="str">
        <f t="shared" si="42"/>
        <v/>
      </c>
      <c r="E298" t="str">
        <f>IFERROR(VLOOKUP(MID(A298,7,2),Map!$A$2:$B$20,2,FALSE),"")</f>
        <v/>
      </c>
      <c r="F298" t="str">
        <f>IF(A298="","",IFERROR(VLOOKUP(MID(A298,9,2),Map!$R$2:$S$14,2,FALSE),""))</f>
        <v/>
      </c>
      <c r="G298" t="str">
        <f t="shared" si="43"/>
        <v/>
      </c>
      <c r="H298" t="str">
        <f t="shared" si="44"/>
        <v/>
      </c>
      <c r="I298" t="str">
        <f>IF(A298="","",IFERROR(VLOOKUP(LEFT(A298,1),Map!$D$2:$E$20,2,FALSE),""))</f>
        <v/>
      </c>
      <c r="J298" t="str">
        <f>IF(OR(H298="",NOT(OR(LEFT(H298,1)="G",LEFT(H298,1)="R"))),"",IFERROR(VLOOKUP(MID(H298,2,1),Map!$J$2:$M$10,2,FALSE),""))</f>
        <v/>
      </c>
      <c r="K298" t="str">
        <f t="shared" si="45"/>
        <v/>
      </c>
      <c r="L298" t="str">
        <f t="shared" si="46"/>
        <v/>
      </c>
      <c r="M298" t="str">
        <f t="shared" si="47"/>
        <v/>
      </c>
      <c r="N298" t="str">
        <f t="shared" si="48"/>
        <v/>
      </c>
      <c r="O298" t="str">
        <f t="shared" si="49"/>
        <v/>
      </c>
      <c r="P298" t="str">
        <f>IF(OR(H298="",NOT(OR(LEFT(H298,1)="G",LEFT(H298,1)="R"))),"",IFERROR(VLOOKUP(MID(H298,3,1),Map!$G$2:$H$10,2,FALSE),""))</f>
        <v/>
      </c>
      <c r="Q298" t="str">
        <f>IF(A298="","",IFERROR(VLOOKUP(MID(A298,4,1),Map!$O$2:$P$10,2,FALSE),""))</f>
        <v/>
      </c>
    </row>
    <row r="299" spans="2:17" x14ac:dyDescent="0.25">
      <c r="B299" t="str">
        <f t="shared" si="40"/>
        <v/>
      </c>
      <c r="C299" t="str">
        <f t="shared" si="41"/>
        <v>**</v>
      </c>
      <c r="D299" t="str">
        <f t="shared" si="42"/>
        <v/>
      </c>
      <c r="E299" t="str">
        <f>IFERROR(VLOOKUP(MID(A299,7,2),Map!$A$2:$B$20,2,FALSE),"")</f>
        <v/>
      </c>
      <c r="F299" t="str">
        <f>IF(A299="","",IFERROR(VLOOKUP(MID(A299,9,2),Map!$R$2:$S$14,2,FALSE),""))</f>
        <v/>
      </c>
      <c r="G299" t="str">
        <f t="shared" si="43"/>
        <v/>
      </c>
      <c r="H299" t="str">
        <f t="shared" si="44"/>
        <v/>
      </c>
      <c r="I299" t="str">
        <f>IF(A299="","",IFERROR(VLOOKUP(LEFT(A299,1),Map!$D$2:$E$20,2,FALSE),""))</f>
        <v/>
      </c>
      <c r="J299" t="str">
        <f>IF(OR(H299="",NOT(OR(LEFT(H299,1)="G",LEFT(H299,1)="R"))),"",IFERROR(VLOOKUP(MID(H299,2,1),Map!$J$2:$M$10,2,FALSE),""))</f>
        <v/>
      </c>
      <c r="K299" t="str">
        <f t="shared" si="45"/>
        <v/>
      </c>
      <c r="L299" t="str">
        <f t="shared" si="46"/>
        <v/>
      </c>
      <c r="M299" t="str">
        <f t="shared" si="47"/>
        <v/>
      </c>
      <c r="N299" t="str">
        <f t="shared" si="48"/>
        <v/>
      </c>
      <c r="O299" t="str">
        <f t="shared" si="49"/>
        <v/>
      </c>
      <c r="P299" t="str">
        <f>IF(OR(H299="",NOT(OR(LEFT(H299,1)="G",LEFT(H299,1)="R"))),"",IFERROR(VLOOKUP(MID(H299,3,1),Map!$G$2:$H$10,2,FALSE),""))</f>
        <v/>
      </c>
      <c r="Q299" t="str">
        <f>IF(A299="","",IFERROR(VLOOKUP(MID(A299,4,1),Map!$O$2:$P$10,2,FALSE),""))</f>
        <v/>
      </c>
    </row>
    <row r="300" spans="2:17" x14ac:dyDescent="0.25">
      <c r="B300" t="str">
        <f t="shared" si="40"/>
        <v/>
      </c>
      <c r="C300" t="str">
        <f t="shared" si="41"/>
        <v>**</v>
      </c>
      <c r="D300" t="str">
        <f t="shared" si="42"/>
        <v/>
      </c>
      <c r="E300" t="str">
        <f>IFERROR(VLOOKUP(MID(A300,7,2),Map!$A$2:$B$20,2,FALSE),"")</f>
        <v/>
      </c>
      <c r="F300" t="str">
        <f>IF(A300="","",IFERROR(VLOOKUP(MID(A300,9,2),Map!$R$2:$S$14,2,FALSE),""))</f>
        <v/>
      </c>
      <c r="G300" t="str">
        <f t="shared" si="43"/>
        <v/>
      </c>
      <c r="H300" t="str">
        <f t="shared" si="44"/>
        <v/>
      </c>
      <c r="I300" t="str">
        <f>IF(A300="","",IFERROR(VLOOKUP(LEFT(A300,1),Map!$D$2:$E$20,2,FALSE),""))</f>
        <v/>
      </c>
      <c r="J300" t="str">
        <f>IF(OR(H300="",NOT(OR(LEFT(H300,1)="G",LEFT(H300,1)="R"))),"",IFERROR(VLOOKUP(MID(H300,2,1),Map!$J$2:$M$10,2,FALSE),""))</f>
        <v/>
      </c>
      <c r="K300" t="str">
        <f t="shared" si="45"/>
        <v/>
      </c>
      <c r="L300" t="str">
        <f t="shared" si="46"/>
        <v/>
      </c>
      <c r="M300" t="str">
        <f t="shared" si="47"/>
        <v/>
      </c>
      <c r="N300" t="str">
        <f t="shared" si="48"/>
        <v/>
      </c>
      <c r="O300" t="str">
        <f t="shared" si="49"/>
        <v/>
      </c>
      <c r="P300" t="str">
        <f>IF(OR(H300="",NOT(OR(LEFT(H300,1)="G",LEFT(H300,1)="R"))),"",IFERROR(VLOOKUP(MID(H300,3,1),Map!$G$2:$H$10,2,FALSE),""))</f>
        <v/>
      </c>
      <c r="Q300" t="str">
        <f>IF(A300="","",IFERROR(VLOOKUP(MID(A300,4,1),Map!$O$2:$P$10,2,FALSE),""))</f>
        <v/>
      </c>
    </row>
    <row r="301" spans="2:17" x14ac:dyDescent="0.25">
      <c r="B301" t="str">
        <f t="shared" si="40"/>
        <v/>
      </c>
      <c r="C301" t="str">
        <f t="shared" si="41"/>
        <v>**</v>
      </c>
      <c r="D301" t="str">
        <f t="shared" si="42"/>
        <v/>
      </c>
      <c r="E301" t="str">
        <f>IFERROR(VLOOKUP(MID(A301,7,2),Map!$A$2:$B$20,2,FALSE),"")</f>
        <v/>
      </c>
      <c r="F301" t="str">
        <f>IF(A301="","",IFERROR(VLOOKUP(MID(A301,9,2),Map!$R$2:$S$14,2,FALSE),""))</f>
        <v/>
      </c>
      <c r="G301" t="str">
        <f t="shared" si="43"/>
        <v/>
      </c>
      <c r="H301" t="str">
        <f t="shared" si="44"/>
        <v/>
      </c>
      <c r="I301" t="str">
        <f>IF(A301="","",IFERROR(VLOOKUP(LEFT(A301,1),Map!$D$2:$E$20,2,FALSE),""))</f>
        <v/>
      </c>
      <c r="J301" t="str">
        <f>IF(OR(H301="",NOT(OR(LEFT(H301,1)="G",LEFT(H301,1)="R"))),"",IFERROR(VLOOKUP(MID(H301,2,1),Map!$J$2:$M$10,2,FALSE),""))</f>
        <v/>
      </c>
      <c r="K301" t="str">
        <f t="shared" si="45"/>
        <v/>
      </c>
      <c r="L301" t="str">
        <f t="shared" si="46"/>
        <v/>
      </c>
      <c r="M301" t="str">
        <f t="shared" si="47"/>
        <v/>
      </c>
      <c r="N301" t="str">
        <f t="shared" si="48"/>
        <v/>
      </c>
      <c r="O301" t="str">
        <f t="shared" si="49"/>
        <v/>
      </c>
      <c r="P301" t="str">
        <f>IF(OR(H301="",NOT(OR(LEFT(H301,1)="G",LEFT(H301,1)="R"))),"",IFERROR(VLOOKUP(MID(H301,3,1),Map!$G$2:$H$10,2,FALSE),""))</f>
        <v/>
      </c>
      <c r="Q301" t="str">
        <f>IF(A301="","",IFERROR(VLOOKUP(MID(A301,4,1),Map!$O$2:$P$10,2,FALSE),""))</f>
        <v/>
      </c>
    </row>
    <row r="302" spans="2:17" x14ac:dyDescent="0.25">
      <c r="B302" t="str">
        <f t="shared" si="40"/>
        <v/>
      </c>
      <c r="C302" t="str">
        <f t="shared" si="41"/>
        <v>**</v>
      </c>
      <c r="D302" t="str">
        <f t="shared" si="42"/>
        <v/>
      </c>
      <c r="E302" t="str">
        <f>IFERROR(VLOOKUP(MID(A302,7,2),Map!$A$2:$B$20,2,FALSE),"")</f>
        <v/>
      </c>
      <c r="F302" t="str">
        <f>IF(A302="","",IFERROR(VLOOKUP(MID(A302,9,2),Map!$R$2:$S$14,2,FALSE),""))</f>
        <v/>
      </c>
      <c r="G302" t="str">
        <f t="shared" si="43"/>
        <v/>
      </c>
      <c r="H302" t="str">
        <f t="shared" si="44"/>
        <v/>
      </c>
      <c r="I302" t="str">
        <f>IF(A302="","",IFERROR(VLOOKUP(LEFT(A302,1),Map!$D$2:$E$20,2,FALSE),""))</f>
        <v/>
      </c>
      <c r="J302" t="str">
        <f>IF(OR(H302="",NOT(OR(LEFT(H302,1)="G",LEFT(H302,1)="R"))),"",IFERROR(VLOOKUP(MID(H302,2,1),Map!$J$2:$M$10,2,FALSE),""))</f>
        <v/>
      </c>
      <c r="K302" t="str">
        <f t="shared" si="45"/>
        <v/>
      </c>
      <c r="L302" t="str">
        <f t="shared" si="46"/>
        <v/>
      </c>
      <c r="M302" t="str">
        <f t="shared" si="47"/>
        <v/>
      </c>
      <c r="N302" t="str">
        <f t="shared" si="48"/>
        <v/>
      </c>
      <c r="O302" t="str">
        <f t="shared" si="49"/>
        <v/>
      </c>
      <c r="P302" t="str">
        <f>IF(OR(H302="",NOT(OR(LEFT(H302,1)="G",LEFT(H302,1)="R"))),"",IFERROR(VLOOKUP(MID(H302,3,1),Map!$G$2:$H$10,2,FALSE),""))</f>
        <v/>
      </c>
      <c r="Q302" t="str">
        <f>IF(A302="","",IFERROR(VLOOKUP(MID(A302,4,1),Map!$O$2:$P$10,2,FALSE),""))</f>
        <v/>
      </c>
    </row>
    <row r="303" spans="2:17" x14ac:dyDescent="0.25">
      <c r="B303" t="str">
        <f t="shared" si="40"/>
        <v/>
      </c>
      <c r="C303" t="str">
        <f t="shared" si="41"/>
        <v>**</v>
      </c>
      <c r="D303" t="str">
        <f t="shared" si="42"/>
        <v/>
      </c>
      <c r="E303" t="str">
        <f>IFERROR(VLOOKUP(MID(A303,7,2),Map!$A$2:$B$20,2,FALSE),"")</f>
        <v/>
      </c>
      <c r="F303" t="str">
        <f>IF(A303="","",IFERROR(VLOOKUP(MID(A303,9,2),Map!$R$2:$S$14,2,FALSE),""))</f>
        <v/>
      </c>
      <c r="G303" t="str">
        <f t="shared" si="43"/>
        <v/>
      </c>
      <c r="H303" t="str">
        <f t="shared" si="44"/>
        <v/>
      </c>
      <c r="I303" t="str">
        <f>IF(A303="","",IFERROR(VLOOKUP(LEFT(A303,1),Map!$D$2:$E$20,2,FALSE),""))</f>
        <v/>
      </c>
      <c r="J303" t="str">
        <f>IF(OR(H303="",NOT(OR(LEFT(H303,1)="G",LEFT(H303,1)="R"))),"",IFERROR(VLOOKUP(MID(H303,2,1),Map!$J$2:$M$10,2,FALSE),""))</f>
        <v/>
      </c>
      <c r="K303" t="str">
        <f t="shared" si="45"/>
        <v/>
      </c>
      <c r="L303" t="str">
        <f t="shared" si="46"/>
        <v/>
      </c>
      <c r="M303" t="str">
        <f t="shared" si="47"/>
        <v/>
      </c>
      <c r="N303" t="str">
        <f t="shared" si="48"/>
        <v/>
      </c>
      <c r="O303" t="str">
        <f t="shared" si="49"/>
        <v/>
      </c>
      <c r="P303" t="str">
        <f>IF(OR(H303="",NOT(OR(LEFT(H303,1)="G",LEFT(H303,1)="R"))),"",IFERROR(VLOOKUP(MID(H303,3,1),Map!$G$2:$H$10,2,FALSE),""))</f>
        <v/>
      </c>
      <c r="Q303" t="str">
        <f>IF(A303="","",IFERROR(VLOOKUP(MID(A303,4,1),Map!$O$2:$P$10,2,FALSE),""))</f>
        <v/>
      </c>
    </row>
    <row r="304" spans="2:17" x14ac:dyDescent="0.25">
      <c r="B304" t="str">
        <f t="shared" si="40"/>
        <v/>
      </c>
      <c r="C304" t="str">
        <f t="shared" si="41"/>
        <v>**</v>
      </c>
      <c r="D304" t="str">
        <f t="shared" si="42"/>
        <v/>
      </c>
      <c r="E304" t="str">
        <f>IFERROR(VLOOKUP(MID(A304,7,2),Map!$A$2:$B$20,2,FALSE),"")</f>
        <v/>
      </c>
      <c r="F304" t="str">
        <f>IF(A304="","",IFERROR(VLOOKUP(MID(A304,9,2),Map!$R$2:$S$14,2,FALSE),""))</f>
        <v/>
      </c>
      <c r="G304" t="str">
        <f t="shared" si="43"/>
        <v/>
      </c>
      <c r="H304" t="str">
        <f t="shared" si="44"/>
        <v/>
      </c>
      <c r="I304" t="str">
        <f>IF(A304="","",IFERROR(VLOOKUP(LEFT(A304,1),Map!$D$2:$E$20,2,FALSE),""))</f>
        <v/>
      </c>
      <c r="J304" t="str">
        <f>IF(OR(H304="",NOT(OR(LEFT(H304,1)="G",LEFT(H304,1)="R"))),"",IFERROR(VLOOKUP(MID(H304,2,1),Map!$J$2:$M$10,2,FALSE),""))</f>
        <v/>
      </c>
      <c r="K304" t="str">
        <f t="shared" si="45"/>
        <v/>
      </c>
      <c r="L304" t="str">
        <f t="shared" si="46"/>
        <v/>
      </c>
      <c r="M304" t="str">
        <f t="shared" si="47"/>
        <v/>
      </c>
      <c r="N304" t="str">
        <f t="shared" si="48"/>
        <v/>
      </c>
      <c r="O304" t="str">
        <f t="shared" si="49"/>
        <v/>
      </c>
      <c r="P304" t="str">
        <f>IF(OR(H304="",NOT(OR(LEFT(H304,1)="G",LEFT(H304,1)="R"))),"",IFERROR(VLOOKUP(MID(H304,3,1),Map!$G$2:$H$10,2,FALSE),""))</f>
        <v/>
      </c>
      <c r="Q304" t="str">
        <f>IF(A304="","",IFERROR(VLOOKUP(MID(A304,4,1),Map!$O$2:$P$10,2,FALSE),""))</f>
        <v/>
      </c>
    </row>
    <row r="305" spans="2:17" x14ac:dyDescent="0.25">
      <c r="B305" t="str">
        <f t="shared" si="40"/>
        <v/>
      </c>
      <c r="C305" t="str">
        <f t="shared" si="41"/>
        <v>**</v>
      </c>
      <c r="D305" t="str">
        <f t="shared" si="42"/>
        <v/>
      </c>
      <c r="E305" t="str">
        <f>IFERROR(VLOOKUP(MID(A305,7,2),Map!$A$2:$B$20,2,FALSE),"")</f>
        <v/>
      </c>
      <c r="F305" t="str">
        <f>IF(A305="","",IFERROR(VLOOKUP(MID(A305,9,2),Map!$R$2:$S$14,2,FALSE),""))</f>
        <v/>
      </c>
      <c r="G305" t="str">
        <f t="shared" si="43"/>
        <v/>
      </c>
      <c r="H305" t="str">
        <f t="shared" si="44"/>
        <v/>
      </c>
      <c r="I305" t="str">
        <f>IF(A305="","",IFERROR(VLOOKUP(LEFT(A305,1),Map!$D$2:$E$20,2,FALSE),""))</f>
        <v/>
      </c>
      <c r="J305" t="str">
        <f>IF(OR(H305="",NOT(OR(LEFT(H305,1)="G",LEFT(H305,1)="R"))),"",IFERROR(VLOOKUP(MID(H305,2,1),Map!$J$2:$M$10,2,FALSE),""))</f>
        <v/>
      </c>
      <c r="K305" t="str">
        <f t="shared" si="45"/>
        <v/>
      </c>
      <c r="L305" t="str">
        <f t="shared" si="46"/>
        <v/>
      </c>
      <c r="M305" t="str">
        <f t="shared" si="47"/>
        <v/>
      </c>
      <c r="N305" t="str">
        <f t="shared" si="48"/>
        <v/>
      </c>
      <c r="O305" t="str">
        <f t="shared" si="49"/>
        <v/>
      </c>
      <c r="P305" t="str">
        <f>IF(OR(H305="",NOT(OR(LEFT(H305,1)="G",LEFT(H305,1)="R"))),"",IFERROR(VLOOKUP(MID(H305,3,1),Map!$G$2:$H$10,2,FALSE),""))</f>
        <v/>
      </c>
      <c r="Q305" t="str">
        <f>IF(A305="","",IFERROR(VLOOKUP(MID(A305,4,1),Map!$O$2:$P$10,2,FALSE),""))</f>
        <v/>
      </c>
    </row>
    <row r="306" spans="2:17" x14ac:dyDescent="0.25">
      <c r="B306" t="str">
        <f t="shared" si="40"/>
        <v/>
      </c>
      <c r="C306" t="str">
        <f t="shared" si="41"/>
        <v>**</v>
      </c>
      <c r="D306" t="str">
        <f t="shared" si="42"/>
        <v/>
      </c>
      <c r="E306" t="str">
        <f>IFERROR(VLOOKUP(MID(A306,7,2),Map!$A$2:$B$20,2,FALSE),"")</f>
        <v/>
      </c>
      <c r="F306" t="str">
        <f>IF(A306="","",IFERROR(VLOOKUP(MID(A306,9,2),Map!$R$2:$S$14,2,FALSE),""))</f>
        <v/>
      </c>
      <c r="G306" t="str">
        <f t="shared" si="43"/>
        <v/>
      </c>
      <c r="H306" t="str">
        <f t="shared" si="44"/>
        <v/>
      </c>
      <c r="I306" t="str">
        <f>IF(A306="","",IFERROR(VLOOKUP(LEFT(A306,1),Map!$D$2:$E$20,2,FALSE),""))</f>
        <v/>
      </c>
      <c r="J306" t="str">
        <f>IF(OR(H306="",NOT(OR(LEFT(H306,1)="G",LEFT(H306,1)="R"))),"",IFERROR(VLOOKUP(MID(H306,2,1),Map!$J$2:$M$10,2,FALSE),""))</f>
        <v/>
      </c>
      <c r="K306" t="str">
        <f t="shared" si="45"/>
        <v/>
      </c>
      <c r="L306" t="str">
        <f t="shared" si="46"/>
        <v/>
      </c>
      <c r="M306" t="str">
        <f t="shared" si="47"/>
        <v/>
      </c>
      <c r="N306" t="str">
        <f t="shared" si="48"/>
        <v/>
      </c>
      <c r="O306" t="str">
        <f t="shared" si="49"/>
        <v/>
      </c>
      <c r="P306" t="str">
        <f>IF(OR(H306="",NOT(OR(LEFT(H306,1)="G",LEFT(H306,1)="R"))),"",IFERROR(VLOOKUP(MID(H306,3,1),Map!$G$2:$H$10,2,FALSE),""))</f>
        <v/>
      </c>
      <c r="Q306" t="str">
        <f>IF(A306="","",IFERROR(VLOOKUP(MID(A306,4,1),Map!$O$2:$P$10,2,FALSE),""))</f>
        <v/>
      </c>
    </row>
    <row r="307" spans="2:17" x14ac:dyDescent="0.25">
      <c r="B307" t="str">
        <f t="shared" si="40"/>
        <v/>
      </c>
      <c r="C307" t="str">
        <f t="shared" si="41"/>
        <v>**</v>
      </c>
      <c r="D307" t="str">
        <f t="shared" si="42"/>
        <v/>
      </c>
      <c r="E307" t="str">
        <f>IFERROR(VLOOKUP(MID(A307,7,2),Map!$A$2:$B$20,2,FALSE),"")</f>
        <v/>
      </c>
      <c r="F307" t="str">
        <f>IF(A307="","",IFERROR(VLOOKUP(MID(A307,9,2),Map!$R$2:$S$14,2,FALSE),""))</f>
        <v/>
      </c>
      <c r="G307" t="str">
        <f t="shared" si="43"/>
        <v/>
      </c>
      <c r="H307" t="str">
        <f t="shared" si="44"/>
        <v/>
      </c>
      <c r="I307" t="str">
        <f>IF(A307="","",IFERROR(VLOOKUP(LEFT(A307,1),Map!$D$2:$E$20,2,FALSE),""))</f>
        <v/>
      </c>
      <c r="J307" t="str">
        <f>IF(OR(H307="",NOT(OR(LEFT(H307,1)="G",LEFT(H307,1)="R"))),"",IFERROR(VLOOKUP(MID(H307,2,1),Map!$J$2:$M$10,2,FALSE),""))</f>
        <v/>
      </c>
      <c r="K307" t="str">
        <f t="shared" si="45"/>
        <v/>
      </c>
      <c r="L307" t="str">
        <f t="shared" si="46"/>
        <v/>
      </c>
      <c r="M307" t="str">
        <f t="shared" si="47"/>
        <v/>
      </c>
      <c r="N307" t="str">
        <f t="shared" si="48"/>
        <v/>
      </c>
      <c r="O307" t="str">
        <f t="shared" si="49"/>
        <v/>
      </c>
      <c r="P307" t="str">
        <f>IF(OR(H307="",NOT(OR(LEFT(H307,1)="G",LEFT(H307,1)="R"))),"",IFERROR(VLOOKUP(MID(H307,3,1),Map!$G$2:$H$10,2,FALSE),""))</f>
        <v/>
      </c>
      <c r="Q307" t="str">
        <f>IF(A307="","",IFERROR(VLOOKUP(MID(A307,4,1),Map!$O$2:$P$10,2,FALSE),""))</f>
        <v/>
      </c>
    </row>
    <row r="308" spans="2:17" x14ac:dyDescent="0.25">
      <c r="B308" t="str">
        <f t="shared" si="40"/>
        <v/>
      </c>
      <c r="C308" t="str">
        <f t="shared" si="41"/>
        <v>**</v>
      </c>
      <c r="D308" t="str">
        <f t="shared" si="42"/>
        <v/>
      </c>
      <c r="E308" t="str">
        <f>IFERROR(VLOOKUP(MID(A308,7,2),Map!$A$2:$B$20,2,FALSE),"")</f>
        <v/>
      </c>
      <c r="F308" t="str">
        <f>IF(A308="","",IFERROR(VLOOKUP(MID(A308,9,2),Map!$R$2:$S$14,2,FALSE),""))</f>
        <v/>
      </c>
      <c r="G308" t="str">
        <f t="shared" si="43"/>
        <v/>
      </c>
      <c r="H308" t="str">
        <f t="shared" si="44"/>
        <v/>
      </c>
      <c r="I308" t="str">
        <f>IF(A308="","",IFERROR(VLOOKUP(LEFT(A308,1),Map!$D$2:$E$20,2,FALSE),""))</f>
        <v/>
      </c>
      <c r="J308" t="str">
        <f>IF(OR(H308="",NOT(OR(LEFT(H308,1)="G",LEFT(H308,1)="R"))),"",IFERROR(VLOOKUP(MID(H308,2,1),Map!$J$2:$M$10,2,FALSE),""))</f>
        <v/>
      </c>
      <c r="K308" t="str">
        <f t="shared" si="45"/>
        <v/>
      </c>
      <c r="L308" t="str">
        <f t="shared" si="46"/>
        <v/>
      </c>
      <c r="M308" t="str">
        <f t="shared" si="47"/>
        <v/>
      </c>
      <c r="N308" t="str">
        <f t="shared" si="48"/>
        <v/>
      </c>
      <c r="O308" t="str">
        <f t="shared" si="49"/>
        <v/>
      </c>
      <c r="P308" t="str">
        <f>IF(OR(H308="",NOT(OR(LEFT(H308,1)="G",LEFT(H308,1)="R"))),"",IFERROR(VLOOKUP(MID(H308,3,1),Map!$G$2:$H$10,2,FALSE),""))</f>
        <v/>
      </c>
      <c r="Q308" t="str">
        <f>IF(A308="","",IFERROR(VLOOKUP(MID(A308,4,1),Map!$O$2:$P$10,2,FALSE),""))</f>
        <v/>
      </c>
    </row>
    <row r="309" spans="2:17" x14ac:dyDescent="0.25">
      <c r="B309" t="str">
        <f t="shared" si="40"/>
        <v/>
      </c>
      <c r="C309" t="str">
        <f t="shared" si="41"/>
        <v>**</v>
      </c>
      <c r="D309" t="str">
        <f t="shared" si="42"/>
        <v/>
      </c>
      <c r="E309" t="str">
        <f>IFERROR(VLOOKUP(MID(A309,7,2),Map!$A$2:$B$20,2,FALSE),"")</f>
        <v/>
      </c>
      <c r="F309" t="str">
        <f>IF(A309="","",IFERROR(VLOOKUP(MID(A309,9,2),Map!$R$2:$S$14,2,FALSE),""))</f>
        <v/>
      </c>
      <c r="G309" t="str">
        <f t="shared" si="43"/>
        <v/>
      </c>
      <c r="H309" t="str">
        <f t="shared" si="44"/>
        <v/>
      </c>
      <c r="I309" t="str">
        <f>IF(A309="","",IFERROR(VLOOKUP(LEFT(A309,1),Map!$D$2:$E$20,2,FALSE),""))</f>
        <v/>
      </c>
      <c r="J309" t="str">
        <f>IF(OR(H309="",NOT(OR(LEFT(H309,1)="G",LEFT(H309,1)="R"))),"",IFERROR(VLOOKUP(MID(H309,2,1),Map!$J$2:$M$10,2,FALSE),""))</f>
        <v/>
      </c>
      <c r="K309" t="str">
        <f t="shared" si="45"/>
        <v/>
      </c>
      <c r="L309" t="str">
        <f t="shared" si="46"/>
        <v/>
      </c>
      <c r="M309" t="str">
        <f t="shared" si="47"/>
        <v/>
      </c>
      <c r="N309" t="str">
        <f t="shared" si="48"/>
        <v/>
      </c>
      <c r="O309" t="str">
        <f t="shared" si="49"/>
        <v/>
      </c>
      <c r="P309" t="str">
        <f>IF(OR(H309="",NOT(OR(LEFT(H309,1)="G",LEFT(H309,1)="R"))),"",IFERROR(VLOOKUP(MID(H309,3,1),Map!$G$2:$H$10,2,FALSE),""))</f>
        <v/>
      </c>
      <c r="Q309" t="str">
        <f>IF(A309="","",IFERROR(VLOOKUP(MID(A309,4,1),Map!$O$2:$P$10,2,FALSE),""))</f>
        <v/>
      </c>
    </row>
    <row r="310" spans="2:17" x14ac:dyDescent="0.25">
      <c r="B310" t="str">
        <f t="shared" si="40"/>
        <v/>
      </c>
      <c r="C310" t="str">
        <f t="shared" si="41"/>
        <v>**</v>
      </c>
      <c r="D310" t="str">
        <f t="shared" si="42"/>
        <v/>
      </c>
      <c r="E310" t="str">
        <f>IFERROR(VLOOKUP(MID(A310,7,2),Map!$A$2:$B$20,2,FALSE),"")</f>
        <v/>
      </c>
      <c r="F310" t="str">
        <f>IF(A310="","",IFERROR(VLOOKUP(MID(A310,9,2),Map!$R$2:$S$14,2,FALSE),""))</f>
        <v/>
      </c>
      <c r="G310" t="str">
        <f t="shared" si="43"/>
        <v/>
      </c>
      <c r="H310" t="str">
        <f t="shared" si="44"/>
        <v/>
      </c>
      <c r="I310" t="str">
        <f>IF(A310="","",IFERROR(VLOOKUP(LEFT(A310,1),Map!$D$2:$E$20,2,FALSE),""))</f>
        <v/>
      </c>
      <c r="J310" t="str">
        <f>IF(OR(H310="",NOT(OR(LEFT(H310,1)="G",LEFT(H310,1)="R"))),"",IFERROR(VLOOKUP(MID(H310,2,1),Map!$J$2:$M$10,2,FALSE),""))</f>
        <v/>
      </c>
      <c r="K310" t="str">
        <f t="shared" si="45"/>
        <v/>
      </c>
      <c r="L310" t="str">
        <f t="shared" si="46"/>
        <v/>
      </c>
      <c r="M310" t="str">
        <f t="shared" si="47"/>
        <v/>
      </c>
      <c r="N310" t="str">
        <f t="shared" si="48"/>
        <v/>
      </c>
      <c r="O310" t="str">
        <f t="shared" si="49"/>
        <v/>
      </c>
      <c r="P310" t="str">
        <f>IF(OR(H310="",NOT(OR(LEFT(H310,1)="G",LEFT(H310,1)="R"))),"",IFERROR(VLOOKUP(MID(H310,3,1),Map!$G$2:$H$10,2,FALSE),""))</f>
        <v/>
      </c>
      <c r="Q310" t="str">
        <f>IF(A310="","",IFERROR(VLOOKUP(MID(A310,4,1),Map!$O$2:$P$10,2,FALSE),""))</f>
        <v/>
      </c>
    </row>
    <row r="311" spans="2:17" x14ac:dyDescent="0.25">
      <c r="B311" t="str">
        <f t="shared" si="40"/>
        <v/>
      </c>
      <c r="C311" t="str">
        <f t="shared" si="41"/>
        <v>**</v>
      </c>
      <c r="D311" t="str">
        <f t="shared" si="42"/>
        <v/>
      </c>
      <c r="E311" t="str">
        <f>IFERROR(VLOOKUP(MID(A311,7,2),Map!$A$2:$B$20,2,FALSE),"")</f>
        <v/>
      </c>
      <c r="F311" t="str">
        <f>IF(A311="","",IFERROR(VLOOKUP(MID(A311,9,2),Map!$R$2:$S$14,2,FALSE),""))</f>
        <v/>
      </c>
      <c r="G311" t="str">
        <f t="shared" si="43"/>
        <v/>
      </c>
      <c r="H311" t="str">
        <f t="shared" si="44"/>
        <v/>
      </c>
      <c r="I311" t="str">
        <f>IF(A311="","",IFERROR(VLOOKUP(LEFT(A311,1),Map!$D$2:$E$20,2,FALSE),""))</f>
        <v/>
      </c>
      <c r="J311" t="str">
        <f>IF(OR(H311="",NOT(OR(LEFT(H311,1)="G",LEFT(H311,1)="R"))),"",IFERROR(VLOOKUP(MID(H311,2,1),Map!$J$2:$M$10,2,FALSE),""))</f>
        <v/>
      </c>
      <c r="K311" t="str">
        <f t="shared" si="45"/>
        <v/>
      </c>
      <c r="L311" t="str">
        <f t="shared" si="46"/>
        <v/>
      </c>
      <c r="M311" t="str">
        <f t="shared" si="47"/>
        <v/>
      </c>
      <c r="N311" t="str">
        <f t="shared" si="48"/>
        <v/>
      </c>
      <c r="O311" t="str">
        <f t="shared" si="49"/>
        <v/>
      </c>
      <c r="P311" t="str">
        <f>IF(OR(H311="",NOT(OR(LEFT(H311,1)="G",LEFT(H311,1)="R"))),"",IFERROR(VLOOKUP(MID(H311,3,1),Map!$G$2:$H$10,2,FALSE),""))</f>
        <v/>
      </c>
      <c r="Q311" t="str">
        <f>IF(A311="","",IFERROR(VLOOKUP(MID(A311,4,1),Map!$O$2:$P$10,2,FALSE),""))</f>
        <v/>
      </c>
    </row>
    <row r="312" spans="2:17" x14ac:dyDescent="0.25">
      <c r="B312" t="str">
        <f t="shared" si="40"/>
        <v/>
      </c>
      <c r="C312" t="str">
        <f t="shared" si="41"/>
        <v>**</v>
      </c>
      <c r="D312" t="str">
        <f t="shared" si="42"/>
        <v/>
      </c>
      <c r="E312" t="str">
        <f>IFERROR(VLOOKUP(MID(A312,7,2),Map!$A$2:$B$20,2,FALSE),"")</f>
        <v/>
      </c>
      <c r="F312" t="str">
        <f>IF(A312="","",IFERROR(VLOOKUP(MID(A312,9,2),Map!$R$2:$S$14,2,FALSE),""))</f>
        <v/>
      </c>
      <c r="G312" t="str">
        <f t="shared" si="43"/>
        <v/>
      </c>
      <c r="H312" t="str">
        <f t="shared" si="44"/>
        <v/>
      </c>
      <c r="I312" t="str">
        <f>IF(A312="","",IFERROR(VLOOKUP(LEFT(A312,1),Map!$D$2:$E$20,2,FALSE),""))</f>
        <v/>
      </c>
      <c r="J312" t="str">
        <f>IF(OR(H312="",NOT(OR(LEFT(H312,1)="G",LEFT(H312,1)="R"))),"",IFERROR(VLOOKUP(MID(H312,2,1),Map!$J$2:$M$10,2,FALSE),""))</f>
        <v/>
      </c>
      <c r="K312" t="str">
        <f t="shared" si="45"/>
        <v/>
      </c>
      <c r="L312" t="str">
        <f t="shared" si="46"/>
        <v/>
      </c>
      <c r="M312" t="str">
        <f t="shared" si="47"/>
        <v/>
      </c>
      <c r="N312" t="str">
        <f t="shared" si="48"/>
        <v/>
      </c>
      <c r="O312" t="str">
        <f t="shared" si="49"/>
        <v/>
      </c>
      <c r="P312" t="str">
        <f>IF(OR(H312="",NOT(OR(LEFT(H312,1)="G",LEFT(H312,1)="R"))),"",IFERROR(VLOOKUP(MID(H312,3,1),Map!$G$2:$H$10,2,FALSE),""))</f>
        <v/>
      </c>
      <c r="Q312" t="str">
        <f>IF(A312="","",IFERROR(VLOOKUP(MID(A312,4,1),Map!$O$2:$P$10,2,FALSE),""))</f>
        <v/>
      </c>
    </row>
    <row r="313" spans="2:17" x14ac:dyDescent="0.25">
      <c r="B313" t="str">
        <f t="shared" si="40"/>
        <v/>
      </c>
      <c r="C313" t="str">
        <f t="shared" si="41"/>
        <v>**</v>
      </c>
      <c r="D313" t="str">
        <f t="shared" si="42"/>
        <v/>
      </c>
      <c r="E313" t="str">
        <f>IFERROR(VLOOKUP(MID(A313,7,2),Map!$A$2:$B$20,2,FALSE),"")</f>
        <v/>
      </c>
      <c r="F313" t="str">
        <f>IF(A313="","",IFERROR(VLOOKUP(MID(A313,9,2),Map!$R$2:$S$14,2,FALSE),""))</f>
        <v/>
      </c>
      <c r="G313" t="str">
        <f t="shared" si="43"/>
        <v/>
      </c>
      <c r="H313" t="str">
        <f t="shared" si="44"/>
        <v/>
      </c>
      <c r="I313" t="str">
        <f>IF(A313="","",IFERROR(VLOOKUP(LEFT(A313,1),Map!$D$2:$E$20,2,FALSE),""))</f>
        <v/>
      </c>
      <c r="J313" t="str">
        <f>IF(OR(H313="",NOT(OR(LEFT(H313,1)="G",LEFT(H313,1)="R"))),"",IFERROR(VLOOKUP(MID(H313,2,1),Map!$J$2:$M$10,2,FALSE),""))</f>
        <v/>
      </c>
      <c r="K313" t="str">
        <f t="shared" si="45"/>
        <v/>
      </c>
      <c r="L313" t="str">
        <f t="shared" si="46"/>
        <v/>
      </c>
      <c r="M313" t="str">
        <f t="shared" si="47"/>
        <v/>
      </c>
      <c r="N313" t="str">
        <f t="shared" si="48"/>
        <v/>
      </c>
      <c r="O313" t="str">
        <f t="shared" si="49"/>
        <v/>
      </c>
      <c r="P313" t="str">
        <f>IF(OR(H313="",NOT(OR(LEFT(H313,1)="G",LEFT(H313,1)="R"))),"",IFERROR(VLOOKUP(MID(H313,3,1),Map!$G$2:$H$10,2,FALSE),""))</f>
        <v/>
      </c>
      <c r="Q313" t="str">
        <f>IF(A313="","",IFERROR(VLOOKUP(MID(A313,4,1),Map!$O$2:$P$10,2,FALSE),""))</f>
        <v/>
      </c>
    </row>
    <row r="314" spans="2:17" x14ac:dyDescent="0.25">
      <c r="B314" t="str">
        <f t="shared" si="40"/>
        <v/>
      </c>
      <c r="C314" t="str">
        <f t="shared" si="41"/>
        <v>**</v>
      </c>
      <c r="D314" t="str">
        <f t="shared" si="42"/>
        <v/>
      </c>
      <c r="E314" t="str">
        <f>IFERROR(VLOOKUP(MID(A314,7,2),Map!$A$2:$B$20,2,FALSE),"")</f>
        <v/>
      </c>
      <c r="F314" t="str">
        <f>IF(A314="","",IFERROR(VLOOKUP(MID(A314,9,2),Map!$R$2:$S$14,2,FALSE),""))</f>
        <v/>
      </c>
      <c r="G314" t="str">
        <f t="shared" si="43"/>
        <v/>
      </c>
      <c r="H314" t="str">
        <f t="shared" si="44"/>
        <v/>
      </c>
      <c r="I314" t="str">
        <f>IF(A314="","",IFERROR(VLOOKUP(LEFT(A314,1),Map!$D$2:$E$20,2,FALSE),""))</f>
        <v/>
      </c>
      <c r="J314" t="str">
        <f>IF(OR(H314="",NOT(OR(LEFT(H314,1)="G",LEFT(H314,1)="R"))),"",IFERROR(VLOOKUP(MID(H314,2,1),Map!$J$2:$M$10,2,FALSE),""))</f>
        <v/>
      </c>
      <c r="K314" t="str">
        <f t="shared" si="45"/>
        <v/>
      </c>
      <c r="L314" t="str">
        <f t="shared" si="46"/>
        <v/>
      </c>
      <c r="M314" t="str">
        <f t="shared" si="47"/>
        <v/>
      </c>
      <c r="N314" t="str">
        <f t="shared" si="48"/>
        <v/>
      </c>
      <c r="O314" t="str">
        <f t="shared" si="49"/>
        <v/>
      </c>
      <c r="P314" t="str">
        <f>IF(OR(H314="",NOT(OR(LEFT(H314,1)="G",LEFT(H314,1)="R"))),"",IFERROR(VLOOKUP(MID(H314,3,1),Map!$G$2:$H$10,2,FALSE),""))</f>
        <v/>
      </c>
      <c r="Q314" t="str">
        <f>IF(A314="","",IFERROR(VLOOKUP(MID(A314,4,1),Map!$O$2:$P$10,2,FALSE),""))</f>
        <v/>
      </c>
    </row>
    <row r="315" spans="2:17" x14ac:dyDescent="0.25">
      <c r="B315" t="str">
        <f t="shared" si="40"/>
        <v/>
      </c>
      <c r="C315" t="str">
        <f t="shared" si="41"/>
        <v>**</v>
      </c>
      <c r="D315" t="str">
        <f t="shared" si="42"/>
        <v/>
      </c>
      <c r="E315" t="str">
        <f>IFERROR(VLOOKUP(MID(A315,7,2),Map!$A$2:$B$20,2,FALSE),"")</f>
        <v/>
      </c>
      <c r="F315" t="str">
        <f>IF(A315="","",IFERROR(VLOOKUP(MID(A315,9,2),Map!$R$2:$S$14,2,FALSE),""))</f>
        <v/>
      </c>
      <c r="G315" t="str">
        <f t="shared" si="43"/>
        <v/>
      </c>
      <c r="H315" t="str">
        <f t="shared" si="44"/>
        <v/>
      </c>
      <c r="I315" t="str">
        <f>IF(A315="","",IFERROR(VLOOKUP(LEFT(A315,1),Map!$D$2:$E$20,2,FALSE),""))</f>
        <v/>
      </c>
      <c r="J315" t="str">
        <f>IF(OR(H315="",NOT(OR(LEFT(H315,1)="G",LEFT(H315,1)="R"))),"",IFERROR(VLOOKUP(MID(H315,2,1),Map!$J$2:$M$10,2,FALSE),""))</f>
        <v/>
      </c>
      <c r="K315" t="str">
        <f t="shared" si="45"/>
        <v/>
      </c>
      <c r="L315" t="str">
        <f t="shared" si="46"/>
        <v/>
      </c>
      <c r="M315" t="str">
        <f t="shared" si="47"/>
        <v/>
      </c>
      <c r="N315" t="str">
        <f t="shared" si="48"/>
        <v/>
      </c>
      <c r="O315" t="str">
        <f t="shared" si="49"/>
        <v/>
      </c>
      <c r="P315" t="str">
        <f>IF(OR(H315="",NOT(OR(LEFT(H315,1)="G",LEFT(H315,1)="R"))),"",IFERROR(VLOOKUP(MID(H315,3,1),Map!$G$2:$H$10,2,FALSE),""))</f>
        <v/>
      </c>
      <c r="Q315" t="str">
        <f>IF(A315="","",IFERROR(VLOOKUP(MID(A315,4,1),Map!$O$2:$P$10,2,FALSE),""))</f>
        <v/>
      </c>
    </row>
    <row r="316" spans="2:17" x14ac:dyDescent="0.25">
      <c r="B316" t="str">
        <f t="shared" si="40"/>
        <v/>
      </c>
      <c r="C316" t="str">
        <f t="shared" si="41"/>
        <v>**</v>
      </c>
      <c r="D316" t="str">
        <f t="shared" si="42"/>
        <v/>
      </c>
      <c r="E316" t="str">
        <f>IFERROR(VLOOKUP(MID(A316,7,2),Map!$A$2:$B$20,2,FALSE),"")</f>
        <v/>
      </c>
      <c r="F316" t="str">
        <f>IF(A316="","",IFERROR(VLOOKUP(MID(A316,9,2),Map!$R$2:$S$14,2,FALSE),""))</f>
        <v/>
      </c>
      <c r="G316" t="str">
        <f t="shared" si="43"/>
        <v/>
      </c>
      <c r="H316" t="str">
        <f t="shared" si="44"/>
        <v/>
      </c>
      <c r="I316" t="str">
        <f>IF(A316="","",IFERROR(VLOOKUP(LEFT(A316,1),Map!$D$2:$E$20,2,FALSE),""))</f>
        <v/>
      </c>
      <c r="J316" t="str">
        <f>IF(OR(H316="",NOT(OR(LEFT(H316,1)="G",LEFT(H316,1)="R"))),"",IFERROR(VLOOKUP(MID(H316,2,1),Map!$J$2:$M$10,2,FALSE),""))</f>
        <v/>
      </c>
      <c r="K316" t="str">
        <f t="shared" si="45"/>
        <v/>
      </c>
      <c r="L316" t="str">
        <f t="shared" si="46"/>
        <v/>
      </c>
      <c r="M316" t="str">
        <f t="shared" si="47"/>
        <v/>
      </c>
      <c r="N316" t="str">
        <f t="shared" si="48"/>
        <v/>
      </c>
      <c r="O316" t="str">
        <f t="shared" si="49"/>
        <v/>
      </c>
      <c r="P316" t="str">
        <f>IF(OR(H316="",NOT(OR(LEFT(H316,1)="G",LEFT(H316,1)="R"))),"",IFERROR(VLOOKUP(MID(H316,3,1),Map!$G$2:$H$10,2,FALSE),""))</f>
        <v/>
      </c>
      <c r="Q316" t="str">
        <f>IF(A316="","",IFERROR(VLOOKUP(MID(A316,4,1),Map!$O$2:$P$10,2,FALSE),""))</f>
        <v/>
      </c>
    </row>
    <row r="317" spans="2:17" x14ac:dyDescent="0.25">
      <c r="B317" t="str">
        <f t="shared" si="40"/>
        <v/>
      </c>
      <c r="C317" t="str">
        <f t="shared" si="41"/>
        <v>**</v>
      </c>
      <c r="D317" t="str">
        <f t="shared" si="42"/>
        <v/>
      </c>
      <c r="E317" t="str">
        <f>IFERROR(VLOOKUP(MID(A317,7,2),Map!$A$2:$B$20,2,FALSE),"")</f>
        <v/>
      </c>
      <c r="F317" t="str">
        <f>IF(A317="","",IFERROR(VLOOKUP(MID(A317,9,2),Map!$R$2:$S$14,2,FALSE),""))</f>
        <v/>
      </c>
      <c r="G317" t="str">
        <f t="shared" si="43"/>
        <v/>
      </c>
      <c r="H317" t="str">
        <f t="shared" si="44"/>
        <v/>
      </c>
      <c r="I317" t="str">
        <f>IF(A317="","",IFERROR(VLOOKUP(LEFT(A317,1),Map!$D$2:$E$20,2,FALSE),""))</f>
        <v/>
      </c>
      <c r="J317" t="str">
        <f>IF(OR(H317="",NOT(OR(LEFT(H317,1)="G",LEFT(H317,1)="R"))),"",IFERROR(VLOOKUP(MID(H317,2,1),Map!$J$2:$M$10,2,FALSE),""))</f>
        <v/>
      </c>
      <c r="K317" t="str">
        <f t="shared" si="45"/>
        <v/>
      </c>
      <c r="L317" t="str">
        <f t="shared" si="46"/>
        <v/>
      </c>
      <c r="M317" t="str">
        <f t="shared" si="47"/>
        <v/>
      </c>
      <c r="N317" t="str">
        <f t="shared" si="48"/>
        <v/>
      </c>
      <c r="O317" t="str">
        <f t="shared" si="49"/>
        <v/>
      </c>
      <c r="P317" t="str">
        <f>IF(OR(H317="",NOT(OR(LEFT(H317,1)="G",LEFT(H317,1)="R"))),"",IFERROR(VLOOKUP(MID(H317,3,1),Map!$G$2:$H$10,2,FALSE),""))</f>
        <v/>
      </c>
      <c r="Q317" t="str">
        <f>IF(A317="","",IFERROR(VLOOKUP(MID(A317,4,1),Map!$O$2:$P$10,2,FALSE),""))</f>
        <v/>
      </c>
    </row>
    <row r="318" spans="2:17" x14ac:dyDescent="0.25">
      <c r="B318" t="str">
        <f t="shared" si="40"/>
        <v/>
      </c>
      <c r="C318" t="str">
        <f t="shared" si="41"/>
        <v>**</v>
      </c>
      <c r="D318" t="str">
        <f t="shared" si="42"/>
        <v/>
      </c>
      <c r="E318" t="str">
        <f>IFERROR(VLOOKUP(MID(A318,7,2),Map!$A$2:$B$20,2,FALSE),"")</f>
        <v/>
      </c>
      <c r="F318" t="str">
        <f>IF(A318="","",IFERROR(VLOOKUP(MID(A318,9,2),Map!$R$2:$S$14,2,FALSE),""))</f>
        <v/>
      </c>
      <c r="G318" t="str">
        <f t="shared" si="43"/>
        <v/>
      </c>
      <c r="H318" t="str">
        <f t="shared" si="44"/>
        <v/>
      </c>
      <c r="I318" t="str">
        <f>IF(A318="","",IFERROR(VLOOKUP(LEFT(A318,1),Map!$D$2:$E$20,2,FALSE),""))</f>
        <v/>
      </c>
      <c r="J318" t="str">
        <f>IF(OR(H318="",NOT(OR(LEFT(H318,1)="G",LEFT(H318,1)="R"))),"",IFERROR(VLOOKUP(MID(H318,2,1),Map!$J$2:$M$10,2,FALSE),""))</f>
        <v/>
      </c>
      <c r="K318" t="str">
        <f t="shared" si="45"/>
        <v/>
      </c>
      <c r="L318" t="str">
        <f t="shared" si="46"/>
        <v/>
      </c>
      <c r="M318" t="str">
        <f t="shared" si="47"/>
        <v/>
      </c>
      <c r="N318" t="str">
        <f t="shared" si="48"/>
        <v/>
      </c>
      <c r="O318" t="str">
        <f t="shared" si="49"/>
        <v/>
      </c>
      <c r="P318" t="str">
        <f>IF(OR(H318="",NOT(OR(LEFT(H318,1)="G",LEFT(H318,1)="R"))),"",IFERROR(VLOOKUP(MID(H318,3,1),Map!$G$2:$H$10,2,FALSE),""))</f>
        <v/>
      </c>
      <c r="Q318" t="str">
        <f>IF(A318="","",IFERROR(VLOOKUP(MID(A318,4,1),Map!$O$2:$P$10,2,FALSE),""))</f>
        <v/>
      </c>
    </row>
    <row r="319" spans="2:17" x14ac:dyDescent="0.25">
      <c r="B319" t="str">
        <f t="shared" si="40"/>
        <v/>
      </c>
      <c r="C319" t="str">
        <f t="shared" si="41"/>
        <v>**</v>
      </c>
      <c r="D319" t="str">
        <f t="shared" si="42"/>
        <v/>
      </c>
      <c r="E319" t="str">
        <f>IFERROR(VLOOKUP(MID(A319,7,2),Map!$A$2:$B$20,2,FALSE),"")</f>
        <v/>
      </c>
      <c r="F319" t="str">
        <f>IF(A319="","",IFERROR(VLOOKUP(MID(A319,9,2),Map!$R$2:$S$14,2,FALSE),""))</f>
        <v/>
      </c>
      <c r="G319" t="str">
        <f t="shared" si="43"/>
        <v/>
      </c>
      <c r="H319" t="str">
        <f t="shared" si="44"/>
        <v/>
      </c>
      <c r="I319" t="str">
        <f>IF(A319="","",IFERROR(VLOOKUP(LEFT(A319,1),Map!$D$2:$E$20,2,FALSE),""))</f>
        <v/>
      </c>
      <c r="J319" t="str">
        <f>IF(OR(H319="",NOT(OR(LEFT(H319,1)="G",LEFT(H319,1)="R"))),"",IFERROR(VLOOKUP(MID(H319,2,1),Map!$J$2:$M$10,2,FALSE),""))</f>
        <v/>
      </c>
      <c r="K319" t="str">
        <f t="shared" si="45"/>
        <v/>
      </c>
      <c r="L319" t="str">
        <f t="shared" si="46"/>
        <v/>
      </c>
      <c r="M319" t="str">
        <f t="shared" si="47"/>
        <v/>
      </c>
      <c r="N319" t="str">
        <f t="shared" si="48"/>
        <v/>
      </c>
      <c r="O319" t="str">
        <f t="shared" si="49"/>
        <v/>
      </c>
      <c r="P319" t="str">
        <f>IF(OR(H319="",NOT(OR(LEFT(H319,1)="G",LEFT(H319,1)="R"))),"",IFERROR(VLOOKUP(MID(H319,3,1),Map!$G$2:$H$10,2,FALSE),""))</f>
        <v/>
      </c>
      <c r="Q319" t="str">
        <f>IF(A319="","",IFERROR(VLOOKUP(MID(A319,4,1),Map!$O$2:$P$10,2,FALSE),""))</f>
        <v/>
      </c>
    </row>
    <row r="320" spans="2:17" x14ac:dyDescent="0.25">
      <c r="B320" t="str">
        <f t="shared" si="40"/>
        <v/>
      </c>
      <c r="C320" t="str">
        <f t="shared" si="41"/>
        <v>**</v>
      </c>
      <c r="D320" t="str">
        <f t="shared" si="42"/>
        <v/>
      </c>
      <c r="E320" t="str">
        <f>IFERROR(VLOOKUP(MID(A320,7,2),Map!$A$2:$B$20,2,FALSE),"")</f>
        <v/>
      </c>
      <c r="F320" t="str">
        <f>IF(A320="","",IFERROR(VLOOKUP(MID(A320,9,2),Map!$R$2:$S$14,2,FALSE),""))</f>
        <v/>
      </c>
      <c r="G320" t="str">
        <f t="shared" si="43"/>
        <v/>
      </c>
      <c r="H320" t="str">
        <f t="shared" si="44"/>
        <v/>
      </c>
      <c r="I320" t="str">
        <f>IF(A320="","",IFERROR(VLOOKUP(LEFT(A320,1),Map!$D$2:$E$20,2,FALSE),""))</f>
        <v/>
      </c>
      <c r="J320" t="str">
        <f>IF(OR(H320="",NOT(OR(LEFT(H320,1)="G",LEFT(H320,1)="R"))),"",IFERROR(VLOOKUP(MID(H320,2,1),Map!$J$2:$M$10,2,FALSE),""))</f>
        <v/>
      </c>
      <c r="K320" t="str">
        <f t="shared" si="45"/>
        <v/>
      </c>
      <c r="L320" t="str">
        <f t="shared" si="46"/>
        <v/>
      </c>
      <c r="M320" t="str">
        <f t="shared" si="47"/>
        <v/>
      </c>
      <c r="N320" t="str">
        <f t="shared" si="48"/>
        <v/>
      </c>
      <c r="O320" t="str">
        <f t="shared" si="49"/>
        <v/>
      </c>
      <c r="P320" t="str">
        <f>IF(OR(H320="",NOT(OR(LEFT(H320,1)="G",LEFT(H320,1)="R"))),"",IFERROR(VLOOKUP(MID(H320,3,1),Map!$G$2:$H$10,2,FALSE),""))</f>
        <v/>
      </c>
      <c r="Q320" t="str">
        <f>IF(A320="","",IFERROR(VLOOKUP(MID(A320,4,1),Map!$O$2:$P$10,2,FALSE),""))</f>
        <v/>
      </c>
    </row>
    <row r="321" spans="2:17" x14ac:dyDescent="0.25">
      <c r="B321" t="str">
        <f t="shared" si="40"/>
        <v/>
      </c>
      <c r="C321" t="str">
        <f t="shared" si="41"/>
        <v>**</v>
      </c>
      <c r="D321" t="str">
        <f t="shared" si="42"/>
        <v/>
      </c>
      <c r="E321" t="str">
        <f>IFERROR(VLOOKUP(MID(A321,7,2),Map!$A$2:$B$20,2,FALSE),"")</f>
        <v/>
      </c>
      <c r="F321" t="str">
        <f>IF(A321="","",IFERROR(VLOOKUP(MID(A321,9,2),Map!$R$2:$S$14,2,FALSE),""))</f>
        <v/>
      </c>
      <c r="G321" t="str">
        <f t="shared" si="43"/>
        <v/>
      </c>
      <c r="H321" t="str">
        <f t="shared" si="44"/>
        <v/>
      </c>
      <c r="I321" t="str">
        <f>IF(A321="","",IFERROR(VLOOKUP(LEFT(A321,1),Map!$D$2:$E$20,2,FALSE),""))</f>
        <v/>
      </c>
      <c r="J321" t="str">
        <f>IF(OR(H321="",NOT(OR(LEFT(H321,1)="G",LEFT(H321,1)="R"))),"",IFERROR(VLOOKUP(MID(H321,2,1),Map!$J$2:$M$10,2,FALSE),""))</f>
        <v/>
      </c>
      <c r="K321" t="str">
        <f t="shared" si="45"/>
        <v/>
      </c>
      <c r="L321" t="str">
        <f t="shared" si="46"/>
        <v/>
      </c>
      <c r="M321" t="str">
        <f t="shared" si="47"/>
        <v/>
      </c>
      <c r="N321" t="str">
        <f t="shared" si="48"/>
        <v/>
      </c>
      <c r="O321" t="str">
        <f t="shared" si="49"/>
        <v/>
      </c>
      <c r="P321" t="str">
        <f>IF(OR(H321="",NOT(OR(LEFT(H321,1)="G",LEFT(H321,1)="R"))),"",IFERROR(VLOOKUP(MID(H321,3,1),Map!$G$2:$H$10,2,FALSE),""))</f>
        <v/>
      </c>
      <c r="Q321" t="str">
        <f>IF(A321="","",IFERROR(VLOOKUP(MID(A321,4,1),Map!$O$2:$P$10,2,FALSE),""))</f>
        <v/>
      </c>
    </row>
    <row r="322" spans="2:17" x14ac:dyDescent="0.25">
      <c r="B322" t="str">
        <f t="shared" ref="B322:B385" si="50">LEFT(A322,4)</f>
        <v/>
      </c>
      <c r="C322" t="str">
        <f t="shared" ref="C322:C385" si="51">LEFT(A322,2)&amp;"**"</f>
        <v>**</v>
      </c>
      <c r="D322" t="str">
        <f t="shared" ref="D322:D385" si="52">MID(A322,5,2)</f>
        <v/>
      </c>
      <c r="E322" t="str">
        <f>IFERROR(VLOOKUP(MID(A322,7,2),Map!$A$2:$B$20,2,FALSE),"")</f>
        <v/>
      </c>
      <c r="F322" t="str">
        <f>IF(A322="","",IFERROR(VLOOKUP(MID(A322,9,2),Map!$R$2:$S$14,2,FALSE),""))</f>
        <v/>
      </c>
      <c r="G322" t="str">
        <f t="shared" ref="G322:G385" si="53">IFERROR(MID(A322,FIND("-",A322)+1,FIND("-",A322,FIND("-",A322)+1)-FIND("-",A322)-1),"")</f>
        <v/>
      </c>
      <c r="H322" t="str">
        <f t="shared" ref="H322:H385" si="54">IFERROR(RIGHT(A322,LEN(A322)-FIND("-",A322,FIND("-",A322)+1)),"")</f>
        <v/>
      </c>
      <c r="I322" t="str">
        <f>IF(A322="","",IFERROR(VLOOKUP(LEFT(A322,1),Map!$D$2:$E$20,2,FALSE),""))</f>
        <v/>
      </c>
      <c r="J322" t="str">
        <f>IF(OR(H322="",NOT(OR(LEFT(H322,1)="G",LEFT(H322,1)="R"))),"",IFERROR(VLOOKUP(MID(H322,2,1),Map!$J$2:$M$10,2,FALSE),""))</f>
        <v/>
      </c>
      <c r="K322" t="str">
        <f t="shared" ref="K322:K385" si="55">IF(OR(H322="",NOT(OR(LEFT(H322,1)="G",LEFT(H322,1)="R")),MID(H322,2,1)&lt;&gt;"A"),"","M")</f>
        <v/>
      </c>
      <c r="L322" t="str">
        <f t="shared" ref="L322:L385" si="56">IF(OR(H322="",NOT(OR(LEFT(H322,1)="G",LEFT(H322,1)="R")),MID(H322,2,1)&lt;&gt;"A"),"","K")</f>
        <v/>
      </c>
      <c r="M322" t="str">
        <f t="shared" ref="M322:M385" si="57">IF(OR(H322="",NOT(OR(LEFT(H322,1)="G",LEFT(H322,1)="R"))),"","")</f>
        <v/>
      </c>
      <c r="N322" t="str">
        <f t="shared" ref="N322:N385" si="58">IF(OR(H322="",NOT(OR(LEFT(H322,1)="G",LEFT(H322,1)="R"))),"","")</f>
        <v/>
      </c>
      <c r="O322" t="str">
        <f t="shared" ref="O322:O385" si="59">IF(OR(H322="",NOT(OR(LEFT(H322,1)="G",LEFT(H322,1)="R"))),"","")</f>
        <v/>
      </c>
      <c r="P322" t="str">
        <f>IF(OR(H322="",NOT(OR(LEFT(H322,1)="G",LEFT(H322,1)="R"))),"",IFERROR(VLOOKUP(MID(H322,3,1),Map!$G$2:$H$10,2,FALSE),""))</f>
        <v/>
      </c>
      <c r="Q322" t="str">
        <f>IF(A322="","",IFERROR(VLOOKUP(MID(A322,4,1),Map!$O$2:$P$10,2,FALSE),""))</f>
        <v/>
      </c>
    </row>
    <row r="323" spans="2:17" x14ac:dyDescent="0.25">
      <c r="B323" t="str">
        <f t="shared" si="50"/>
        <v/>
      </c>
      <c r="C323" t="str">
        <f t="shared" si="51"/>
        <v>**</v>
      </c>
      <c r="D323" t="str">
        <f t="shared" si="52"/>
        <v/>
      </c>
      <c r="E323" t="str">
        <f>IFERROR(VLOOKUP(MID(A323,7,2),Map!$A$2:$B$20,2,FALSE),"")</f>
        <v/>
      </c>
      <c r="F323" t="str">
        <f>IF(A323="","",IFERROR(VLOOKUP(MID(A323,9,2),Map!$R$2:$S$14,2,FALSE),""))</f>
        <v/>
      </c>
      <c r="G323" t="str">
        <f t="shared" si="53"/>
        <v/>
      </c>
      <c r="H323" t="str">
        <f t="shared" si="54"/>
        <v/>
      </c>
      <c r="I323" t="str">
        <f>IF(A323="","",IFERROR(VLOOKUP(LEFT(A323,1),Map!$D$2:$E$20,2,FALSE),""))</f>
        <v/>
      </c>
      <c r="J323" t="str">
        <f>IF(OR(H323="",NOT(OR(LEFT(H323,1)="G",LEFT(H323,1)="R"))),"",IFERROR(VLOOKUP(MID(H323,2,1),Map!$J$2:$M$10,2,FALSE),""))</f>
        <v/>
      </c>
      <c r="K323" t="str">
        <f t="shared" si="55"/>
        <v/>
      </c>
      <c r="L323" t="str">
        <f t="shared" si="56"/>
        <v/>
      </c>
      <c r="M323" t="str">
        <f t="shared" si="57"/>
        <v/>
      </c>
      <c r="N323" t="str">
        <f t="shared" si="58"/>
        <v/>
      </c>
      <c r="O323" t="str">
        <f t="shared" si="59"/>
        <v/>
      </c>
      <c r="P323" t="str">
        <f>IF(OR(H323="",NOT(OR(LEFT(H323,1)="G",LEFT(H323,1)="R"))),"",IFERROR(VLOOKUP(MID(H323,3,1),Map!$G$2:$H$10,2,FALSE),""))</f>
        <v/>
      </c>
      <c r="Q323" t="str">
        <f>IF(A323="","",IFERROR(VLOOKUP(MID(A323,4,1),Map!$O$2:$P$10,2,FALSE),""))</f>
        <v/>
      </c>
    </row>
    <row r="324" spans="2:17" x14ac:dyDescent="0.25">
      <c r="B324" t="str">
        <f t="shared" si="50"/>
        <v/>
      </c>
      <c r="C324" t="str">
        <f t="shared" si="51"/>
        <v>**</v>
      </c>
      <c r="D324" t="str">
        <f t="shared" si="52"/>
        <v/>
      </c>
      <c r="E324" t="str">
        <f>IFERROR(VLOOKUP(MID(A324,7,2),Map!$A$2:$B$20,2,FALSE),"")</f>
        <v/>
      </c>
      <c r="F324" t="str">
        <f>IF(A324="","",IFERROR(VLOOKUP(MID(A324,9,2),Map!$R$2:$S$14,2,FALSE),""))</f>
        <v/>
      </c>
      <c r="G324" t="str">
        <f t="shared" si="53"/>
        <v/>
      </c>
      <c r="H324" t="str">
        <f t="shared" si="54"/>
        <v/>
      </c>
      <c r="I324" t="str">
        <f>IF(A324="","",IFERROR(VLOOKUP(LEFT(A324,1),Map!$D$2:$E$20,2,FALSE),""))</f>
        <v/>
      </c>
      <c r="J324" t="str">
        <f>IF(OR(H324="",NOT(OR(LEFT(H324,1)="G",LEFT(H324,1)="R"))),"",IFERROR(VLOOKUP(MID(H324,2,1),Map!$J$2:$M$10,2,FALSE),""))</f>
        <v/>
      </c>
      <c r="K324" t="str">
        <f t="shared" si="55"/>
        <v/>
      </c>
      <c r="L324" t="str">
        <f t="shared" si="56"/>
        <v/>
      </c>
      <c r="M324" t="str">
        <f t="shared" si="57"/>
        <v/>
      </c>
      <c r="N324" t="str">
        <f t="shared" si="58"/>
        <v/>
      </c>
      <c r="O324" t="str">
        <f t="shared" si="59"/>
        <v/>
      </c>
      <c r="P324" t="str">
        <f>IF(OR(H324="",NOT(OR(LEFT(H324,1)="G",LEFT(H324,1)="R"))),"",IFERROR(VLOOKUP(MID(H324,3,1),Map!$G$2:$H$10,2,FALSE),""))</f>
        <v/>
      </c>
      <c r="Q324" t="str">
        <f>IF(A324="","",IFERROR(VLOOKUP(MID(A324,4,1),Map!$O$2:$P$10,2,FALSE),""))</f>
        <v/>
      </c>
    </row>
    <row r="325" spans="2:17" x14ac:dyDescent="0.25">
      <c r="B325" t="str">
        <f t="shared" si="50"/>
        <v/>
      </c>
      <c r="C325" t="str">
        <f t="shared" si="51"/>
        <v>**</v>
      </c>
      <c r="D325" t="str">
        <f t="shared" si="52"/>
        <v/>
      </c>
      <c r="E325" t="str">
        <f>IFERROR(VLOOKUP(MID(A325,7,2),Map!$A$2:$B$20,2,FALSE),"")</f>
        <v/>
      </c>
      <c r="F325" t="str">
        <f>IF(A325="","",IFERROR(VLOOKUP(MID(A325,9,2),Map!$R$2:$S$14,2,FALSE),""))</f>
        <v/>
      </c>
      <c r="G325" t="str">
        <f t="shared" si="53"/>
        <v/>
      </c>
      <c r="H325" t="str">
        <f t="shared" si="54"/>
        <v/>
      </c>
      <c r="I325" t="str">
        <f>IF(A325="","",IFERROR(VLOOKUP(LEFT(A325,1),Map!$D$2:$E$20,2,FALSE),""))</f>
        <v/>
      </c>
      <c r="J325" t="str">
        <f>IF(OR(H325="",NOT(OR(LEFT(H325,1)="G",LEFT(H325,1)="R"))),"",IFERROR(VLOOKUP(MID(H325,2,1),Map!$J$2:$M$10,2,FALSE),""))</f>
        <v/>
      </c>
      <c r="K325" t="str">
        <f t="shared" si="55"/>
        <v/>
      </c>
      <c r="L325" t="str">
        <f t="shared" si="56"/>
        <v/>
      </c>
      <c r="M325" t="str">
        <f t="shared" si="57"/>
        <v/>
      </c>
      <c r="N325" t="str">
        <f t="shared" si="58"/>
        <v/>
      </c>
      <c r="O325" t="str">
        <f t="shared" si="59"/>
        <v/>
      </c>
      <c r="P325" t="str">
        <f>IF(OR(H325="",NOT(OR(LEFT(H325,1)="G",LEFT(H325,1)="R"))),"",IFERROR(VLOOKUP(MID(H325,3,1),Map!$G$2:$H$10,2,FALSE),""))</f>
        <v/>
      </c>
      <c r="Q325" t="str">
        <f>IF(A325="","",IFERROR(VLOOKUP(MID(A325,4,1),Map!$O$2:$P$10,2,FALSE),""))</f>
        <v/>
      </c>
    </row>
    <row r="326" spans="2:17" x14ac:dyDescent="0.25">
      <c r="B326" t="str">
        <f t="shared" si="50"/>
        <v/>
      </c>
      <c r="C326" t="str">
        <f t="shared" si="51"/>
        <v>**</v>
      </c>
      <c r="D326" t="str">
        <f t="shared" si="52"/>
        <v/>
      </c>
      <c r="E326" t="str">
        <f>IFERROR(VLOOKUP(MID(A326,7,2),Map!$A$2:$B$20,2,FALSE),"")</f>
        <v/>
      </c>
      <c r="F326" t="str">
        <f>IF(A326="","",IFERROR(VLOOKUP(MID(A326,9,2),Map!$R$2:$S$14,2,FALSE),""))</f>
        <v/>
      </c>
      <c r="G326" t="str">
        <f t="shared" si="53"/>
        <v/>
      </c>
      <c r="H326" t="str">
        <f t="shared" si="54"/>
        <v/>
      </c>
      <c r="I326" t="str">
        <f>IF(A326="","",IFERROR(VLOOKUP(LEFT(A326,1),Map!$D$2:$E$20,2,FALSE),""))</f>
        <v/>
      </c>
      <c r="J326" t="str">
        <f>IF(OR(H326="",NOT(OR(LEFT(H326,1)="G",LEFT(H326,1)="R"))),"",IFERROR(VLOOKUP(MID(H326,2,1),Map!$J$2:$M$10,2,FALSE),""))</f>
        <v/>
      </c>
      <c r="K326" t="str">
        <f t="shared" si="55"/>
        <v/>
      </c>
      <c r="L326" t="str">
        <f t="shared" si="56"/>
        <v/>
      </c>
      <c r="M326" t="str">
        <f t="shared" si="57"/>
        <v/>
      </c>
      <c r="N326" t="str">
        <f t="shared" si="58"/>
        <v/>
      </c>
      <c r="O326" t="str">
        <f t="shared" si="59"/>
        <v/>
      </c>
      <c r="P326" t="str">
        <f>IF(OR(H326="",NOT(OR(LEFT(H326,1)="G",LEFT(H326,1)="R"))),"",IFERROR(VLOOKUP(MID(H326,3,1),Map!$G$2:$H$10,2,FALSE),""))</f>
        <v/>
      </c>
      <c r="Q326" t="str">
        <f>IF(A326="","",IFERROR(VLOOKUP(MID(A326,4,1),Map!$O$2:$P$10,2,FALSE),""))</f>
        <v/>
      </c>
    </row>
    <row r="327" spans="2:17" x14ac:dyDescent="0.25">
      <c r="B327" t="str">
        <f t="shared" si="50"/>
        <v/>
      </c>
      <c r="C327" t="str">
        <f t="shared" si="51"/>
        <v>**</v>
      </c>
      <c r="D327" t="str">
        <f t="shared" si="52"/>
        <v/>
      </c>
      <c r="E327" t="str">
        <f>IFERROR(VLOOKUP(MID(A327,7,2),Map!$A$2:$B$20,2,FALSE),"")</f>
        <v/>
      </c>
      <c r="F327" t="str">
        <f>IF(A327="","",IFERROR(VLOOKUP(MID(A327,9,2),Map!$R$2:$S$14,2,FALSE),""))</f>
        <v/>
      </c>
      <c r="G327" t="str">
        <f t="shared" si="53"/>
        <v/>
      </c>
      <c r="H327" t="str">
        <f t="shared" si="54"/>
        <v/>
      </c>
      <c r="I327" t="str">
        <f>IF(A327="","",IFERROR(VLOOKUP(LEFT(A327,1),Map!$D$2:$E$20,2,FALSE),""))</f>
        <v/>
      </c>
      <c r="J327" t="str">
        <f>IF(OR(H327="",NOT(OR(LEFT(H327,1)="G",LEFT(H327,1)="R"))),"",IFERROR(VLOOKUP(MID(H327,2,1),Map!$J$2:$M$10,2,FALSE),""))</f>
        <v/>
      </c>
      <c r="K327" t="str">
        <f t="shared" si="55"/>
        <v/>
      </c>
      <c r="L327" t="str">
        <f t="shared" si="56"/>
        <v/>
      </c>
      <c r="M327" t="str">
        <f t="shared" si="57"/>
        <v/>
      </c>
      <c r="N327" t="str">
        <f t="shared" si="58"/>
        <v/>
      </c>
      <c r="O327" t="str">
        <f t="shared" si="59"/>
        <v/>
      </c>
      <c r="P327" t="str">
        <f>IF(OR(H327="",NOT(OR(LEFT(H327,1)="G",LEFT(H327,1)="R"))),"",IFERROR(VLOOKUP(MID(H327,3,1),Map!$G$2:$H$10,2,FALSE),""))</f>
        <v/>
      </c>
      <c r="Q327" t="str">
        <f>IF(A327="","",IFERROR(VLOOKUP(MID(A327,4,1),Map!$O$2:$P$10,2,FALSE),""))</f>
        <v/>
      </c>
    </row>
    <row r="328" spans="2:17" x14ac:dyDescent="0.25">
      <c r="B328" t="str">
        <f t="shared" si="50"/>
        <v/>
      </c>
      <c r="C328" t="str">
        <f t="shared" si="51"/>
        <v>**</v>
      </c>
      <c r="D328" t="str">
        <f t="shared" si="52"/>
        <v/>
      </c>
      <c r="E328" t="str">
        <f>IFERROR(VLOOKUP(MID(A328,7,2),Map!$A$2:$B$20,2,FALSE),"")</f>
        <v/>
      </c>
      <c r="F328" t="str">
        <f>IF(A328="","",IFERROR(VLOOKUP(MID(A328,9,2),Map!$R$2:$S$14,2,FALSE),""))</f>
        <v/>
      </c>
      <c r="G328" t="str">
        <f t="shared" si="53"/>
        <v/>
      </c>
      <c r="H328" t="str">
        <f t="shared" si="54"/>
        <v/>
      </c>
      <c r="I328" t="str">
        <f>IF(A328="","",IFERROR(VLOOKUP(LEFT(A328,1),Map!$D$2:$E$20,2,FALSE),""))</f>
        <v/>
      </c>
      <c r="J328" t="str">
        <f>IF(OR(H328="",NOT(OR(LEFT(H328,1)="G",LEFT(H328,1)="R"))),"",IFERROR(VLOOKUP(MID(H328,2,1),Map!$J$2:$M$10,2,FALSE),""))</f>
        <v/>
      </c>
      <c r="K328" t="str">
        <f t="shared" si="55"/>
        <v/>
      </c>
      <c r="L328" t="str">
        <f t="shared" si="56"/>
        <v/>
      </c>
      <c r="M328" t="str">
        <f t="shared" si="57"/>
        <v/>
      </c>
      <c r="N328" t="str">
        <f t="shared" si="58"/>
        <v/>
      </c>
      <c r="O328" t="str">
        <f t="shared" si="59"/>
        <v/>
      </c>
      <c r="P328" t="str">
        <f>IF(OR(H328="",NOT(OR(LEFT(H328,1)="G",LEFT(H328,1)="R"))),"",IFERROR(VLOOKUP(MID(H328,3,1),Map!$G$2:$H$10,2,FALSE),""))</f>
        <v/>
      </c>
      <c r="Q328" t="str">
        <f>IF(A328="","",IFERROR(VLOOKUP(MID(A328,4,1),Map!$O$2:$P$10,2,FALSE),""))</f>
        <v/>
      </c>
    </row>
    <row r="329" spans="2:17" x14ac:dyDescent="0.25">
      <c r="B329" t="str">
        <f t="shared" si="50"/>
        <v/>
      </c>
      <c r="C329" t="str">
        <f t="shared" si="51"/>
        <v>**</v>
      </c>
      <c r="D329" t="str">
        <f t="shared" si="52"/>
        <v/>
      </c>
      <c r="E329" t="str">
        <f>IFERROR(VLOOKUP(MID(A329,7,2),Map!$A$2:$B$20,2,FALSE),"")</f>
        <v/>
      </c>
      <c r="F329" t="str">
        <f>IF(A329="","",IFERROR(VLOOKUP(MID(A329,9,2),Map!$R$2:$S$14,2,FALSE),""))</f>
        <v/>
      </c>
      <c r="G329" t="str">
        <f t="shared" si="53"/>
        <v/>
      </c>
      <c r="H329" t="str">
        <f t="shared" si="54"/>
        <v/>
      </c>
      <c r="I329" t="str">
        <f>IF(A329="","",IFERROR(VLOOKUP(LEFT(A329,1),Map!$D$2:$E$20,2,FALSE),""))</f>
        <v/>
      </c>
      <c r="J329" t="str">
        <f>IF(OR(H329="",NOT(OR(LEFT(H329,1)="G",LEFT(H329,1)="R"))),"",IFERROR(VLOOKUP(MID(H329,2,1),Map!$J$2:$M$10,2,FALSE),""))</f>
        <v/>
      </c>
      <c r="K329" t="str">
        <f t="shared" si="55"/>
        <v/>
      </c>
      <c r="L329" t="str">
        <f t="shared" si="56"/>
        <v/>
      </c>
      <c r="M329" t="str">
        <f t="shared" si="57"/>
        <v/>
      </c>
      <c r="N329" t="str">
        <f t="shared" si="58"/>
        <v/>
      </c>
      <c r="O329" t="str">
        <f t="shared" si="59"/>
        <v/>
      </c>
      <c r="P329" t="str">
        <f>IF(OR(H329="",NOT(OR(LEFT(H329,1)="G",LEFT(H329,1)="R"))),"",IFERROR(VLOOKUP(MID(H329,3,1),Map!$G$2:$H$10,2,FALSE),""))</f>
        <v/>
      </c>
      <c r="Q329" t="str">
        <f>IF(A329="","",IFERROR(VLOOKUP(MID(A329,4,1),Map!$O$2:$P$10,2,FALSE),""))</f>
        <v/>
      </c>
    </row>
    <row r="330" spans="2:17" x14ac:dyDescent="0.25">
      <c r="B330" t="str">
        <f t="shared" si="50"/>
        <v/>
      </c>
      <c r="C330" t="str">
        <f t="shared" si="51"/>
        <v>**</v>
      </c>
      <c r="D330" t="str">
        <f t="shared" si="52"/>
        <v/>
      </c>
      <c r="E330" t="str">
        <f>IFERROR(VLOOKUP(MID(A330,7,2),Map!$A$2:$B$20,2,FALSE),"")</f>
        <v/>
      </c>
      <c r="F330" t="str">
        <f>IF(A330="","",IFERROR(VLOOKUP(MID(A330,9,2),Map!$R$2:$S$14,2,FALSE),""))</f>
        <v/>
      </c>
      <c r="G330" t="str">
        <f t="shared" si="53"/>
        <v/>
      </c>
      <c r="H330" t="str">
        <f t="shared" si="54"/>
        <v/>
      </c>
      <c r="I330" t="str">
        <f>IF(A330="","",IFERROR(VLOOKUP(LEFT(A330,1),Map!$D$2:$E$20,2,FALSE),""))</f>
        <v/>
      </c>
      <c r="J330" t="str">
        <f>IF(OR(H330="",NOT(OR(LEFT(H330,1)="G",LEFT(H330,1)="R"))),"",IFERROR(VLOOKUP(MID(H330,2,1),Map!$J$2:$M$10,2,FALSE),""))</f>
        <v/>
      </c>
      <c r="K330" t="str">
        <f t="shared" si="55"/>
        <v/>
      </c>
      <c r="L330" t="str">
        <f t="shared" si="56"/>
        <v/>
      </c>
      <c r="M330" t="str">
        <f t="shared" si="57"/>
        <v/>
      </c>
      <c r="N330" t="str">
        <f t="shared" si="58"/>
        <v/>
      </c>
      <c r="O330" t="str">
        <f t="shared" si="59"/>
        <v/>
      </c>
      <c r="P330" t="str">
        <f>IF(OR(H330="",NOT(OR(LEFT(H330,1)="G",LEFT(H330,1)="R"))),"",IFERROR(VLOOKUP(MID(H330,3,1),Map!$G$2:$H$10,2,FALSE),""))</f>
        <v/>
      </c>
      <c r="Q330" t="str">
        <f>IF(A330="","",IFERROR(VLOOKUP(MID(A330,4,1),Map!$O$2:$P$10,2,FALSE),""))</f>
        <v/>
      </c>
    </row>
    <row r="331" spans="2:17" x14ac:dyDescent="0.25">
      <c r="B331" t="str">
        <f t="shared" si="50"/>
        <v/>
      </c>
      <c r="C331" t="str">
        <f t="shared" si="51"/>
        <v>**</v>
      </c>
      <c r="D331" t="str">
        <f t="shared" si="52"/>
        <v/>
      </c>
      <c r="E331" t="str">
        <f>IFERROR(VLOOKUP(MID(A331,7,2),Map!$A$2:$B$20,2,FALSE),"")</f>
        <v/>
      </c>
      <c r="F331" t="str">
        <f>IF(A331="","",IFERROR(VLOOKUP(MID(A331,9,2),Map!$R$2:$S$14,2,FALSE),""))</f>
        <v/>
      </c>
      <c r="G331" t="str">
        <f t="shared" si="53"/>
        <v/>
      </c>
      <c r="H331" t="str">
        <f t="shared" si="54"/>
        <v/>
      </c>
      <c r="I331" t="str">
        <f>IF(A331="","",IFERROR(VLOOKUP(LEFT(A331,1),Map!$D$2:$E$20,2,FALSE),""))</f>
        <v/>
      </c>
      <c r="J331" t="str">
        <f>IF(OR(H331="",NOT(OR(LEFT(H331,1)="G",LEFT(H331,1)="R"))),"",IFERROR(VLOOKUP(MID(H331,2,1),Map!$J$2:$M$10,2,FALSE),""))</f>
        <v/>
      </c>
      <c r="K331" t="str">
        <f t="shared" si="55"/>
        <v/>
      </c>
      <c r="L331" t="str">
        <f t="shared" si="56"/>
        <v/>
      </c>
      <c r="M331" t="str">
        <f t="shared" si="57"/>
        <v/>
      </c>
      <c r="N331" t="str">
        <f t="shared" si="58"/>
        <v/>
      </c>
      <c r="O331" t="str">
        <f t="shared" si="59"/>
        <v/>
      </c>
      <c r="P331" t="str">
        <f>IF(OR(H331="",NOT(OR(LEFT(H331,1)="G",LEFT(H331,1)="R"))),"",IFERROR(VLOOKUP(MID(H331,3,1),Map!$G$2:$H$10,2,FALSE),""))</f>
        <v/>
      </c>
      <c r="Q331" t="str">
        <f>IF(A331="","",IFERROR(VLOOKUP(MID(A331,4,1),Map!$O$2:$P$10,2,FALSE),""))</f>
        <v/>
      </c>
    </row>
    <row r="332" spans="2:17" x14ac:dyDescent="0.25">
      <c r="B332" t="str">
        <f t="shared" si="50"/>
        <v/>
      </c>
      <c r="C332" t="str">
        <f t="shared" si="51"/>
        <v>**</v>
      </c>
      <c r="D332" t="str">
        <f t="shared" si="52"/>
        <v/>
      </c>
      <c r="E332" t="str">
        <f>IFERROR(VLOOKUP(MID(A332,7,2),Map!$A$2:$B$20,2,FALSE),"")</f>
        <v/>
      </c>
      <c r="F332" t="str">
        <f>IF(A332="","",IFERROR(VLOOKUP(MID(A332,9,2),Map!$R$2:$S$14,2,FALSE),""))</f>
        <v/>
      </c>
      <c r="G332" t="str">
        <f t="shared" si="53"/>
        <v/>
      </c>
      <c r="H332" t="str">
        <f t="shared" si="54"/>
        <v/>
      </c>
      <c r="I332" t="str">
        <f>IF(A332="","",IFERROR(VLOOKUP(LEFT(A332,1),Map!$D$2:$E$20,2,FALSE),""))</f>
        <v/>
      </c>
      <c r="J332" t="str">
        <f>IF(OR(H332="",NOT(OR(LEFT(H332,1)="G",LEFT(H332,1)="R"))),"",IFERROR(VLOOKUP(MID(H332,2,1),Map!$J$2:$M$10,2,FALSE),""))</f>
        <v/>
      </c>
      <c r="K332" t="str">
        <f t="shared" si="55"/>
        <v/>
      </c>
      <c r="L332" t="str">
        <f t="shared" si="56"/>
        <v/>
      </c>
      <c r="M332" t="str">
        <f t="shared" si="57"/>
        <v/>
      </c>
      <c r="N332" t="str">
        <f t="shared" si="58"/>
        <v/>
      </c>
      <c r="O332" t="str">
        <f t="shared" si="59"/>
        <v/>
      </c>
      <c r="P332" t="str">
        <f>IF(OR(H332="",NOT(OR(LEFT(H332,1)="G",LEFT(H332,1)="R"))),"",IFERROR(VLOOKUP(MID(H332,3,1),Map!$G$2:$H$10,2,FALSE),""))</f>
        <v/>
      </c>
      <c r="Q332" t="str">
        <f>IF(A332="","",IFERROR(VLOOKUP(MID(A332,4,1),Map!$O$2:$P$10,2,FALSE),""))</f>
        <v/>
      </c>
    </row>
    <row r="333" spans="2:17" x14ac:dyDescent="0.25">
      <c r="B333" t="str">
        <f t="shared" si="50"/>
        <v/>
      </c>
      <c r="C333" t="str">
        <f t="shared" si="51"/>
        <v>**</v>
      </c>
      <c r="D333" t="str">
        <f t="shared" si="52"/>
        <v/>
      </c>
      <c r="E333" t="str">
        <f>IFERROR(VLOOKUP(MID(A333,7,2),Map!$A$2:$B$20,2,FALSE),"")</f>
        <v/>
      </c>
      <c r="F333" t="str">
        <f>IF(A333="","",IFERROR(VLOOKUP(MID(A333,9,2),Map!$R$2:$S$14,2,FALSE),""))</f>
        <v/>
      </c>
      <c r="G333" t="str">
        <f t="shared" si="53"/>
        <v/>
      </c>
      <c r="H333" t="str">
        <f t="shared" si="54"/>
        <v/>
      </c>
      <c r="I333" t="str">
        <f>IF(A333="","",IFERROR(VLOOKUP(LEFT(A333,1),Map!$D$2:$E$20,2,FALSE),""))</f>
        <v/>
      </c>
      <c r="J333" t="str">
        <f>IF(OR(H333="",NOT(OR(LEFT(H333,1)="G",LEFT(H333,1)="R"))),"",IFERROR(VLOOKUP(MID(H333,2,1),Map!$J$2:$M$10,2,FALSE),""))</f>
        <v/>
      </c>
      <c r="K333" t="str">
        <f t="shared" si="55"/>
        <v/>
      </c>
      <c r="L333" t="str">
        <f t="shared" si="56"/>
        <v/>
      </c>
      <c r="M333" t="str">
        <f t="shared" si="57"/>
        <v/>
      </c>
      <c r="N333" t="str">
        <f t="shared" si="58"/>
        <v/>
      </c>
      <c r="O333" t="str">
        <f t="shared" si="59"/>
        <v/>
      </c>
      <c r="P333" t="str">
        <f>IF(OR(H333="",NOT(OR(LEFT(H333,1)="G",LEFT(H333,1)="R"))),"",IFERROR(VLOOKUP(MID(H333,3,1),Map!$G$2:$H$10,2,FALSE),""))</f>
        <v/>
      </c>
      <c r="Q333" t="str">
        <f>IF(A333="","",IFERROR(VLOOKUP(MID(A333,4,1),Map!$O$2:$P$10,2,FALSE),""))</f>
        <v/>
      </c>
    </row>
    <row r="334" spans="2:17" x14ac:dyDescent="0.25">
      <c r="B334" t="str">
        <f t="shared" si="50"/>
        <v/>
      </c>
      <c r="C334" t="str">
        <f t="shared" si="51"/>
        <v>**</v>
      </c>
      <c r="D334" t="str">
        <f t="shared" si="52"/>
        <v/>
      </c>
      <c r="E334" t="str">
        <f>IFERROR(VLOOKUP(MID(A334,7,2),Map!$A$2:$B$20,2,FALSE),"")</f>
        <v/>
      </c>
      <c r="F334" t="str">
        <f>IF(A334="","",IFERROR(VLOOKUP(MID(A334,9,2),Map!$R$2:$S$14,2,FALSE),""))</f>
        <v/>
      </c>
      <c r="G334" t="str">
        <f t="shared" si="53"/>
        <v/>
      </c>
      <c r="H334" t="str">
        <f t="shared" si="54"/>
        <v/>
      </c>
      <c r="I334" t="str">
        <f>IF(A334="","",IFERROR(VLOOKUP(LEFT(A334,1),Map!$D$2:$E$20,2,FALSE),""))</f>
        <v/>
      </c>
      <c r="J334" t="str">
        <f>IF(OR(H334="",NOT(OR(LEFT(H334,1)="G",LEFT(H334,1)="R"))),"",IFERROR(VLOOKUP(MID(H334,2,1),Map!$J$2:$M$10,2,FALSE),""))</f>
        <v/>
      </c>
      <c r="K334" t="str">
        <f t="shared" si="55"/>
        <v/>
      </c>
      <c r="L334" t="str">
        <f t="shared" si="56"/>
        <v/>
      </c>
      <c r="M334" t="str">
        <f t="shared" si="57"/>
        <v/>
      </c>
      <c r="N334" t="str">
        <f t="shared" si="58"/>
        <v/>
      </c>
      <c r="O334" t="str">
        <f t="shared" si="59"/>
        <v/>
      </c>
      <c r="P334" t="str">
        <f>IF(OR(H334="",NOT(OR(LEFT(H334,1)="G",LEFT(H334,1)="R"))),"",IFERROR(VLOOKUP(MID(H334,3,1),Map!$G$2:$H$10,2,FALSE),""))</f>
        <v/>
      </c>
      <c r="Q334" t="str">
        <f>IF(A334="","",IFERROR(VLOOKUP(MID(A334,4,1),Map!$O$2:$P$10,2,FALSE),""))</f>
        <v/>
      </c>
    </row>
    <row r="335" spans="2:17" x14ac:dyDescent="0.25">
      <c r="B335" t="str">
        <f t="shared" si="50"/>
        <v/>
      </c>
      <c r="C335" t="str">
        <f t="shared" si="51"/>
        <v>**</v>
      </c>
      <c r="D335" t="str">
        <f t="shared" si="52"/>
        <v/>
      </c>
      <c r="E335" t="str">
        <f>IFERROR(VLOOKUP(MID(A335,7,2),Map!$A$2:$B$20,2,FALSE),"")</f>
        <v/>
      </c>
      <c r="F335" t="str">
        <f>IF(A335="","",IFERROR(VLOOKUP(MID(A335,9,2),Map!$R$2:$S$14,2,FALSE),""))</f>
        <v/>
      </c>
      <c r="G335" t="str">
        <f t="shared" si="53"/>
        <v/>
      </c>
      <c r="H335" t="str">
        <f t="shared" si="54"/>
        <v/>
      </c>
      <c r="I335" t="str">
        <f>IF(A335="","",IFERROR(VLOOKUP(LEFT(A335,1),Map!$D$2:$E$20,2,FALSE),""))</f>
        <v/>
      </c>
      <c r="J335" t="str">
        <f>IF(OR(H335="",NOT(OR(LEFT(H335,1)="G",LEFT(H335,1)="R"))),"",IFERROR(VLOOKUP(MID(H335,2,1),Map!$J$2:$M$10,2,FALSE),""))</f>
        <v/>
      </c>
      <c r="K335" t="str">
        <f t="shared" si="55"/>
        <v/>
      </c>
      <c r="L335" t="str">
        <f t="shared" si="56"/>
        <v/>
      </c>
      <c r="M335" t="str">
        <f t="shared" si="57"/>
        <v/>
      </c>
      <c r="N335" t="str">
        <f t="shared" si="58"/>
        <v/>
      </c>
      <c r="O335" t="str">
        <f t="shared" si="59"/>
        <v/>
      </c>
      <c r="P335" t="str">
        <f>IF(OR(H335="",NOT(OR(LEFT(H335,1)="G",LEFT(H335,1)="R"))),"",IFERROR(VLOOKUP(MID(H335,3,1),Map!$G$2:$H$10,2,FALSE),""))</f>
        <v/>
      </c>
      <c r="Q335" t="str">
        <f>IF(A335="","",IFERROR(VLOOKUP(MID(A335,4,1),Map!$O$2:$P$10,2,FALSE),""))</f>
        <v/>
      </c>
    </row>
    <row r="336" spans="2:17" x14ac:dyDescent="0.25">
      <c r="B336" t="str">
        <f t="shared" si="50"/>
        <v/>
      </c>
      <c r="C336" t="str">
        <f t="shared" si="51"/>
        <v>**</v>
      </c>
      <c r="D336" t="str">
        <f t="shared" si="52"/>
        <v/>
      </c>
      <c r="E336" t="str">
        <f>IFERROR(VLOOKUP(MID(A336,7,2),Map!$A$2:$B$20,2,FALSE),"")</f>
        <v/>
      </c>
      <c r="F336" t="str">
        <f>IF(A336="","",IFERROR(VLOOKUP(MID(A336,9,2),Map!$R$2:$S$14,2,FALSE),""))</f>
        <v/>
      </c>
      <c r="G336" t="str">
        <f t="shared" si="53"/>
        <v/>
      </c>
      <c r="H336" t="str">
        <f t="shared" si="54"/>
        <v/>
      </c>
      <c r="I336" t="str">
        <f>IF(A336="","",IFERROR(VLOOKUP(LEFT(A336,1),Map!$D$2:$E$20,2,FALSE),""))</f>
        <v/>
      </c>
      <c r="J336" t="str">
        <f>IF(OR(H336="",NOT(OR(LEFT(H336,1)="G",LEFT(H336,1)="R"))),"",IFERROR(VLOOKUP(MID(H336,2,1),Map!$J$2:$M$10,2,FALSE),""))</f>
        <v/>
      </c>
      <c r="K336" t="str">
        <f t="shared" si="55"/>
        <v/>
      </c>
      <c r="L336" t="str">
        <f t="shared" si="56"/>
        <v/>
      </c>
      <c r="M336" t="str">
        <f t="shared" si="57"/>
        <v/>
      </c>
      <c r="N336" t="str">
        <f t="shared" si="58"/>
        <v/>
      </c>
      <c r="O336" t="str">
        <f t="shared" si="59"/>
        <v/>
      </c>
      <c r="P336" t="str">
        <f>IF(OR(H336="",NOT(OR(LEFT(H336,1)="G",LEFT(H336,1)="R"))),"",IFERROR(VLOOKUP(MID(H336,3,1),Map!$G$2:$H$10,2,FALSE),""))</f>
        <v/>
      </c>
      <c r="Q336" t="str">
        <f>IF(A336="","",IFERROR(VLOOKUP(MID(A336,4,1),Map!$O$2:$P$10,2,FALSE),""))</f>
        <v/>
      </c>
    </row>
    <row r="337" spans="2:17" x14ac:dyDescent="0.25">
      <c r="B337" t="str">
        <f t="shared" si="50"/>
        <v/>
      </c>
      <c r="C337" t="str">
        <f t="shared" si="51"/>
        <v>**</v>
      </c>
      <c r="D337" t="str">
        <f t="shared" si="52"/>
        <v/>
      </c>
      <c r="E337" t="str">
        <f>IFERROR(VLOOKUP(MID(A337,7,2),Map!$A$2:$B$20,2,FALSE),"")</f>
        <v/>
      </c>
      <c r="F337" t="str">
        <f>IF(A337="","",IFERROR(VLOOKUP(MID(A337,9,2),Map!$R$2:$S$14,2,FALSE),""))</f>
        <v/>
      </c>
      <c r="G337" t="str">
        <f t="shared" si="53"/>
        <v/>
      </c>
      <c r="H337" t="str">
        <f t="shared" si="54"/>
        <v/>
      </c>
      <c r="I337" t="str">
        <f>IF(A337="","",IFERROR(VLOOKUP(LEFT(A337,1),Map!$D$2:$E$20,2,FALSE),""))</f>
        <v/>
      </c>
      <c r="J337" t="str">
        <f>IF(OR(H337="",NOT(OR(LEFT(H337,1)="G",LEFT(H337,1)="R"))),"",IFERROR(VLOOKUP(MID(H337,2,1),Map!$J$2:$M$10,2,FALSE),""))</f>
        <v/>
      </c>
      <c r="K337" t="str">
        <f t="shared" si="55"/>
        <v/>
      </c>
      <c r="L337" t="str">
        <f t="shared" si="56"/>
        <v/>
      </c>
      <c r="M337" t="str">
        <f t="shared" si="57"/>
        <v/>
      </c>
      <c r="N337" t="str">
        <f t="shared" si="58"/>
        <v/>
      </c>
      <c r="O337" t="str">
        <f t="shared" si="59"/>
        <v/>
      </c>
      <c r="P337" t="str">
        <f>IF(OR(H337="",NOT(OR(LEFT(H337,1)="G",LEFT(H337,1)="R"))),"",IFERROR(VLOOKUP(MID(H337,3,1),Map!$G$2:$H$10,2,FALSE),""))</f>
        <v/>
      </c>
      <c r="Q337" t="str">
        <f>IF(A337="","",IFERROR(VLOOKUP(MID(A337,4,1),Map!$O$2:$P$10,2,FALSE),""))</f>
        <v/>
      </c>
    </row>
    <row r="338" spans="2:17" x14ac:dyDescent="0.25">
      <c r="B338" t="str">
        <f t="shared" si="50"/>
        <v/>
      </c>
      <c r="C338" t="str">
        <f t="shared" si="51"/>
        <v>**</v>
      </c>
      <c r="D338" t="str">
        <f t="shared" si="52"/>
        <v/>
      </c>
      <c r="E338" t="str">
        <f>IFERROR(VLOOKUP(MID(A338,7,2),Map!$A$2:$B$20,2,FALSE),"")</f>
        <v/>
      </c>
      <c r="F338" t="str">
        <f>IF(A338="","",IFERROR(VLOOKUP(MID(A338,9,2),Map!$R$2:$S$14,2,FALSE),""))</f>
        <v/>
      </c>
      <c r="G338" t="str">
        <f t="shared" si="53"/>
        <v/>
      </c>
      <c r="H338" t="str">
        <f t="shared" si="54"/>
        <v/>
      </c>
      <c r="I338" t="str">
        <f>IF(A338="","",IFERROR(VLOOKUP(LEFT(A338,1),Map!$D$2:$E$20,2,FALSE),""))</f>
        <v/>
      </c>
      <c r="J338" t="str">
        <f>IF(OR(H338="",NOT(OR(LEFT(H338,1)="G",LEFT(H338,1)="R"))),"",IFERROR(VLOOKUP(MID(H338,2,1),Map!$J$2:$M$10,2,FALSE),""))</f>
        <v/>
      </c>
      <c r="K338" t="str">
        <f t="shared" si="55"/>
        <v/>
      </c>
      <c r="L338" t="str">
        <f t="shared" si="56"/>
        <v/>
      </c>
      <c r="M338" t="str">
        <f t="shared" si="57"/>
        <v/>
      </c>
      <c r="N338" t="str">
        <f t="shared" si="58"/>
        <v/>
      </c>
      <c r="O338" t="str">
        <f t="shared" si="59"/>
        <v/>
      </c>
      <c r="P338" t="str">
        <f>IF(OR(H338="",NOT(OR(LEFT(H338,1)="G",LEFT(H338,1)="R"))),"",IFERROR(VLOOKUP(MID(H338,3,1),Map!$G$2:$H$10,2,FALSE),""))</f>
        <v/>
      </c>
      <c r="Q338" t="str">
        <f>IF(A338="","",IFERROR(VLOOKUP(MID(A338,4,1),Map!$O$2:$P$10,2,FALSE),""))</f>
        <v/>
      </c>
    </row>
    <row r="339" spans="2:17" x14ac:dyDescent="0.25">
      <c r="B339" t="str">
        <f t="shared" si="50"/>
        <v/>
      </c>
      <c r="C339" t="str">
        <f t="shared" si="51"/>
        <v>**</v>
      </c>
      <c r="D339" t="str">
        <f t="shared" si="52"/>
        <v/>
      </c>
      <c r="E339" t="str">
        <f>IFERROR(VLOOKUP(MID(A339,7,2),Map!$A$2:$B$20,2,FALSE),"")</f>
        <v/>
      </c>
      <c r="F339" t="str">
        <f>IF(A339="","",IFERROR(VLOOKUP(MID(A339,9,2),Map!$R$2:$S$14,2,FALSE),""))</f>
        <v/>
      </c>
      <c r="G339" t="str">
        <f t="shared" si="53"/>
        <v/>
      </c>
      <c r="H339" t="str">
        <f t="shared" si="54"/>
        <v/>
      </c>
      <c r="I339" t="str">
        <f>IF(A339="","",IFERROR(VLOOKUP(LEFT(A339,1),Map!$D$2:$E$20,2,FALSE),""))</f>
        <v/>
      </c>
      <c r="J339" t="str">
        <f>IF(OR(H339="",NOT(OR(LEFT(H339,1)="G",LEFT(H339,1)="R"))),"",IFERROR(VLOOKUP(MID(H339,2,1),Map!$J$2:$M$10,2,FALSE),""))</f>
        <v/>
      </c>
      <c r="K339" t="str">
        <f t="shared" si="55"/>
        <v/>
      </c>
      <c r="L339" t="str">
        <f t="shared" si="56"/>
        <v/>
      </c>
      <c r="M339" t="str">
        <f t="shared" si="57"/>
        <v/>
      </c>
      <c r="N339" t="str">
        <f t="shared" si="58"/>
        <v/>
      </c>
      <c r="O339" t="str">
        <f t="shared" si="59"/>
        <v/>
      </c>
      <c r="P339" t="str">
        <f>IF(OR(H339="",NOT(OR(LEFT(H339,1)="G",LEFT(H339,1)="R"))),"",IFERROR(VLOOKUP(MID(H339,3,1),Map!$G$2:$H$10,2,FALSE),""))</f>
        <v/>
      </c>
      <c r="Q339" t="str">
        <f>IF(A339="","",IFERROR(VLOOKUP(MID(A339,4,1),Map!$O$2:$P$10,2,FALSE),""))</f>
        <v/>
      </c>
    </row>
    <row r="340" spans="2:17" x14ac:dyDescent="0.25">
      <c r="B340" t="str">
        <f t="shared" si="50"/>
        <v/>
      </c>
      <c r="C340" t="str">
        <f t="shared" si="51"/>
        <v>**</v>
      </c>
      <c r="D340" t="str">
        <f t="shared" si="52"/>
        <v/>
      </c>
      <c r="E340" t="str">
        <f>IFERROR(VLOOKUP(MID(A340,7,2),Map!$A$2:$B$20,2,FALSE),"")</f>
        <v/>
      </c>
      <c r="F340" t="str">
        <f>IF(A340="","",IFERROR(VLOOKUP(MID(A340,9,2),Map!$R$2:$S$14,2,FALSE),""))</f>
        <v/>
      </c>
      <c r="G340" t="str">
        <f t="shared" si="53"/>
        <v/>
      </c>
      <c r="H340" t="str">
        <f t="shared" si="54"/>
        <v/>
      </c>
      <c r="I340" t="str">
        <f>IF(A340="","",IFERROR(VLOOKUP(LEFT(A340,1),Map!$D$2:$E$20,2,FALSE),""))</f>
        <v/>
      </c>
      <c r="J340" t="str">
        <f>IF(OR(H340="",NOT(OR(LEFT(H340,1)="G",LEFT(H340,1)="R"))),"",IFERROR(VLOOKUP(MID(H340,2,1),Map!$J$2:$M$10,2,FALSE),""))</f>
        <v/>
      </c>
      <c r="K340" t="str">
        <f t="shared" si="55"/>
        <v/>
      </c>
      <c r="L340" t="str">
        <f t="shared" si="56"/>
        <v/>
      </c>
      <c r="M340" t="str">
        <f t="shared" si="57"/>
        <v/>
      </c>
      <c r="N340" t="str">
        <f t="shared" si="58"/>
        <v/>
      </c>
      <c r="O340" t="str">
        <f t="shared" si="59"/>
        <v/>
      </c>
      <c r="P340" t="str">
        <f>IF(OR(H340="",NOT(OR(LEFT(H340,1)="G",LEFT(H340,1)="R"))),"",IFERROR(VLOOKUP(MID(H340,3,1),Map!$G$2:$H$10,2,FALSE),""))</f>
        <v/>
      </c>
      <c r="Q340" t="str">
        <f>IF(A340="","",IFERROR(VLOOKUP(MID(A340,4,1),Map!$O$2:$P$10,2,FALSE),""))</f>
        <v/>
      </c>
    </row>
    <row r="341" spans="2:17" x14ac:dyDescent="0.25">
      <c r="B341" t="str">
        <f t="shared" si="50"/>
        <v/>
      </c>
      <c r="C341" t="str">
        <f t="shared" si="51"/>
        <v>**</v>
      </c>
      <c r="D341" t="str">
        <f t="shared" si="52"/>
        <v/>
      </c>
      <c r="E341" t="str">
        <f>IFERROR(VLOOKUP(MID(A341,7,2),Map!$A$2:$B$20,2,FALSE),"")</f>
        <v/>
      </c>
      <c r="F341" t="str">
        <f>IF(A341="","",IFERROR(VLOOKUP(MID(A341,9,2),Map!$R$2:$S$14,2,FALSE),""))</f>
        <v/>
      </c>
      <c r="G341" t="str">
        <f t="shared" si="53"/>
        <v/>
      </c>
      <c r="H341" t="str">
        <f t="shared" si="54"/>
        <v/>
      </c>
      <c r="I341" t="str">
        <f>IF(A341="","",IFERROR(VLOOKUP(LEFT(A341,1),Map!$D$2:$E$20,2,FALSE),""))</f>
        <v/>
      </c>
      <c r="J341" t="str">
        <f>IF(OR(H341="",NOT(OR(LEFT(H341,1)="G",LEFT(H341,1)="R"))),"",IFERROR(VLOOKUP(MID(H341,2,1),Map!$J$2:$M$10,2,FALSE),""))</f>
        <v/>
      </c>
      <c r="K341" t="str">
        <f t="shared" si="55"/>
        <v/>
      </c>
      <c r="L341" t="str">
        <f t="shared" si="56"/>
        <v/>
      </c>
      <c r="M341" t="str">
        <f t="shared" si="57"/>
        <v/>
      </c>
      <c r="N341" t="str">
        <f t="shared" si="58"/>
        <v/>
      </c>
      <c r="O341" t="str">
        <f t="shared" si="59"/>
        <v/>
      </c>
      <c r="P341" t="str">
        <f>IF(OR(H341="",NOT(OR(LEFT(H341,1)="G",LEFT(H341,1)="R"))),"",IFERROR(VLOOKUP(MID(H341,3,1),Map!$G$2:$H$10,2,FALSE),""))</f>
        <v/>
      </c>
      <c r="Q341" t="str">
        <f>IF(A341="","",IFERROR(VLOOKUP(MID(A341,4,1),Map!$O$2:$P$10,2,FALSE),""))</f>
        <v/>
      </c>
    </row>
    <row r="342" spans="2:17" x14ac:dyDescent="0.25">
      <c r="B342" t="str">
        <f t="shared" si="50"/>
        <v/>
      </c>
      <c r="C342" t="str">
        <f t="shared" si="51"/>
        <v>**</v>
      </c>
      <c r="D342" t="str">
        <f t="shared" si="52"/>
        <v/>
      </c>
      <c r="E342" t="str">
        <f>IFERROR(VLOOKUP(MID(A342,7,2),Map!$A$2:$B$20,2,FALSE),"")</f>
        <v/>
      </c>
      <c r="F342" t="str">
        <f>IF(A342="","",IFERROR(VLOOKUP(MID(A342,9,2),Map!$R$2:$S$14,2,FALSE),""))</f>
        <v/>
      </c>
      <c r="G342" t="str">
        <f t="shared" si="53"/>
        <v/>
      </c>
      <c r="H342" t="str">
        <f t="shared" si="54"/>
        <v/>
      </c>
      <c r="I342" t="str">
        <f>IF(A342="","",IFERROR(VLOOKUP(LEFT(A342,1),Map!$D$2:$E$20,2,FALSE),""))</f>
        <v/>
      </c>
      <c r="J342" t="str">
        <f>IF(OR(H342="",NOT(OR(LEFT(H342,1)="G",LEFT(H342,1)="R"))),"",IFERROR(VLOOKUP(MID(H342,2,1),Map!$J$2:$M$10,2,FALSE),""))</f>
        <v/>
      </c>
      <c r="K342" t="str">
        <f t="shared" si="55"/>
        <v/>
      </c>
      <c r="L342" t="str">
        <f t="shared" si="56"/>
        <v/>
      </c>
      <c r="M342" t="str">
        <f t="shared" si="57"/>
        <v/>
      </c>
      <c r="N342" t="str">
        <f t="shared" si="58"/>
        <v/>
      </c>
      <c r="O342" t="str">
        <f t="shared" si="59"/>
        <v/>
      </c>
      <c r="P342" t="str">
        <f>IF(OR(H342="",NOT(OR(LEFT(H342,1)="G",LEFT(H342,1)="R"))),"",IFERROR(VLOOKUP(MID(H342,3,1),Map!$G$2:$H$10,2,FALSE),""))</f>
        <v/>
      </c>
      <c r="Q342" t="str">
        <f>IF(A342="","",IFERROR(VLOOKUP(MID(A342,4,1),Map!$O$2:$P$10,2,FALSE),""))</f>
        <v/>
      </c>
    </row>
    <row r="343" spans="2:17" x14ac:dyDescent="0.25">
      <c r="B343" t="str">
        <f t="shared" si="50"/>
        <v/>
      </c>
      <c r="C343" t="str">
        <f t="shared" si="51"/>
        <v>**</v>
      </c>
      <c r="D343" t="str">
        <f t="shared" si="52"/>
        <v/>
      </c>
      <c r="E343" t="str">
        <f>IFERROR(VLOOKUP(MID(A343,7,2),Map!$A$2:$B$20,2,FALSE),"")</f>
        <v/>
      </c>
      <c r="F343" t="str">
        <f>IF(A343="","",IFERROR(VLOOKUP(MID(A343,9,2),Map!$R$2:$S$14,2,FALSE),""))</f>
        <v/>
      </c>
      <c r="G343" t="str">
        <f t="shared" si="53"/>
        <v/>
      </c>
      <c r="H343" t="str">
        <f t="shared" si="54"/>
        <v/>
      </c>
      <c r="I343" t="str">
        <f>IF(A343="","",IFERROR(VLOOKUP(LEFT(A343,1),Map!$D$2:$E$20,2,FALSE),""))</f>
        <v/>
      </c>
      <c r="J343" t="str">
        <f>IF(OR(H343="",NOT(OR(LEFT(H343,1)="G",LEFT(H343,1)="R"))),"",IFERROR(VLOOKUP(MID(H343,2,1),Map!$J$2:$M$10,2,FALSE),""))</f>
        <v/>
      </c>
      <c r="K343" t="str">
        <f t="shared" si="55"/>
        <v/>
      </c>
      <c r="L343" t="str">
        <f t="shared" si="56"/>
        <v/>
      </c>
      <c r="M343" t="str">
        <f t="shared" si="57"/>
        <v/>
      </c>
      <c r="N343" t="str">
        <f t="shared" si="58"/>
        <v/>
      </c>
      <c r="O343" t="str">
        <f t="shared" si="59"/>
        <v/>
      </c>
      <c r="P343" t="str">
        <f>IF(OR(H343="",NOT(OR(LEFT(H343,1)="G",LEFT(H343,1)="R"))),"",IFERROR(VLOOKUP(MID(H343,3,1),Map!$G$2:$H$10,2,FALSE),""))</f>
        <v/>
      </c>
      <c r="Q343" t="str">
        <f>IF(A343="","",IFERROR(VLOOKUP(MID(A343,4,1),Map!$O$2:$P$10,2,FALSE),""))</f>
        <v/>
      </c>
    </row>
    <row r="344" spans="2:17" x14ac:dyDescent="0.25">
      <c r="B344" t="str">
        <f t="shared" si="50"/>
        <v/>
      </c>
      <c r="C344" t="str">
        <f t="shared" si="51"/>
        <v>**</v>
      </c>
      <c r="D344" t="str">
        <f t="shared" si="52"/>
        <v/>
      </c>
      <c r="E344" t="str">
        <f>IFERROR(VLOOKUP(MID(A344,7,2),Map!$A$2:$B$20,2,FALSE),"")</f>
        <v/>
      </c>
      <c r="F344" t="str">
        <f>IF(A344="","",IFERROR(VLOOKUP(MID(A344,9,2),Map!$R$2:$S$14,2,FALSE),""))</f>
        <v/>
      </c>
      <c r="G344" t="str">
        <f t="shared" si="53"/>
        <v/>
      </c>
      <c r="H344" t="str">
        <f t="shared" si="54"/>
        <v/>
      </c>
      <c r="I344" t="str">
        <f>IF(A344="","",IFERROR(VLOOKUP(LEFT(A344,1),Map!$D$2:$E$20,2,FALSE),""))</f>
        <v/>
      </c>
      <c r="J344" t="str">
        <f>IF(OR(H344="",NOT(OR(LEFT(H344,1)="G",LEFT(H344,1)="R"))),"",IFERROR(VLOOKUP(MID(H344,2,1),Map!$J$2:$M$10,2,FALSE),""))</f>
        <v/>
      </c>
      <c r="K344" t="str">
        <f t="shared" si="55"/>
        <v/>
      </c>
      <c r="L344" t="str">
        <f t="shared" si="56"/>
        <v/>
      </c>
      <c r="M344" t="str">
        <f t="shared" si="57"/>
        <v/>
      </c>
      <c r="N344" t="str">
        <f t="shared" si="58"/>
        <v/>
      </c>
      <c r="O344" t="str">
        <f t="shared" si="59"/>
        <v/>
      </c>
      <c r="P344" t="str">
        <f>IF(OR(H344="",NOT(OR(LEFT(H344,1)="G",LEFT(H344,1)="R"))),"",IFERROR(VLOOKUP(MID(H344,3,1),Map!$G$2:$H$10,2,FALSE),""))</f>
        <v/>
      </c>
      <c r="Q344" t="str">
        <f>IF(A344="","",IFERROR(VLOOKUP(MID(A344,4,1),Map!$O$2:$P$10,2,FALSE),""))</f>
        <v/>
      </c>
    </row>
    <row r="345" spans="2:17" x14ac:dyDescent="0.25">
      <c r="B345" t="str">
        <f t="shared" si="50"/>
        <v/>
      </c>
      <c r="C345" t="str">
        <f t="shared" si="51"/>
        <v>**</v>
      </c>
      <c r="D345" t="str">
        <f t="shared" si="52"/>
        <v/>
      </c>
      <c r="E345" t="str">
        <f>IFERROR(VLOOKUP(MID(A345,7,2),Map!$A$2:$B$20,2,FALSE),"")</f>
        <v/>
      </c>
      <c r="F345" t="str">
        <f>IF(A345="","",IFERROR(VLOOKUP(MID(A345,9,2),Map!$R$2:$S$14,2,FALSE),""))</f>
        <v/>
      </c>
      <c r="G345" t="str">
        <f t="shared" si="53"/>
        <v/>
      </c>
      <c r="H345" t="str">
        <f t="shared" si="54"/>
        <v/>
      </c>
      <c r="I345" t="str">
        <f>IF(A345="","",IFERROR(VLOOKUP(LEFT(A345,1),Map!$D$2:$E$20,2,FALSE),""))</f>
        <v/>
      </c>
      <c r="J345" t="str">
        <f>IF(OR(H345="",NOT(OR(LEFT(H345,1)="G",LEFT(H345,1)="R"))),"",IFERROR(VLOOKUP(MID(H345,2,1),Map!$J$2:$M$10,2,FALSE),""))</f>
        <v/>
      </c>
      <c r="K345" t="str">
        <f t="shared" si="55"/>
        <v/>
      </c>
      <c r="L345" t="str">
        <f t="shared" si="56"/>
        <v/>
      </c>
      <c r="M345" t="str">
        <f t="shared" si="57"/>
        <v/>
      </c>
      <c r="N345" t="str">
        <f t="shared" si="58"/>
        <v/>
      </c>
      <c r="O345" t="str">
        <f t="shared" si="59"/>
        <v/>
      </c>
      <c r="P345" t="str">
        <f>IF(OR(H345="",NOT(OR(LEFT(H345,1)="G",LEFT(H345,1)="R"))),"",IFERROR(VLOOKUP(MID(H345,3,1),Map!$G$2:$H$10,2,FALSE),""))</f>
        <v/>
      </c>
      <c r="Q345" t="str">
        <f>IF(A345="","",IFERROR(VLOOKUP(MID(A345,4,1),Map!$O$2:$P$10,2,FALSE),""))</f>
        <v/>
      </c>
    </row>
    <row r="346" spans="2:17" x14ac:dyDescent="0.25">
      <c r="B346" t="str">
        <f t="shared" si="50"/>
        <v/>
      </c>
      <c r="C346" t="str">
        <f t="shared" si="51"/>
        <v>**</v>
      </c>
      <c r="D346" t="str">
        <f t="shared" si="52"/>
        <v/>
      </c>
      <c r="E346" t="str">
        <f>IFERROR(VLOOKUP(MID(A346,7,2),Map!$A$2:$B$20,2,FALSE),"")</f>
        <v/>
      </c>
      <c r="F346" t="str">
        <f>IF(A346="","",IFERROR(VLOOKUP(MID(A346,9,2),Map!$R$2:$S$14,2,FALSE),""))</f>
        <v/>
      </c>
      <c r="G346" t="str">
        <f t="shared" si="53"/>
        <v/>
      </c>
      <c r="H346" t="str">
        <f t="shared" si="54"/>
        <v/>
      </c>
      <c r="I346" t="str">
        <f>IF(A346="","",IFERROR(VLOOKUP(LEFT(A346,1),Map!$D$2:$E$20,2,FALSE),""))</f>
        <v/>
      </c>
      <c r="J346" t="str">
        <f>IF(OR(H346="",NOT(OR(LEFT(H346,1)="G",LEFT(H346,1)="R"))),"",IFERROR(VLOOKUP(MID(H346,2,1),Map!$J$2:$M$10,2,FALSE),""))</f>
        <v/>
      </c>
      <c r="K346" t="str">
        <f t="shared" si="55"/>
        <v/>
      </c>
      <c r="L346" t="str">
        <f t="shared" si="56"/>
        <v/>
      </c>
      <c r="M346" t="str">
        <f t="shared" si="57"/>
        <v/>
      </c>
      <c r="N346" t="str">
        <f t="shared" si="58"/>
        <v/>
      </c>
      <c r="O346" t="str">
        <f t="shared" si="59"/>
        <v/>
      </c>
      <c r="P346" t="str">
        <f>IF(OR(H346="",NOT(OR(LEFT(H346,1)="G",LEFT(H346,1)="R"))),"",IFERROR(VLOOKUP(MID(H346,3,1),Map!$G$2:$H$10,2,FALSE),""))</f>
        <v/>
      </c>
      <c r="Q346" t="str">
        <f>IF(A346="","",IFERROR(VLOOKUP(MID(A346,4,1),Map!$O$2:$P$10,2,FALSE),""))</f>
        <v/>
      </c>
    </row>
    <row r="347" spans="2:17" x14ac:dyDescent="0.25">
      <c r="B347" t="str">
        <f t="shared" si="50"/>
        <v/>
      </c>
      <c r="C347" t="str">
        <f t="shared" si="51"/>
        <v>**</v>
      </c>
      <c r="D347" t="str">
        <f t="shared" si="52"/>
        <v/>
      </c>
      <c r="E347" t="str">
        <f>IFERROR(VLOOKUP(MID(A347,7,2),Map!$A$2:$B$20,2,FALSE),"")</f>
        <v/>
      </c>
      <c r="F347" t="str">
        <f>IF(A347="","",IFERROR(VLOOKUP(MID(A347,9,2),Map!$R$2:$S$14,2,FALSE),""))</f>
        <v/>
      </c>
      <c r="G347" t="str">
        <f t="shared" si="53"/>
        <v/>
      </c>
      <c r="H347" t="str">
        <f t="shared" si="54"/>
        <v/>
      </c>
      <c r="I347" t="str">
        <f>IF(A347="","",IFERROR(VLOOKUP(LEFT(A347,1),Map!$D$2:$E$20,2,FALSE),""))</f>
        <v/>
      </c>
      <c r="J347" t="str">
        <f>IF(OR(H347="",NOT(OR(LEFT(H347,1)="G",LEFT(H347,1)="R"))),"",IFERROR(VLOOKUP(MID(H347,2,1),Map!$J$2:$M$10,2,FALSE),""))</f>
        <v/>
      </c>
      <c r="K347" t="str">
        <f t="shared" si="55"/>
        <v/>
      </c>
      <c r="L347" t="str">
        <f t="shared" si="56"/>
        <v/>
      </c>
      <c r="M347" t="str">
        <f t="shared" si="57"/>
        <v/>
      </c>
      <c r="N347" t="str">
        <f t="shared" si="58"/>
        <v/>
      </c>
      <c r="O347" t="str">
        <f t="shared" si="59"/>
        <v/>
      </c>
      <c r="P347" t="str">
        <f>IF(OR(H347="",NOT(OR(LEFT(H347,1)="G",LEFT(H347,1)="R"))),"",IFERROR(VLOOKUP(MID(H347,3,1),Map!$G$2:$H$10,2,FALSE),""))</f>
        <v/>
      </c>
      <c r="Q347" t="str">
        <f>IF(A347="","",IFERROR(VLOOKUP(MID(A347,4,1),Map!$O$2:$P$10,2,FALSE),""))</f>
        <v/>
      </c>
    </row>
    <row r="348" spans="2:17" x14ac:dyDescent="0.25">
      <c r="B348" t="str">
        <f t="shared" si="50"/>
        <v/>
      </c>
      <c r="C348" t="str">
        <f t="shared" si="51"/>
        <v>**</v>
      </c>
      <c r="D348" t="str">
        <f t="shared" si="52"/>
        <v/>
      </c>
      <c r="E348" t="str">
        <f>IFERROR(VLOOKUP(MID(A348,7,2),Map!$A$2:$B$20,2,FALSE),"")</f>
        <v/>
      </c>
      <c r="F348" t="str">
        <f>IF(A348="","",IFERROR(VLOOKUP(MID(A348,9,2),Map!$R$2:$S$14,2,FALSE),""))</f>
        <v/>
      </c>
      <c r="G348" t="str">
        <f t="shared" si="53"/>
        <v/>
      </c>
      <c r="H348" t="str">
        <f t="shared" si="54"/>
        <v/>
      </c>
      <c r="I348" t="str">
        <f>IF(A348="","",IFERROR(VLOOKUP(LEFT(A348,1),Map!$D$2:$E$20,2,FALSE),""))</f>
        <v/>
      </c>
      <c r="J348" t="str">
        <f>IF(OR(H348="",NOT(OR(LEFT(H348,1)="G",LEFT(H348,1)="R"))),"",IFERROR(VLOOKUP(MID(H348,2,1),Map!$J$2:$M$10,2,FALSE),""))</f>
        <v/>
      </c>
      <c r="K348" t="str">
        <f t="shared" si="55"/>
        <v/>
      </c>
      <c r="L348" t="str">
        <f t="shared" si="56"/>
        <v/>
      </c>
      <c r="M348" t="str">
        <f t="shared" si="57"/>
        <v/>
      </c>
      <c r="N348" t="str">
        <f t="shared" si="58"/>
        <v/>
      </c>
      <c r="O348" t="str">
        <f t="shared" si="59"/>
        <v/>
      </c>
      <c r="P348" t="str">
        <f>IF(OR(H348="",NOT(OR(LEFT(H348,1)="G",LEFT(H348,1)="R"))),"",IFERROR(VLOOKUP(MID(H348,3,1),Map!$G$2:$H$10,2,FALSE),""))</f>
        <v/>
      </c>
      <c r="Q348" t="str">
        <f>IF(A348="","",IFERROR(VLOOKUP(MID(A348,4,1),Map!$O$2:$P$10,2,FALSE),""))</f>
        <v/>
      </c>
    </row>
    <row r="349" spans="2:17" x14ac:dyDescent="0.25">
      <c r="B349" t="str">
        <f t="shared" si="50"/>
        <v/>
      </c>
      <c r="C349" t="str">
        <f t="shared" si="51"/>
        <v>**</v>
      </c>
      <c r="D349" t="str">
        <f t="shared" si="52"/>
        <v/>
      </c>
      <c r="E349" t="str">
        <f>IFERROR(VLOOKUP(MID(A349,7,2),Map!$A$2:$B$20,2,FALSE),"")</f>
        <v/>
      </c>
      <c r="F349" t="str">
        <f>IF(A349="","",IFERROR(VLOOKUP(MID(A349,9,2),Map!$R$2:$S$14,2,FALSE),""))</f>
        <v/>
      </c>
      <c r="G349" t="str">
        <f t="shared" si="53"/>
        <v/>
      </c>
      <c r="H349" t="str">
        <f t="shared" si="54"/>
        <v/>
      </c>
      <c r="I349" t="str">
        <f>IF(A349="","",IFERROR(VLOOKUP(LEFT(A349,1),Map!$D$2:$E$20,2,FALSE),""))</f>
        <v/>
      </c>
      <c r="J349" t="str">
        <f>IF(OR(H349="",NOT(OR(LEFT(H349,1)="G",LEFT(H349,1)="R"))),"",IFERROR(VLOOKUP(MID(H349,2,1),Map!$J$2:$M$10,2,FALSE),""))</f>
        <v/>
      </c>
      <c r="K349" t="str">
        <f t="shared" si="55"/>
        <v/>
      </c>
      <c r="L349" t="str">
        <f t="shared" si="56"/>
        <v/>
      </c>
      <c r="M349" t="str">
        <f t="shared" si="57"/>
        <v/>
      </c>
      <c r="N349" t="str">
        <f t="shared" si="58"/>
        <v/>
      </c>
      <c r="O349" t="str">
        <f t="shared" si="59"/>
        <v/>
      </c>
      <c r="P349" t="str">
        <f>IF(OR(H349="",NOT(OR(LEFT(H349,1)="G",LEFT(H349,1)="R"))),"",IFERROR(VLOOKUP(MID(H349,3,1),Map!$G$2:$H$10,2,FALSE),""))</f>
        <v/>
      </c>
      <c r="Q349" t="str">
        <f>IF(A349="","",IFERROR(VLOOKUP(MID(A349,4,1),Map!$O$2:$P$10,2,FALSE),""))</f>
        <v/>
      </c>
    </row>
    <row r="350" spans="2:17" x14ac:dyDescent="0.25">
      <c r="B350" t="str">
        <f t="shared" si="50"/>
        <v/>
      </c>
      <c r="C350" t="str">
        <f t="shared" si="51"/>
        <v>**</v>
      </c>
      <c r="D350" t="str">
        <f t="shared" si="52"/>
        <v/>
      </c>
      <c r="E350" t="str">
        <f>IFERROR(VLOOKUP(MID(A350,7,2),Map!$A$2:$B$20,2,FALSE),"")</f>
        <v/>
      </c>
      <c r="F350" t="str">
        <f>IF(A350="","",IFERROR(VLOOKUP(MID(A350,9,2),Map!$R$2:$S$14,2,FALSE),""))</f>
        <v/>
      </c>
      <c r="G350" t="str">
        <f t="shared" si="53"/>
        <v/>
      </c>
      <c r="H350" t="str">
        <f t="shared" si="54"/>
        <v/>
      </c>
      <c r="I350" t="str">
        <f>IF(A350="","",IFERROR(VLOOKUP(LEFT(A350,1),Map!$D$2:$E$20,2,FALSE),""))</f>
        <v/>
      </c>
      <c r="J350" t="str">
        <f>IF(OR(H350="",NOT(OR(LEFT(H350,1)="G",LEFT(H350,1)="R"))),"",IFERROR(VLOOKUP(MID(H350,2,1),Map!$J$2:$M$10,2,FALSE),""))</f>
        <v/>
      </c>
      <c r="K350" t="str">
        <f t="shared" si="55"/>
        <v/>
      </c>
      <c r="L350" t="str">
        <f t="shared" si="56"/>
        <v/>
      </c>
      <c r="M350" t="str">
        <f t="shared" si="57"/>
        <v/>
      </c>
      <c r="N350" t="str">
        <f t="shared" si="58"/>
        <v/>
      </c>
      <c r="O350" t="str">
        <f t="shared" si="59"/>
        <v/>
      </c>
      <c r="P350" t="str">
        <f>IF(OR(H350="",NOT(OR(LEFT(H350,1)="G",LEFT(H350,1)="R"))),"",IFERROR(VLOOKUP(MID(H350,3,1),Map!$G$2:$H$10,2,FALSE),""))</f>
        <v/>
      </c>
      <c r="Q350" t="str">
        <f>IF(A350="","",IFERROR(VLOOKUP(MID(A350,4,1),Map!$O$2:$P$10,2,FALSE),""))</f>
        <v/>
      </c>
    </row>
    <row r="351" spans="2:17" x14ac:dyDescent="0.25">
      <c r="B351" t="str">
        <f t="shared" si="50"/>
        <v/>
      </c>
      <c r="C351" t="str">
        <f t="shared" si="51"/>
        <v>**</v>
      </c>
      <c r="D351" t="str">
        <f t="shared" si="52"/>
        <v/>
      </c>
      <c r="E351" t="str">
        <f>IFERROR(VLOOKUP(MID(A351,7,2),Map!$A$2:$B$20,2,FALSE),"")</f>
        <v/>
      </c>
      <c r="F351" t="str">
        <f>IF(A351="","",IFERROR(VLOOKUP(MID(A351,9,2),Map!$R$2:$S$14,2,FALSE),""))</f>
        <v/>
      </c>
      <c r="G351" t="str">
        <f t="shared" si="53"/>
        <v/>
      </c>
      <c r="H351" t="str">
        <f t="shared" si="54"/>
        <v/>
      </c>
      <c r="I351" t="str">
        <f>IF(A351="","",IFERROR(VLOOKUP(LEFT(A351,1),Map!$D$2:$E$20,2,FALSE),""))</f>
        <v/>
      </c>
      <c r="J351" t="str">
        <f>IF(OR(H351="",NOT(OR(LEFT(H351,1)="G",LEFT(H351,1)="R"))),"",IFERROR(VLOOKUP(MID(H351,2,1),Map!$J$2:$M$10,2,FALSE),""))</f>
        <v/>
      </c>
      <c r="K351" t="str">
        <f t="shared" si="55"/>
        <v/>
      </c>
      <c r="L351" t="str">
        <f t="shared" si="56"/>
        <v/>
      </c>
      <c r="M351" t="str">
        <f t="shared" si="57"/>
        <v/>
      </c>
      <c r="N351" t="str">
        <f t="shared" si="58"/>
        <v/>
      </c>
      <c r="O351" t="str">
        <f t="shared" si="59"/>
        <v/>
      </c>
      <c r="P351" t="str">
        <f>IF(OR(H351="",NOT(OR(LEFT(H351,1)="G",LEFT(H351,1)="R"))),"",IFERROR(VLOOKUP(MID(H351,3,1),Map!$G$2:$H$10,2,FALSE),""))</f>
        <v/>
      </c>
      <c r="Q351" t="str">
        <f>IF(A351="","",IFERROR(VLOOKUP(MID(A351,4,1),Map!$O$2:$P$10,2,FALSE),""))</f>
        <v/>
      </c>
    </row>
    <row r="352" spans="2:17" x14ac:dyDescent="0.25">
      <c r="B352" t="str">
        <f t="shared" si="50"/>
        <v/>
      </c>
      <c r="C352" t="str">
        <f t="shared" si="51"/>
        <v>**</v>
      </c>
      <c r="D352" t="str">
        <f t="shared" si="52"/>
        <v/>
      </c>
      <c r="E352" t="str">
        <f>IFERROR(VLOOKUP(MID(A352,7,2),Map!$A$2:$B$20,2,FALSE),"")</f>
        <v/>
      </c>
      <c r="F352" t="str">
        <f>IF(A352="","",IFERROR(VLOOKUP(MID(A352,9,2),Map!$R$2:$S$14,2,FALSE),""))</f>
        <v/>
      </c>
      <c r="G352" t="str">
        <f t="shared" si="53"/>
        <v/>
      </c>
      <c r="H352" t="str">
        <f t="shared" si="54"/>
        <v/>
      </c>
      <c r="I352" t="str">
        <f>IF(A352="","",IFERROR(VLOOKUP(LEFT(A352,1),Map!$D$2:$E$20,2,FALSE),""))</f>
        <v/>
      </c>
      <c r="J352" t="str">
        <f>IF(OR(H352="",NOT(OR(LEFT(H352,1)="G",LEFT(H352,1)="R"))),"",IFERROR(VLOOKUP(MID(H352,2,1),Map!$J$2:$M$10,2,FALSE),""))</f>
        <v/>
      </c>
      <c r="K352" t="str">
        <f t="shared" si="55"/>
        <v/>
      </c>
      <c r="L352" t="str">
        <f t="shared" si="56"/>
        <v/>
      </c>
      <c r="M352" t="str">
        <f t="shared" si="57"/>
        <v/>
      </c>
      <c r="N352" t="str">
        <f t="shared" si="58"/>
        <v/>
      </c>
      <c r="O352" t="str">
        <f t="shared" si="59"/>
        <v/>
      </c>
      <c r="P352" t="str">
        <f>IF(OR(H352="",NOT(OR(LEFT(H352,1)="G",LEFT(H352,1)="R"))),"",IFERROR(VLOOKUP(MID(H352,3,1),Map!$G$2:$H$10,2,FALSE),""))</f>
        <v/>
      </c>
      <c r="Q352" t="str">
        <f>IF(A352="","",IFERROR(VLOOKUP(MID(A352,4,1),Map!$O$2:$P$10,2,FALSE),""))</f>
        <v/>
      </c>
    </row>
    <row r="353" spans="2:17" x14ac:dyDescent="0.25">
      <c r="B353" t="str">
        <f t="shared" si="50"/>
        <v/>
      </c>
      <c r="C353" t="str">
        <f t="shared" si="51"/>
        <v>**</v>
      </c>
      <c r="D353" t="str">
        <f t="shared" si="52"/>
        <v/>
      </c>
      <c r="E353" t="str">
        <f>IFERROR(VLOOKUP(MID(A353,7,2),Map!$A$2:$B$20,2,FALSE),"")</f>
        <v/>
      </c>
      <c r="F353" t="str">
        <f>IF(A353="","",IFERROR(VLOOKUP(MID(A353,9,2),Map!$R$2:$S$14,2,FALSE),""))</f>
        <v/>
      </c>
      <c r="G353" t="str">
        <f t="shared" si="53"/>
        <v/>
      </c>
      <c r="H353" t="str">
        <f t="shared" si="54"/>
        <v/>
      </c>
      <c r="I353" t="str">
        <f>IF(A353="","",IFERROR(VLOOKUP(LEFT(A353,1),Map!$D$2:$E$20,2,FALSE),""))</f>
        <v/>
      </c>
      <c r="J353" t="str">
        <f>IF(OR(H353="",NOT(OR(LEFT(H353,1)="G",LEFT(H353,1)="R"))),"",IFERROR(VLOOKUP(MID(H353,2,1),Map!$J$2:$M$10,2,FALSE),""))</f>
        <v/>
      </c>
      <c r="K353" t="str">
        <f t="shared" si="55"/>
        <v/>
      </c>
      <c r="L353" t="str">
        <f t="shared" si="56"/>
        <v/>
      </c>
      <c r="M353" t="str">
        <f t="shared" si="57"/>
        <v/>
      </c>
      <c r="N353" t="str">
        <f t="shared" si="58"/>
        <v/>
      </c>
      <c r="O353" t="str">
        <f t="shared" si="59"/>
        <v/>
      </c>
      <c r="P353" t="str">
        <f>IF(OR(H353="",NOT(OR(LEFT(H353,1)="G",LEFT(H353,1)="R"))),"",IFERROR(VLOOKUP(MID(H353,3,1),Map!$G$2:$H$10,2,FALSE),""))</f>
        <v/>
      </c>
      <c r="Q353" t="str">
        <f>IF(A353="","",IFERROR(VLOOKUP(MID(A353,4,1),Map!$O$2:$P$10,2,FALSE),""))</f>
        <v/>
      </c>
    </row>
    <row r="354" spans="2:17" x14ac:dyDescent="0.25">
      <c r="B354" t="str">
        <f t="shared" si="50"/>
        <v/>
      </c>
      <c r="C354" t="str">
        <f t="shared" si="51"/>
        <v>**</v>
      </c>
      <c r="D354" t="str">
        <f t="shared" si="52"/>
        <v/>
      </c>
      <c r="E354" t="str">
        <f>IFERROR(VLOOKUP(MID(A354,7,2),Map!$A$2:$B$20,2,FALSE),"")</f>
        <v/>
      </c>
      <c r="F354" t="str">
        <f>IF(A354="","",IFERROR(VLOOKUP(MID(A354,9,2),Map!$R$2:$S$14,2,FALSE),""))</f>
        <v/>
      </c>
      <c r="G354" t="str">
        <f t="shared" si="53"/>
        <v/>
      </c>
      <c r="H354" t="str">
        <f t="shared" si="54"/>
        <v/>
      </c>
      <c r="I354" t="str">
        <f>IF(A354="","",IFERROR(VLOOKUP(LEFT(A354,1),Map!$D$2:$E$20,2,FALSE),""))</f>
        <v/>
      </c>
      <c r="J354" t="str">
        <f>IF(OR(H354="",NOT(OR(LEFT(H354,1)="G",LEFT(H354,1)="R"))),"",IFERROR(VLOOKUP(MID(H354,2,1),Map!$J$2:$M$10,2,FALSE),""))</f>
        <v/>
      </c>
      <c r="K354" t="str">
        <f t="shared" si="55"/>
        <v/>
      </c>
      <c r="L354" t="str">
        <f t="shared" si="56"/>
        <v/>
      </c>
      <c r="M354" t="str">
        <f t="shared" si="57"/>
        <v/>
      </c>
      <c r="N354" t="str">
        <f t="shared" si="58"/>
        <v/>
      </c>
      <c r="O354" t="str">
        <f t="shared" si="59"/>
        <v/>
      </c>
      <c r="P354" t="str">
        <f>IF(OR(H354="",NOT(OR(LEFT(H354,1)="G",LEFT(H354,1)="R"))),"",IFERROR(VLOOKUP(MID(H354,3,1),Map!$G$2:$H$10,2,FALSE),""))</f>
        <v/>
      </c>
      <c r="Q354" t="str">
        <f>IF(A354="","",IFERROR(VLOOKUP(MID(A354,4,1),Map!$O$2:$P$10,2,FALSE),""))</f>
        <v/>
      </c>
    </row>
    <row r="355" spans="2:17" x14ac:dyDescent="0.25">
      <c r="B355" t="str">
        <f t="shared" si="50"/>
        <v/>
      </c>
      <c r="C355" t="str">
        <f t="shared" si="51"/>
        <v>**</v>
      </c>
      <c r="D355" t="str">
        <f t="shared" si="52"/>
        <v/>
      </c>
      <c r="E355" t="str">
        <f>IFERROR(VLOOKUP(MID(A355,7,2),Map!$A$2:$B$20,2,FALSE),"")</f>
        <v/>
      </c>
      <c r="F355" t="str">
        <f>IF(A355="","",IFERROR(VLOOKUP(MID(A355,9,2),Map!$R$2:$S$14,2,FALSE),""))</f>
        <v/>
      </c>
      <c r="G355" t="str">
        <f t="shared" si="53"/>
        <v/>
      </c>
      <c r="H355" t="str">
        <f t="shared" si="54"/>
        <v/>
      </c>
      <c r="I355" t="str">
        <f>IF(A355="","",IFERROR(VLOOKUP(LEFT(A355,1),Map!$D$2:$E$20,2,FALSE),""))</f>
        <v/>
      </c>
      <c r="J355" t="str">
        <f>IF(OR(H355="",NOT(OR(LEFT(H355,1)="G",LEFT(H355,1)="R"))),"",IFERROR(VLOOKUP(MID(H355,2,1),Map!$J$2:$M$10,2,FALSE),""))</f>
        <v/>
      </c>
      <c r="K355" t="str">
        <f t="shared" si="55"/>
        <v/>
      </c>
      <c r="L355" t="str">
        <f t="shared" si="56"/>
        <v/>
      </c>
      <c r="M355" t="str">
        <f t="shared" si="57"/>
        <v/>
      </c>
      <c r="N355" t="str">
        <f t="shared" si="58"/>
        <v/>
      </c>
      <c r="O355" t="str">
        <f t="shared" si="59"/>
        <v/>
      </c>
      <c r="P355" t="str">
        <f>IF(OR(H355="",NOT(OR(LEFT(H355,1)="G",LEFT(H355,1)="R"))),"",IFERROR(VLOOKUP(MID(H355,3,1),Map!$G$2:$H$10,2,FALSE),""))</f>
        <v/>
      </c>
      <c r="Q355" t="str">
        <f>IF(A355="","",IFERROR(VLOOKUP(MID(A355,4,1),Map!$O$2:$P$10,2,FALSE),""))</f>
        <v/>
      </c>
    </row>
    <row r="356" spans="2:17" x14ac:dyDescent="0.25">
      <c r="B356" t="str">
        <f t="shared" si="50"/>
        <v/>
      </c>
      <c r="C356" t="str">
        <f t="shared" si="51"/>
        <v>**</v>
      </c>
      <c r="D356" t="str">
        <f t="shared" si="52"/>
        <v/>
      </c>
      <c r="E356" t="str">
        <f>IFERROR(VLOOKUP(MID(A356,7,2),Map!$A$2:$B$20,2,FALSE),"")</f>
        <v/>
      </c>
      <c r="F356" t="str">
        <f>IF(A356="","",IFERROR(VLOOKUP(MID(A356,9,2),Map!$R$2:$S$14,2,FALSE),""))</f>
        <v/>
      </c>
      <c r="G356" t="str">
        <f t="shared" si="53"/>
        <v/>
      </c>
      <c r="H356" t="str">
        <f t="shared" si="54"/>
        <v/>
      </c>
      <c r="I356" t="str">
        <f>IF(A356="","",IFERROR(VLOOKUP(LEFT(A356,1),Map!$D$2:$E$20,2,FALSE),""))</f>
        <v/>
      </c>
      <c r="J356" t="str">
        <f>IF(OR(H356="",NOT(OR(LEFT(H356,1)="G",LEFT(H356,1)="R"))),"",IFERROR(VLOOKUP(MID(H356,2,1),Map!$J$2:$M$10,2,FALSE),""))</f>
        <v/>
      </c>
      <c r="K356" t="str">
        <f t="shared" si="55"/>
        <v/>
      </c>
      <c r="L356" t="str">
        <f t="shared" si="56"/>
        <v/>
      </c>
      <c r="M356" t="str">
        <f t="shared" si="57"/>
        <v/>
      </c>
      <c r="N356" t="str">
        <f t="shared" si="58"/>
        <v/>
      </c>
      <c r="O356" t="str">
        <f t="shared" si="59"/>
        <v/>
      </c>
      <c r="P356" t="str">
        <f>IF(OR(H356="",NOT(OR(LEFT(H356,1)="G",LEFT(H356,1)="R"))),"",IFERROR(VLOOKUP(MID(H356,3,1),Map!$G$2:$H$10,2,FALSE),""))</f>
        <v/>
      </c>
      <c r="Q356" t="str">
        <f>IF(A356="","",IFERROR(VLOOKUP(MID(A356,4,1),Map!$O$2:$P$10,2,FALSE),""))</f>
        <v/>
      </c>
    </row>
    <row r="357" spans="2:17" x14ac:dyDescent="0.25">
      <c r="B357" t="str">
        <f t="shared" si="50"/>
        <v/>
      </c>
      <c r="C357" t="str">
        <f t="shared" si="51"/>
        <v>**</v>
      </c>
      <c r="D357" t="str">
        <f t="shared" si="52"/>
        <v/>
      </c>
      <c r="E357" t="str">
        <f>IFERROR(VLOOKUP(MID(A357,7,2),Map!$A$2:$B$20,2,FALSE),"")</f>
        <v/>
      </c>
      <c r="F357" t="str">
        <f>IF(A357="","",IFERROR(VLOOKUP(MID(A357,9,2),Map!$R$2:$S$14,2,FALSE),""))</f>
        <v/>
      </c>
      <c r="G357" t="str">
        <f t="shared" si="53"/>
        <v/>
      </c>
      <c r="H357" t="str">
        <f t="shared" si="54"/>
        <v/>
      </c>
      <c r="I357" t="str">
        <f>IF(A357="","",IFERROR(VLOOKUP(LEFT(A357,1),Map!$D$2:$E$20,2,FALSE),""))</f>
        <v/>
      </c>
      <c r="J357" t="str">
        <f>IF(OR(H357="",NOT(OR(LEFT(H357,1)="G",LEFT(H357,1)="R"))),"",IFERROR(VLOOKUP(MID(H357,2,1),Map!$J$2:$M$10,2,FALSE),""))</f>
        <v/>
      </c>
      <c r="K357" t="str">
        <f t="shared" si="55"/>
        <v/>
      </c>
      <c r="L357" t="str">
        <f t="shared" si="56"/>
        <v/>
      </c>
      <c r="M357" t="str">
        <f t="shared" si="57"/>
        <v/>
      </c>
      <c r="N357" t="str">
        <f t="shared" si="58"/>
        <v/>
      </c>
      <c r="O357" t="str">
        <f t="shared" si="59"/>
        <v/>
      </c>
      <c r="P357" t="str">
        <f>IF(OR(H357="",NOT(OR(LEFT(H357,1)="G",LEFT(H357,1)="R"))),"",IFERROR(VLOOKUP(MID(H357,3,1),Map!$G$2:$H$10,2,FALSE),""))</f>
        <v/>
      </c>
      <c r="Q357" t="str">
        <f>IF(A357="","",IFERROR(VLOOKUP(MID(A357,4,1),Map!$O$2:$P$10,2,FALSE),""))</f>
        <v/>
      </c>
    </row>
    <row r="358" spans="2:17" x14ac:dyDescent="0.25">
      <c r="B358" t="str">
        <f t="shared" si="50"/>
        <v/>
      </c>
      <c r="C358" t="str">
        <f t="shared" si="51"/>
        <v>**</v>
      </c>
      <c r="D358" t="str">
        <f t="shared" si="52"/>
        <v/>
      </c>
      <c r="E358" t="str">
        <f>IFERROR(VLOOKUP(MID(A358,7,2),Map!$A$2:$B$20,2,FALSE),"")</f>
        <v/>
      </c>
      <c r="F358" t="str">
        <f>IF(A358="","",IFERROR(VLOOKUP(MID(A358,9,2),Map!$R$2:$S$14,2,FALSE),""))</f>
        <v/>
      </c>
      <c r="G358" t="str">
        <f t="shared" si="53"/>
        <v/>
      </c>
      <c r="H358" t="str">
        <f t="shared" si="54"/>
        <v/>
      </c>
      <c r="I358" t="str">
        <f>IF(A358="","",IFERROR(VLOOKUP(LEFT(A358,1),Map!$D$2:$E$20,2,FALSE),""))</f>
        <v/>
      </c>
      <c r="J358" t="str">
        <f>IF(OR(H358="",NOT(OR(LEFT(H358,1)="G",LEFT(H358,1)="R"))),"",IFERROR(VLOOKUP(MID(H358,2,1),Map!$J$2:$M$10,2,FALSE),""))</f>
        <v/>
      </c>
      <c r="K358" t="str">
        <f t="shared" si="55"/>
        <v/>
      </c>
      <c r="L358" t="str">
        <f t="shared" si="56"/>
        <v/>
      </c>
      <c r="M358" t="str">
        <f t="shared" si="57"/>
        <v/>
      </c>
      <c r="N358" t="str">
        <f t="shared" si="58"/>
        <v/>
      </c>
      <c r="O358" t="str">
        <f t="shared" si="59"/>
        <v/>
      </c>
      <c r="P358" t="str">
        <f>IF(OR(H358="",NOT(OR(LEFT(H358,1)="G",LEFT(H358,1)="R"))),"",IFERROR(VLOOKUP(MID(H358,3,1),Map!$G$2:$H$10,2,FALSE),""))</f>
        <v/>
      </c>
      <c r="Q358" t="str">
        <f>IF(A358="","",IFERROR(VLOOKUP(MID(A358,4,1),Map!$O$2:$P$10,2,FALSE),""))</f>
        <v/>
      </c>
    </row>
    <row r="359" spans="2:17" x14ac:dyDescent="0.25">
      <c r="B359" t="str">
        <f t="shared" si="50"/>
        <v/>
      </c>
      <c r="C359" t="str">
        <f t="shared" si="51"/>
        <v>**</v>
      </c>
      <c r="D359" t="str">
        <f t="shared" si="52"/>
        <v/>
      </c>
      <c r="E359" t="str">
        <f>IFERROR(VLOOKUP(MID(A359,7,2),Map!$A$2:$B$20,2,FALSE),"")</f>
        <v/>
      </c>
      <c r="F359" t="str">
        <f>IF(A359="","",IFERROR(VLOOKUP(MID(A359,9,2),Map!$R$2:$S$14,2,FALSE),""))</f>
        <v/>
      </c>
      <c r="G359" t="str">
        <f t="shared" si="53"/>
        <v/>
      </c>
      <c r="H359" t="str">
        <f t="shared" si="54"/>
        <v/>
      </c>
      <c r="I359" t="str">
        <f>IF(A359="","",IFERROR(VLOOKUP(LEFT(A359,1),Map!$D$2:$E$20,2,FALSE),""))</f>
        <v/>
      </c>
      <c r="J359" t="str">
        <f>IF(OR(H359="",NOT(OR(LEFT(H359,1)="G",LEFT(H359,1)="R"))),"",IFERROR(VLOOKUP(MID(H359,2,1),Map!$J$2:$M$10,2,FALSE),""))</f>
        <v/>
      </c>
      <c r="K359" t="str">
        <f t="shared" si="55"/>
        <v/>
      </c>
      <c r="L359" t="str">
        <f t="shared" si="56"/>
        <v/>
      </c>
      <c r="M359" t="str">
        <f t="shared" si="57"/>
        <v/>
      </c>
      <c r="N359" t="str">
        <f t="shared" si="58"/>
        <v/>
      </c>
      <c r="O359" t="str">
        <f t="shared" si="59"/>
        <v/>
      </c>
      <c r="P359" t="str">
        <f>IF(OR(H359="",NOT(OR(LEFT(H359,1)="G",LEFT(H359,1)="R"))),"",IFERROR(VLOOKUP(MID(H359,3,1),Map!$G$2:$H$10,2,FALSE),""))</f>
        <v/>
      </c>
      <c r="Q359" t="str">
        <f>IF(A359="","",IFERROR(VLOOKUP(MID(A359,4,1),Map!$O$2:$P$10,2,FALSE),""))</f>
        <v/>
      </c>
    </row>
    <row r="360" spans="2:17" x14ac:dyDescent="0.25">
      <c r="B360" t="str">
        <f t="shared" si="50"/>
        <v/>
      </c>
      <c r="C360" t="str">
        <f t="shared" si="51"/>
        <v>**</v>
      </c>
      <c r="D360" t="str">
        <f t="shared" si="52"/>
        <v/>
      </c>
      <c r="E360" t="str">
        <f>IFERROR(VLOOKUP(MID(A360,7,2),Map!$A$2:$B$20,2,FALSE),"")</f>
        <v/>
      </c>
      <c r="F360" t="str">
        <f>IF(A360="","",IFERROR(VLOOKUP(MID(A360,9,2),Map!$R$2:$S$14,2,FALSE),""))</f>
        <v/>
      </c>
      <c r="G360" t="str">
        <f t="shared" si="53"/>
        <v/>
      </c>
      <c r="H360" t="str">
        <f t="shared" si="54"/>
        <v/>
      </c>
      <c r="I360" t="str">
        <f>IF(A360="","",IFERROR(VLOOKUP(LEFT(A360,1),Map!$D$2:$E$20,2,FALSE),""))</f>
        <v/>
      </c>
      <c r="J360" t="str">
        <f>IF(OR(H360="",NOT(OR(LEFT(H360,1)="G",LEFT(H360,1)="R"))),"",IFERROR(VLOOKUP(MID(H360,2,1),Map!$J$2:$M$10,2,FALSE),""))</f>
        <v/>
      </c>
      <c r="K360" t="str">
        <f t="shared" si="55"/>
        <v/>
      </c>
      <c r="L360" t="str">
        <f t="shared" si="56"/>
        <v/>
      </c>
      <c r="M360" t="str">
        <f t="shared" si="57"/>
        <v/>
      </c>
      <c r="N360" t="str">
        <f t="shared" si="58"/>
        <v/>
      </c>
      <c r="O360" t="str">
        <f t="shared" si="59"/>
        <v/>
      </c>
      <c r="P360" t="str">
        <f>IF(OR(H360="",NOT(OR(LEFT(H360,1)="G",LEFT(H360,1)="R"))),"",IFERROR(VLOOKUP(MID(H360,3,1),Map!$G$2:$H$10,2,FALSE),""))</f>
        <v/>
      </c>
      <c r="Q360" t="str">
        <f>IF(A360="","",IFERROR(VLOOKUP(MID(A360,4,1),Map!$O$2:$P$10,2,FALSE),""))</f>
        <v/>
      </c>
    </row>
    <row r="361" spans="2:17" x14ac:dyDescent="0.25">
      <c r="B361" t="str">
        <f t="shared" si="50"/>
        <v/>
      </c>
      <c r="C361" t="str">
        <f t="shared" si="51"/>
        <v>**</v>
      </c>
      <c r="D361" t="str">
        <f t="shared" si="52"/>
        <v/>
      </c>
      <c r="E361" t="str">
        <f>IFERROR(VLOOKUP(MID(A361,7,2),Map!$A$2:$B$20,2,FALSE),"")</f>
        <v/>
      </c>
      <c r="F361" t="str">
        <f>IF(A361="","",IFERROR(VLOOKUP(MID(A361,9,2),Map!$R$2:$S$14,2,FALSE),""))</f>
        <v/>
      </c>
      <c r="G361" t="str">
        <f t="shared" si="53"/>
        <v/>
      </c>
      <c r="H361" t="str">
        <f t="shared" si="54"/>
        <v/>
      </c>
      <c r="I361" t="str">
        <f>IF(A361="","",IFERROR(VLOOKUP(LEFT(A361,1),Map!$D$2:$E$20,2,FALSE),""))</f>
        <v/>
      </c>
      <c r="J361" t="str">
        <f>IF(OR(H361="",NOT(OR(LEFT(H361,1)="G",LEFT(H361,1)="R"))),"",IFERROR(VLOOKUP(MID(H361,2,1),Map!$J$2:$M$10,2,FALSE),""))</f>
        <v/>
      </c>
      <c r="K361" t="str">
        <f t="shared" si="55"/>
        <v/>
      </c>
      <c r="L361" t="str">
        <f t="shared" si="56"/>
        <v/>
      </c>
      <c r="M361" t="str">
        <f t="shared" si="57"/>
        <v/>
      </c>
      <c r="N361" t="str">
        <f t="shared" si="58"/>
        <v/>
      </c>
      <c r="O361" t="str">
        <f t="shared" si="59"/>
        <v/>
      </c>
      <c r="P361" t="str">
        <f>IF(OR(H361="",NOT(OR(LEFT(H361,1)="G",LEFT(H361,1)="R"))),"",IFERROR(VLOOKUP(MID(H361,3,1),Map!$G$2:$H$10,2,FALSE),""))</f>
        <v/>
      </c>
      <c r="Q361" t="str">
        <f>IF(A361="","",IFERROR(VLOOKUP(MID(A361,4,1),Map!$O$2:$P$10,2,FALSE),""))</f>
        <v/>
      </c>
    </row>
    <row r="362" spans="2:17" x14ac:dyDescent="0.25">
      <c r="B362" t="str">
        <f t="shared" si="50"/>
        <v/>
      </c>
      <c r="C362" t="str">
        <f t="shared" si="51"/>
        <v>**</v>
      </c>
      <c r="D362" t="str">
        <f t="shared" si="52"/>
        <v/>
      </c>
      <c r="E362" t="str">
        <f>IFERROR(VLOOKUP(MID(A362,7,2),Map!$A$2:$B$20,2,FALSE),"")</f>
        <v/>
      </c>
      <c r="F362" t="str">
        <f>IF(A362="","",IFERROR(VLOOKUP(MID(A362,9,2),Map!$R$2:$S$14,2,FALSE),""))</f>
        <v/>
      </c>
      <c r="G362" t="str">
        <f t="shared" si="53"/>
        <v/>
      </c>
      <c r="H362" t="str">
        <f t="shared" si="54"/>
        <v/>
      </c>
      <c r="I362" t="str">
        <f>IF(A362="","",IFERROR(VLOOKUP(LEFT(A362,1),Map!$D$2:$E$20,2,FALSE),""))</f>
        <v/>
      </c>
      <c r="J362" t="str">
        <f>IF(OR(H362="",NOT(OR(LEFT(H362,1)="G",LEFT(H362,1)="R"))),"",IFERROR(VLOOKUP(MID(H362,2,1),Map!$J$2:$M$10,2,FALSE),""))</f>
        <v/>
      </c>
      <c r="K362" t="str">
        <f t="shared" si="55"/>
        <v/>
      </c>
      <c r="L362" t="str">
        <f t="shared" si="56"/>
        <v/>
      </c>
      <c r="M362" t="str">
        <f t="shared" si="57"/>
        <v/>
      </c>
      <c r="N362" t="str">
        <f t="shared" si="58"/>
        <v/>
      </c>
      <c r="O362" t="str">
        <f t="shared" si="59"/>
        <v/>
      </c>
      <c r="P362" t="str">
        <f>IF(OR(H362="",NOT(OR(LEFT(H362,1)="G",LEFT(H362,1)="R"))),"",IFERROR(VLOOKUP(MID(H362,3,1),Map!$G$2:$H$10,2,FALSE),""))</f>
        <v/>
      </c>
      <c r="Q362" t="str">
        <f>IF(A362="","",IFERROR(VLOOKUP(MID(A362,4,1),Map!$O$2:$P$10,2,FALSE),""))</f>
        <v/>
      </c>
    </row>
    <row r="363" spans="2:17" x14ac:dyDescent="0.25">
      <c r="B363" t="str">
        <f t="shared" si="50"/>
        <v/>
      </c>
      <c r="C363" t="str">
        <f t="shared" si="51"/>
        <v>**</v>
      </c>
      <c r="D363" t="str">
        <f t="shared" si="52"/>
        <v/>
      </c>
      <c r="E363" t="str">
        <f>IFERROR(VLOOKUP(MID(A363,7,2),Map!$A$2:$B$20,2,FALSE),"")</f>
        <v/>
      </c>
      <c r="F363" t="str">
        <f>IF(A363="","",IFERROR(VLOOKUP(MID(A363,9,2),Map!$R$2:$S$14,2,FALSE),""))</f>
        <v/>
      </c>
      <c r="G363" t="str">
        <f t="shared" si="53"/>
        <v/>
      </c>
      <c r="H363" t="str">
        <f t="shared" si="54"/>
        <v/>
      </c>
      <c r="I363" t="str">
        <f>IF(A363="","",IFERROR(VLOOKUP(LEFT(A363,1),Map!$D$2:$E$20,2,FALSE),""))</f>
        <v/>
      </c>
      <c r="J363" t="str">
        <f>IF(OR(H363="",NOT(OR(LEFT(H363,1)="G",LEFT(H363,1)="R"))),"",IFERROR(VLOOKUP(MID(H363,2,1),Map!$J$2:$M$10,2,FALSE),""))</f>
        <v/>
      </c>
      <c r="K363" t="str">
        <f t="shared" si="55"/>
        <v/>
      </c>
      <c r="L363" t="str">
        <f t="shared" si="56"/>
        <v/>
      </c>
      <c r="M363" t="str">
        <f t="shared" si="57"/>
        <v/>
      </c>
      <c r="N363" t="str">
        <f t="shared" si="58"/>
        <v/>
      </c>
      <c r="O363" t="str">
        <f t="shared" si="59"/>
        <v/>
      </c>
      <c r="P363" t="str">
        <f>IF(OR(H363="",NOT(OR(LEFT(H363,1)="G",LEFT(H363,1)="R"))),"",IFERROR(VLOOKUP(MID(H363,3,1),Map!$G$2:$H$10,2,FALSE),""))</f>
        <v/>
      </c>
      <c r="Q363" t="str">
        <f>IF(A363="","",IFERROR(VLOOKUP(MID(A363,4,1),Map!$O$2:$P$10,2,FALSE),""))</f>
        <v/>
      </c>
    </row>
    <row r="364" spans="2:17" x14ac:dyDescent="0.25">
      <c r="B364" t="str">
        <f t="shared" si="50"/>
        <v/>
      </c>
      <c r="C364" t="str">
        <f t="shared" si="51"/>
        <v>**</v>
      </c>
      <c r="D364" t="str">
        <f t="shared" si="52"/>
        <v/>
      </c>
      <c r="E364" t="str">
        <f>IFERROR(VLOOKUP(MID(A364,7,2),Map!$A$2:$B$20,2,FALSE),"")</f>
        <v/>
      </c>
      <c r="F364" t="str">
        <f>IF(A364="","",IFERROR(VLOOKUP(MID(A364,9,2),Map!$R$2:$S$14,2,FALSE),""))</f>
        <v/>
      </c>
      <c r="G364" t="str">
        <f t="shared" si="53"/>
        <v/>
      </c>
      <c r="H364" t="str">
        <f t="shared" si="54"/>
        <v/>
      </c>
      <c r="I364" t="str">
        <f>IF(A364="","",IFERROR(VLOOKUP(LEFT(A364,1),Map!$D$2:$E$20,2,FALSE),""))</f>
        <v/>
      </c>
      <c r="J364" t="str">
        <f>IF(OR(H364="",NOT(OR(LEFT(H364,1)="G",LEFT(H364,1)="R"))),"",IFERROR(VLOOKUP(MID(H364,2,1),Map!$J$2:$M$10,2,FALSE),""))</f>
        <v/>
      </c>
      <c r="K364" t="str">
        <f t="shared" si="55"/>
        <v/>
      </c>
      <c r="L364" t="str">
        <f t="shared" si="56"/>
        <v/>
      </c>
      <c r="M364" t="str">
        <f t="shared" si="57"/>
        <v/>
      </c>
      <c r="N364" t="str">
        <f t="shared" si="58"/>
        <v/>
      </c>
      <c r="O364" t="str">
        <f t="shared" si="59"/>
        <v/>
      </c>
      <c r="P364" t="str">
        <f>IF(OR(H364="",NOT(OR(LEFT(H364,1)="G",LEFT(H364,1)="R"))),"",IFERROR(VLOOKUP(MID(H364,3,1),Map!$G$2:$H$10,2,FALSE),""))</f>
        <v/>
      </c>
      <c r="Q364" t="str">
        <f>IF(A364="","",IFERROR(VLOOKUP(MID(A364,4,1),Map!$O$2:$P$10,2,FALSE),""))</f>
        <v/>
      </c>
    </row>
    <row r="365" spans="2:17" x14ac:dyDescent="0.25">
      <c r="B365" t="str">
        <f t="shared" si="50"/>
        <v/>
      </c>
      <c r="C365" t="str">
        <f t="shared" si="51"/>
        <v>**</v>
      </c>
      <c r="D365" t="str">
        <f t="shared" si="52"/>
        <v/>
      </c>
      <c r="E365" t="str">
        <f>IFERROR(VLOOKUP(MID(A365,7,2),Map!$A$2:$B$20,2,FALSE),"")</f>
        <v/>
      </c>
      <c r="F365" t="str">
        <f>IF(A365="","",IFERROR(VLOOKUP(MID(A365,9,2),Map!$R$2:$S$14,2,FALSE),""))</f>
        <v/>
      </c>
      <c r="G365" t="str">
        <f t="shared" si="53"/>
        <v/>
      </c>
      <c r="H365" t="str">
        <f t="shared" si="54"/>
        <v/>
      </c>
      <c r="I365" t="str">
        <f>IF(A365="","",IFERROR(VLOOKUP(LEFT(A365,1),Map!$D$2:$E$20,2,FALSE),""))</f>
        <v/>
      </c>
      <c r="J365" t="str">
        <f>IF(OR(H365="",NOT(OR(LEFT(H365,1)="G",LEFT(H365,1)="R"))),"",IFERROR(VLOOKUP(MID(H365,2,1),Map!$J$2:$M$10,2,FALSE),""))</f>
        <v/>
      </c>
      <c r="K365" t="str">
        <f t="shared" si="55"/>
        <v/>
      </c>
      <c r="L365" t="str">
        <f t="shared" si="56"/>
        <v/>
      </c>
      <c r="M365" t="str">
        <f t="shared" si="57"/>
        <v/>
      </c>
      <c r="N365" t="str">
        <f t="shared" si="58"/>
        <v/>
      </c>
      <c r="O365" t="str">
        <f t="shared" si="59"/>
        <v/>
      </c>
      <c r="P365" t="str">
        <f>IF(OR(H365="",NOT(OR(LEFT(H365,1)="G",LEFT(H365,1)="R"))),"",IFERROR(VLOOKUP(MID(H365,3,1),Map!$G$2:$H$10,2,FALSE),""))</f>
        <v/>
      </c>
      <c r="Q365" t="str">
        <f>IF(A365="","",IFERROR(VLOOKUP(MID(A365,4,1),Map!$O$2:$P$10,2,FALSE),""))</f>
        <v/>
      </c>
    </row>
    <row r="366" spans="2:17" x14ac:dyDescent="0.25">
      <c r="B366" t="str">
        <f t="shared" si="50"/>
        <v/>
      </c>
      <c r="C366" t="str">
        <f t="shared" si="51"/>
        <v>**</v>
      </c>
      <c r="D366" t="str">
        <f t="shared" si="52"/>
        <v/>
      </c>
      <c r="E366" t="str">
        <f>IFERROR(VLOOKUP(MID(A366,7,2),Map!$A$2:$B$20,2,FALSE),"")</f>
        <v/>
      </c>
      <c r="F366" t="str">
        <f>IF(A366="","",IFERROR(VLOOKUP(MID(A366,9,2),Map!$R$2:$S$14,2,FALSE),""))</f>
        <v/>
      </c>
      <c r="G366" t="str">
        <f t="shared" si="53"/>
        <v/>
      </c>
      <c r="H366" t="str">
        <f t="shared" si="54"/>
        <v/>
      </c>
      <c r="I366" t="str">
        <f>IF(A366="","",IFERROR(VLOOKUP(LEFT(A366,1),Map!$D$2:$E$20,2,FALSE),""))</f>
        <v/>
      </c>
      <c r="J366" t="str">
        <f>IF(OR(H366="",NOT(OR(LEFT(H366,1)="G",LEFT(H366,1)="R"))),"",IFERROR(VLOOKUP(MID(H366,2,1),Map!$J$2:$M$10,2,FALSE),""))</f>
        <v/>
      </c>
      <c r="K366" t="str">
        <f t="shared" si="55"/>
        <v/>
      </c>
      <c r="L366" t="str">
        <f t="shared" si="56"/>
        <v/>
      </c>
      <c r="M366" t="str">
        <f t="shared" si="57"/>
        <v/>
      </c>
      <c r="N366" t="str">
        <f t="shared" si="58"/>
        <v/>
      </c>
      <c r="O366" t="str">
        <f t="shared" si="59"/>
        <v/>
      </c>
      <c r="P366" t="str">
        <f>IF(OR(H366="",NOT(OR(LEFT(H366,1)="G",LEFT(H366,1)="R"))),"",IFERROR(VLOOKUP(MID(H366,3,1),Map!$G$2:$H$10,2,FALSE),""))</f>
        <v/>
      </c>
      <c r="Q366" t="str">
        <f>IF(A366="","",IFERROR(VLOOKUP(MID(A366,4,1),Map!$O$2:$P$10,2,FALSE),""))</f>
        <v/>
      </c>
    </row>
    <row r="367" spans="2:17" x14ac:dyDescent="0.25">
      <c r="B367" t="str">
        <f t="shared" si="50"/>
        <v/>
      </c>
      <c r="C367" t="str">
        <f t="shared" si="51"/>
        <v>**</v>
      </c>
      <c r="D367" t="str">
        <f t="shared" si="52"/>
        <v/>
      </c>
      <c r="E367" t="str">
        <f>IFERROR(VLOOKUP(MID(A367,7,2),Map!$A$2:$B$20,2,FALSE),"")</f>
        <v/>
      </c>
      <c r="F367" t="str">
        <f>IF(A367="","",IFERROR(VLOOKUP(MID(A367,9,2),Map!$R$2:$S$14,2,FALSE),""))</f>
        <v/>
      </c>
      <c r="G367" t="str">
        <f t="shared" si="53"/>
        <v/>
      </c>
      <c r="H367" t="str">
        <f t="shared" si="54"/>
        <v/>
      </c>
      <c r="I367" t="str">
        <f>IF(A367="","",IFERROR(VLOOKUP(LEFT(A367,1),Map!$D$2:$E$20,2,FALSE),""))</f>
        <v/>
      </c>
      <c r="J367" t="str">
        <f>IF(OR(H367="",NOT(OR(LEFT(H367,1)="G",LEFT(H367,1)="R"))),"",IFERROR(VLOOKUP(MID(H367,2,1),Map!$J$2:$M$10,2,FALSE),""))</f>
        <v/>
      </c>
      <c r="K367" t="str">
        <f t="shared" si="55"/>
        <v/>
      </c>
      <c r="L367" t="str">
        <f t="shared" si="56"/>
        <v/>
      </c>
      <c r="M367" t="str">
        <f t="shared" si="57"/>
        <v/>
      </c>
      <c r="N367" t="str">
        <f t="shared" si="58"/>
        <v/>
      </c>
      <c r="O367" t="str">
        <f t="shared" si="59"/>
        <v/>
      </c>
      <c r="P367" t="str">
        <f>IF(OR(H367="",NOT(OR(LEFT(H367,1)="G",LEFT(H367,1)="R"))),"",IFERROR(VLOOKUP(MID(H367,3,1),Map!$G$2:$H$10,2,FALSE),""))</f>
        <v/>
      </c>
      <c r="Q367" t="str">
        <f>IF(A367="","",IFERROR(VLOOKUP(MID(A367,4,1),Map!$O$2:$P$10,2,FALSE),""))</f>
        <v/>
      </c>
    </row>
    <row r="368" spans="2:17" x14ac:dyDescent="0.25">
      <c r="B368" t="str">
        <f t="shared" si="50"/>
        <v/>
      </c>
      <c r="C368" t="str">
        <f t="shared" si="51"/>
        <v>**</v>
      </c>
      <c r="D368" t="str">
        <f t="shared" si="52"/>
        <v/>
      </c>
      <c r="E368" t="str">
        <f>IFERROR(VLOOKUP(MID(A368,7,2),Map!$A$2:$B$20,2,FALSE),"")</f>
        <v/>
      </c>
      <c r="F368" t="str">
        <f>IF(A368="","",IFERROR(VLOOKUP(MID(A368,9,2),Map!$R$2:$S$14,2,FALSE),""))</f>
        <v/>
      </c>
      <c r="G368" t="str">
        <f t="shared" si="53"/>
        <v/>
      </c>
      <c r="H368" t="str">
        <f t="shared" si="54"/>
        <v/>
      </c>
      <c r="I368" t="str">
        <f>IF(A368="","",IFERROR(VLOOKUP(LEFT(A368,1),Map!$D$2:$E$20,2,FALSE),""))</f>
        <v/>
      </c>
      <c r="J368" t="str">
        <f>IF(OR(H368="",NOT(OR(LEFT(H368,1)="G",LEFT(H368,1)="R"))),"",IFERROR(VLOOKUP(MID(H368,2,1),Map!$J$2:$M$10,2,FALSE),""))</f>
        <v/>
      </c>
      <c r="K368" t="str">
        <f t="shared" si="55"/>
        <v/>
      </c>
      <c r="L368" t="str">
        <f t="shared" si="56"/>
        <v/>
      </c>
      <c r="M368" t="str">
        <f t="shared" si="57"/>
        <v/>
      </c>
      <c r="N368" t="str">
        <f t="shared" si="58"/>
        <v/>
      </c>
      <c r="O368" t="str">
        <f t="shared" si="59"/>
        <v/>
      </c>
      <c r="P368" t="str">
        <f>IF(OR(H368="",NOT(OR(LEFT(H368,1)="G",LEFT(H368,1)="R"))),"",IFERROR(VLOOKUP(MID(H368,3,1),Map!$G$2:$H$10,2,FALSE),""))</f>
        <v/>
      </c>
      <c r="Q368" t="str">
        <f>IF(A368="","",IFERROR(VLOOKUP(MID(A368,4,1),Map!$O$2:$P$10,2,FALSE),""))</f>
        <v/>
      </c>
    </row>
    <row r="369" spans="2:17" x14ac:dyDescent="0.25">
      <c r="B369" t="str">
        <f t="shared" si="50"/>
        <v/>
      </c>
      <c r="C369" t="str">
        <f t="shared" si="51"/>
        <v>**</v>
      </c>
      <c r="D369" t="str">
        <f t="shared" si="52"/>
        <v/>
      </c>
      <c r="E369" t="str">
        <f>IFERROR(VLOOKUP(MID(A369,7,2),Map!$A$2:$B$20,2,FALSE),"")</f>
        <v/>
      </c>
      <c r="F369" t="str">
        <f>IF(A369="","",IFERROR(VLOOKUP(MID(A369,9,2),Map!$R$2:$S$14,2,FALSE),""))</f>
        <v/>
      </c>
      <c r="G369" t="str">
        <f t="shared" si="53"/>
        <v/>
      </c>
      <c r="H369" t="str">
        <f t="shared" si="54"/>
        <v/>
      </c>
      <c r="I369" t="str">
        <f>IF(A369="","",IFERROR(VLOOKUP(LEFT(A369,1),Map!$D$2:$E$20,2,FALSE),""))</f>
        <v/>
      </c>
      <c r="J369" t="str">
        <f>IF(OR(H369="",NOT(OR(LEFT(H369,1)="G",LEFT(H369,1)="R"))),"",IFERROR(VLOOKUP(MID(H369,2,1),Map!$J$2:$M$10,2,FALSE),""))</f>
        <v/>
      </c>
      <c r="K369" t="str">
        <f t="shared" si="55"/>
        <v/>
      </c>
      <c r="L369" t="str">
        <f t="shared" si="56"/>
        <v/>
      </c>
      <c r="M369" t="str">
        <f t="shared" si="57"/>
        <v/>
      </c>
      <c r="N369" t="str">
        <f t="shared" si="58"/>
        <v/>
      </c>
      <c r="O369" t="str">
        <f t="shared" si="59"/>
        <v/>
      </c>
      <c r="P369" t="str">
        <f>IF(OR(H369="",NOT(OR(LEFT(H369,1)="G",LEFT(H369,1)="R"))),"",IFERROR(VLOOKUP(MID(H369,3,1),Map!$G$2:$H$10,2,FALSE),""))</f>
        <v/>
      </c>
      <c r="Q369" t="str">
        <f>IF(A369="","",IFERROR(VLOOKUP(MID(A369,4,1),Map!$O$2:$P$10,2,FALSE),""))</f>
        <v/>
      </c>
    </row>
    <row r="370" spans="2:17" x14ac:dyDescent="0.25">
      <c r="B370" t="str">
        <f t="shared" si="50"/>
        <v/>
      </c>
      <c r="C370" t="str">
        <f t="shared" si="51"/>
        <v>**</v>
      </c>
      <c r="D370" t="str">
        <f t="shared" si="52"/>
        <v/>
      </c>
      <c r="E370" t="str">
        <f>IFERROR(VLOOKUP(MID(A370,7,2),Map!$A$2:$B$20,2,FALSE),"")</f>
        <v/>
      </c>
      <c r="F370" t="str">
        <f>IF(A370="","",IFERROR(VLOOKUP(MID(A370,9,2),Map!$R$2:$S$14,2,FALSE),""))</f>
        <v/>
      </c>
      <c r="G370" t="str">
        <f t="shared" si="53"/>
        <v/>
      </c>
      <c r="H370" t="str">
        <f t="shared" si="54"/>
        <v/>
      </c>
      <c r="I370" t="str">
        <f>IF(A370="","",IFERROR(VLOOKUP(LEFT(A370,1),Map!$D$2:$E$20,2,FALSE),""))</f>
        <v/>
      </c>
      <c r="J370" t="str">
        <f>IF(OR(H370="",NOT(OR(LEFT(H370,1)="G",LEFT(H370,1)="R"))),"",IFERROR(VLOOKUP(MID(H370,2,1),Map!$J$2:$M$10,2,FALSE),""))</f>
        <v/>
      </c>
      <c r="K370" t="str">
        <f t="shared" si="55"/>
        <v/>
      </c>
      <c r="L370" t="str">
        <f t="shared" si="56"/>
        <v/>
      </c>
      <c r="M370" t="str">
        <f t="shared" si="57"/>
        <v/>
      </c>
      <c r="N370" t="str">
        <f t="shared" si="58"/>
        <v/>
      </c>
      <c r="O370" t="str">
        <f t="shared" si="59"/>
        <v/>
      </c>
      <c r="P370" t="str">
        <f>IF(OR(H370="",NOT(OR(LEFT(H370,1)="G",LEFT(H370,1)="R"))),"",IFERROR(VLOOKUP(MID(H370,3,1),Map!$G$2:$H$10,2,FALSE),""))</f>
        <v/>
      </c>
      <c r="Q370" t="str">
        <f>IF(A370="","",IFERROR(VLOOKUP(MID(A370,4,1),Map!$O$2:$P$10,2,FALSE),""))</f>
        <v/>
      </c>
    </row>
    <row r="371" spans="2:17" x14ac:dyDescent="0.25">
      <c r="B371" t="str">
        <f t="shared" si="50"/>
        <v/>
      </c>
      <c r="C371" t="str">
        <f t="shared" si="51"/>
        <v>**</v>
      </c>
      <c r="D371" t="str">
        <f t="shared" si="52"/>
        <v/>
      </c>
      <c r="E371" t="str">
        <f>IFERROR(VLOOKUP(MID(A371,7,2),Map!$A$2:$B$20,2,FALSE),"")</f>
        <v/>
      </c>
      <c r="F371" t="str">
        <f>IF(A371="","",IFERROR(VLOOKUP(MID(A371,9,2),Map!$R$2:$S$14,2,FALSE),""))</f>
        <v/>
      </c>
      <c r="G371" t="str">
        <f t="shared" si="53"/>
        <v/>
      </c>
      <c r="H371" t="str">
        <f t="shared" si="54"/>
        <v/>
      </c>
      <c r="I371" t="str">
        <f>IF(A371="","",IFERROR(VLOOKUP(LEFT(A371,1),Map!$D$2:$E$20,2,FALSE),""))</f>
        <v/>
      </c>
      <c r="J371" t="str">
        <f>IF(OR(H371="",NOT(OR(LEFT(H371,1)="G",LEFT(H371,1)="R"))),"",IFERROR(VLOOKUP(MID(H371,2,1),Map!$J$2:$M$10,2,FALSE),""))</f>
        <v/>
      </c>
      <c r="K371" t="str">
        <f t="shared" si="55"/>
        <v/>
      </c>
      <c r="L371" t="str">
        <f t="shared" si="56"/>
        <v/>
      </c>
      <c r="M371" t="str">
        <f t="shared" si="57"/>
        <v/>
      </c>
      <c r="N371" t="str">
        <f t="shared" si="58"/>
        <v/>
      </c>
      <c r="O371" t="str">
        <f t="shared" si="59"/>
        <v/>
      </c>
      <c r="P371" t="str">
        <f>IF(OR(H371="",NOT(OR(LEFT(H371,1)="G",LEFT(H371,1)="R"))),"",IFERROR(VLOOKUP(MID(H371,3,1),Map!$G$2:$H$10,2,FALSE),""))</f>
        <v/>
      </c>
      <c r="Q371" t="str">
        <f>IF(A371="","",IFERROR(VLOOKUP(MID(A371,4,1),Map!$O$2:$P$10,2,FALSE),""))</f>
        <v/>
      </c>
    </row>
    <row r="372" spans="2:17" x14ac:dyDescent="0.25">
      <c r="B372" t="str">
        <f t="shared" si="50"/>
        <v/>
      </c>
      <c r="C372" t="str">
        <f t="shared" si="51"/>
        <v>**</v>
      </c>
      <c r="D372" t="str">
        <f t="shared" si="52"/>
        <v/>
      </c>
      <c r="E372" t="str">
        <f>IFERROR(VLOOKUP(MID(A372,7,2),Map!$A$2:$B$20,2,FALSE),"")</f>
        <v/>
      </c>
      <c r="F372" t="str">
        <f>IF(A372="","",IFERROR(VLOOKUP(MID(A372,9,2),Map!$R$2:$S$14,2,FALSE),""))</f>
        <v/>
      </c>
      <c r="G372" t="str">
        <f t="shared" si="53"/>
        <v/>
      </c>
      <c r="H372" t="str">
        <f t="shared" si="54"/>
        <v/>
      </c>
      <c r="I372" t="str">
        <f>IF(A372="","",IFERROR(VLOOKUP(LEFT(A372,1),Map!$D$2:$E$20,2,FALSE),""))</f>
        <v/>
      </c>
      <c r="J372" t="str">
        <f>IF(OR(H372="",NOT(OR(LEFT(H372,1)="G",LEFT(H372,1)="R"))),"",IFERROR(VLOOKUP(MID(H372,2,1),Map!$J$2:$M$10,2,FALSE),""))</f>
        <v/>
      </c>
      <c r="K372" t="str">
        <f t="shared" si="55"/>
        <v/>
      </c>
      <c r="L372" t="str">
        <f t="shared" si="56"/>
        <v/>
      </c>
      <c r="M372" t="str">
        <f t="shared" si="57"/>
        <v/>
      </c>
      <c r="N372" t="str">
        <f t="shared" si="58"/>
        <v/>
      </c>
      <c r="O372" t="str">
        <f t="shared" si="59"/>
        <v/>
      </c>
      <c r="P372" t="str">
        <f>IF(OR(H372="",NOT(OR(LEFT(H372,1)="G",LEFT(H372,1)="R"))),"",IFERROR(VLOOKUP(MID(H372,3,1),Map!$G$2:$H$10,2,FALSE),""))</f>
        <v/>
      </c>
      <c r="Q372" t="str">
        <f>IF(A372="","",IFERROR(VLOOKUP(MID(A372,4,1),Map!$O$2:$P$10,2,FALSE),""))</f>
        <v/>
      </c>
    </row>
    <row r="373" spans="2:17" x14ac:dyDescent="0.25">
      <c r="B373" t="str">
        <f t="shared" si="50"/>
        <v/>
      </c>
      <c r="C373" t="str">
        <f t="shared" si="51"/>
        <v>**</v>
      </c>
      <c r="D373" t="str">
        <f t="shared" si="52"/>
        <v/>
      </c>
      <c r="E373" t="str">
        <f>IFERROR(VLOOKUP(MID(A373,7,2),Map!$A$2:$B$20,2,FALSE),"")</f>
        <v/>
      </c>
      <c r="F373" t="str">
        <f>IF(A373="","",IFERROR(VLOOKUP(MID(A373,9,2),Map!$R$2:$S$14,2,FALSE),""))</f>
        <v/>
      </c>
      <c r="G373" t="str">
        <f t="shared" si="53"/>
        <v/>
      </c>
      <c r="H373" t="str">
        <f t="shared" si="54"/>
        <v/>
      </c>
      <c r="I373" t="str">
        <f>IF(A373="","",IFERROR(VLOOKUP(LEFT(A373,1),Map!$D$2:$E$20,2,FALSE),""))</f>
        <v/>
      </c>
      <c r="J373" t="str">
        <f>IF(OR(H373="",NOT(OR(LEFT(H373,1)="G",LEFT(H373,1)="R"))),"",IFERROR(VLOOKUP(MID(H373,2,1),Map!$J$2:$M$10,2,FALSE),""))</f>
        <v/>
      </c>
      <c r="K373" t="str">
        <f t="shared" si="55"/>
        <v/>
      </c>
      <c r="L373" t="str">
        <f t="shared" si="56"/>
        <v/>
      </c>
      <c r="M373" t="str">
        <f t="shared" si="57"/>
        <v/>
      </c>
      <c r="N373" t="str">
        <f t="shared" si="58"/>
        <v/>
      </c>
      <c r="O373" t="str">
        <f t="shared" si="59"/>
        <v/>
      </c>
      <c r="P373" t="str">
        <f>IF(OR(H373="",NOT(OR(LEFT(H373,1)="G",LEFT(H373,1)="R"))),"",IFERROR(VLOOKUP(MID(H373,3,1),Map!$G$2:$H$10,2,FALSE),""))</f>
        <v/>
      </c>
      <c r="Q373" t="str">
        <f>IF(A373="","",IFERROR(VLOOKUP(MID(A373,4,1),Map!$O$2:$P$10,2,FALSE),""))</f>
        <v/>
      </c>
    </row>
    <row r="374" spans="2:17" x14ac:dyDescent="0.25">
      <c r="B374" t="str">
        <f t="shared" si="50"/>
        <v/>
      </c>
      <c r="C374" t="str">
        <f t="shared" si="51"/>
        <v>**</v>
      </c>
      <c r="D374" t="str">
        <f t="shared" si="52"/>
        <v/>
      </c>
      <c r="E374" t="str">
        <f>IFERROR(VLOOKUP(MID(A374,7,2),Map!$A$2:$B$20,2,FALSE),"")</f>
        <v/>
      </c>
      <c r="F374" t="str">
        <f>IF(A374="","",IFERROR(VLOOKUP(MID(A374,9,2),Map!$R$2:$S$14,2,FALSE),""))</f>
        <v/>
      </c>
      <c r="G374" t="str">
        <f t="shared" si="53"/>
        <v/>
      </c>
      <c r="H374" t="str">
        <f t="shared" si="54"/>
        <v/>
      </c>
      <c r="I374" t="str">
        <f>IF(A374="","",IFERROR(VLOOKUP(LEFT(A374,1),Map!$D$2:$E$20,2,FALSE),""))</f>
        <v/>
      </c>
      <c r="J374" t="str">
        <f>IF(OR(H374="",NOT(OR(LEFT(H374,1)="G",LEFT(H374,1)="R"))),"",IFERROR(VLOOKUP(MID(H374,2,1),Map!$J$2:$M$10,2,FALSE),""))</f>
        <v/>
      </c>
      <c r="K374" t="str">
        <f t="shared" si="55"/>
        <v/>
      </c>
      <c r="L374" t="str">
        <f t="shared" si="56"/>
        <v/>
      </c>
      <c r="M374" t="str">
        <f t="shared" si="57"/>
        <v/>
      </c>
      <c r="N374" t="str">
        <f t="shared" si="58"/>
        <v/>
      </c>
      <c r="O374" t="str">
        <f t="shared" si="59"/>
        <v/>
      </c>
      <c r="P374" t="str">
        <f>IF(OR(H374="",NOT(OR(LEFT(H374,1)="G",LEFT(H374,1)="R"))),"",IFERROR(VLOOKUP(MID(H374,3,1),Map!$G$2:$H$10,2,FALSE),""))</f>
        <v/>
      </c>
      <c r="Q374" t="str">
        <f>IF(A374="","",IFERROR(VLOOKUP(MID(A374,4,1),Map!$O$2:$P$10,2,FALSE),""))</f>
        <v/>
      </c>
    </row>
    <row r="375" spans="2:17" x14ac:dyDescent="0.25">
      <c r="B375" t="str">
        <f t="shared" si="50"/>
        <v/>
      </c>
      <c r="C375" t="str">
        <f t="shared" si="51"/>
        <v>**</v>
      </c>
      <c r="D375" t="str">
        <f t="shared" si="52"/>
        <v/>
      </c>
      <c r="E375" t="str">
        <f>IFERROR(VLOOKUP(MID(A375,7,2),Map!$A$2:$B$20,2,FALSE),"")</f>
        <v/>
      </c>
      <c r="F375" t="str">
        <f>IF(A375="","",IFERROR(VLOOKUP(MID(A375,9,2),Map!$R$2:$S$14,2,FALSE),""))</f>
        <v/>
      </c>
      <c r="G375" t="str">
        <f t="shared" si="53"/>
        <v/>
      </c>
      <c r="H375" t="str">
        <f t="shared" si="54"/>
        <v/>
      </c>
      <c r="I375" t="str">
        <f>IF(A375="","",IFERROR(VLOOKUP(LEFT(A375,1),Map!$D$2:$E$20,2,FALSE),""))</f>
        <v/>
      </c>
      <c r="J375" t="str">
        <f>IF(OR(H375="",NOT(OR(LEFT(H375,1)="G",LEFT(H375,1)="R"))),"",IFERROR(VLOOKUP(MID(H375,2,1),Map!$J$2:$M$10,2,FALSE),""))</f>
        <v/>
      </c>
      <c r="K375" t="str">
        <f t="shared" si="55"/>
        <v/>
      </c>
      <c r="L375" t="str">
        <f t="shared" si="56"/>
        <v/>
      </c>
      <c r="M375" t="str">
        <f t="shared" si="57"/>
        <v/>
      </c>
      <c r="N375" t="str">
        <f t="shared" si="58"/>
        <v/>
      </c>
      <c r="O375" t="str">
        <f t="shared" si="59"/>
        <v/>
      </c>
      <c r="P375" t="str">
        <f>IF(OR(H375="",NOT(OR(LEFT(H375,1)="G",LEFT(H375,1)="R"))),"",IFERROR(VLOOKUP(MID(H375,3,1),Map!$G$2:$H$10,2,FALSE),""))</f>
        <v/>
      </c>
      <c r="Q375" t="str">
        <f>IF(A375="","",IFERROR(VLOOKUP(MID(A375,4,1),Map!$O$2:$P$10,2,FALSE),""))</f>
        <v/>
      </c>
    </row>
    <row r="376" spans="2:17" x14ac:dyDescent="0.25">
      <c r="B376" t="str">
        <f t="shared" si="50"/>
        <v/>
      </c>
      <c r="C376" t="str">
        <f t="shared" si="51"/>
        <v>**</v>
      </c>
      <c r="D376" t="str">
        <f t="shared" si="52"/>
        <v/>
      </c>
      <c r="E376" t="str">
        <f>IFERROR(VLOOKUP(MID(A376,7,2),Map!$A$2:$B$20,2,FALSE),"")</f>
        <v/>
      </c>
      <c r="F376" t="str">
        <f>IF(A376="","",IFERROR(VLOOKUP(MID(A376,9,2),Map!$R$2:$S$14,2,FALSE),""))</f>
        <v/>
      </c>
      <c r="G376" t="str">
        <f t="shared" si="53"/>
        <v/>
      </c>
      <c r="H376" t="str">
        <f t="shared" si="54"/>
        <v/>
      </c>
      <c r="I376" t="str">
        <f>IF(A376="","",IFERROR(VLOOKUP(LEFT(A376,1),Map!$D$2:$E$20,2,FALSE),""))</f>
        <v/>
      </c>
      <c r="J376" t="str">
        <f>IF(OR(H376="",NOT(OR(LEFT(H376,1)="G",LEFT(H376,1)="R"))),"",IFERROR(VLOOKUP(MID(H376,2,1),Map!$J$2:$M$10,2,FALSE),""))</f>
        <v/>
      </c>
      <c r="K376" t="str">
        <f t="shared" si="55"/>
        <v/>
      </c>
      <c r="L376" t="str">
        <f t="shared" si="56"/>
        <v/>
      </c>
      <c r="M376" t="str">
        <f t="shared" si="57"/>
        <v/>
      </c>
      <c r="N376" t="str">
        <f t="shared" si="58"/>
        <v/>
      </c>
      <c r="O376" t="str">
        <f t="shared" si="59"/>
        <v/>
      </c>
      <c r="P376" t="str">
        <f>IF(OR(H376="",NOT(OR(LEFT(H376,1)="G",LEFT(H376,1)="R"))),"",IFERROR(VLOOKUP(MID(H376,3,1),Map!$G$2:$H$10,2,FALSE),""))</f>
        <v/>
      </c>
      <c r="Q376" t="str">
        <f>IF(A376="","",IFERROR(VLOOKUP(MID(A376,4,1),Map!$O$2:$P$10,2,FALSE),""))</f>
        <v/>
      </c>
    </row>
    <row r="377" spans="2:17" x14ac:dyDescent="0.25">
      <c r="B377" t="str">
        <f t="shared" si="50"/>
        <v/>
      </c>
      <c r="C377" t="str">
        <f t="shared" si="51"/>
        <v>**</v>
      </c>
      <c r="D377" t="str">
        <f t="shared" si="52"/>
        <v/>
      </c>
      <c r="E377" t="str">
        <f>IFERROR(VLOOKUP(MID(A377,7,2),Map!$A$2:$B$20,2,FALSE),"")</f>
        <v/>
      </c>
      <c r="F377" t="str">
        <f>IF(A377="","",IFERROR(VLOOKUP(MID(A377,9,2),Map!$R$2:$S$14,2,FALSE),""))</f>
        <v/>
      </c>
      <c r="G377" t="str">
        <f t="shared" si="53"/>
        <v/>
      </c>
      <c r="H377" t="str">
        <f t="shared" si="54"/>
        <v/>
      </c>
      <c r="I377" t="str">
        <f>IF(A377="","",IFERROR(VLOOKUP(LEFT(A377,1),Map!$D$2:$E$20,2,FALSE),""))</f>
        <v/>
      </c>
      <c r="J377" t="str">
        <f>IF(OR(H377="",NOT(OR(LEFT(H377,1)="G",LEFT(H377,1)="R"))),"",IFERROR(VLOOKUP(MID(H377,2,1),Map!$J$2:$M$10,2,FALSE),""))</f>
        <v/>
      </c>
      <c r="K377" t="str">
        <f t="shared" si="55"/>
        <v/>
      </c>
      <c r="L377" t="str">
        <f t="shared" si="56"/>
        <v/>
      </c>
      <c r="M377" t="str">
        <f t="shared" si="57"/>
        <v/>
      </c>
      <c r="N377" t="str">
        <f t="shared" si="58"/>
        <v/>
      </c>
      <c r="O377" t="str">
        <f t="shared" si="59"/>
        <v/>
      </c>
      <c r="P377" t="str">
        <f>IF(OR(H377="",NOT(OR(LEFT(H377,1)="G",LEFT(H377,1)="R"))),"",IFERROR(VLOOKUP(MID(H377,3,1),Map!$G$2:$H$10,2,FALSE),""))</f>
        <v/>
      </c>
      <c r="Q377" t="str">
        <f>IF(A377="","",IFERROR(VLOOKUP(MID(A377,4,1),Map!$O$2:$P$10,2,FALSE),""))</f>
        <v/>
      </c>
    </row>
    <row r="378" spans="2:17" x14ac:dyDescent="0.25">
      <c r="B378" t="str">
        <f t="shared" si="50"/>
        <v/>
      </c>
      <c r="C378" t="str">
        <f t="shared" si="51"/>
        <v>**</v>
      </c>
      <c r="D378" t="str">
        <f t="shared" si="52"/>
        <v/>
      </c>
      <c r="E378" t="str">
        <f>IFERROR(VLOOKUP(MID(A378,7,2),Map!$A$2:$B$20,2,FALSE),"")</f>
        <v/>
      </c>
      <c r="F378" t="str">
        <f>IF(A378="","",IFERROR(VLOOKUP(MID(A378,9,2),Map!$R$2:$S$14,2,FALSE),""))</f>
        <v/>
      </c>
      <c r="G378" t="str">
        <f t="shared" si="53"/>
        <v/>
      </c>
      <c r="H378" t="str">
        <f t="shared" si="54"/>
        <v/>
      </c>
      <c r="I378" t="str">
        <f>IF(A378="","",IFERROR(VLOOKUP(LEFT(A378,1),Map!$D$2:$E$20,2,FALSE),""))</f>
        <v/>
      </c>
      <c r="J378" t="str">
        <f>IF(OR(H378="",NOT(OR(LEFT(H378,1)="G",LEFT(H378,1)="R"))),"",IFERROR(VLOOKUP(MID(H378,2,1),Map!$J$2:$M$10,2,FALSE),""))</f>
        <v/>
      </c>
      <c r="K378" t="str">
        <f t="shared" si="55"/>
        <v/>
      </c>
      <c r="L378" t="str">
        <f t="shared" si="56"/>
        <v/>
      </c>
      <c r="M378" t="str">
        <f t="shared" si="57"/>
        <v/>
      </c>
      <c r="N378" t="str">
        <f t="shared" si="58"/>
        <v/>
      </c>
      <c r="O378" t="str">
        <f t="shared" si="59"/>
        <v/>
      </c>
      <c r="P378" t="str">
        <f>IF(OR(H378="",NOT(OR(LEFT(H378,1)="G",LEFT(H378,1)="R"))),"",IFERROR(VLOOKUP(MID(H378,3,1),Map!$G$2:$H$10,2,FALSE),""))</f>
        <v/>
      </c>
      <c r="Q378" t="str">
        <f>IF(A378="","",IFERROR(VLOOKUP(MID(A378,4,1),Map!$O$2:$P$10,2,FALSE),""))</f>
        <v/>
      </c>
    </row>
    <row r="379" spans="2:17" x14ac:dyDescent="0.25">
      <c r="B379" t="str">
        <f t="shared" si="50"/>
        <v/>
      </c>
      <c r="C379" t="str">
        <f t="shared" si="51"/>
        <v>**</v>
      </c>
      <c r="D379" t="str">
        <f t="shared" si="52"/>
        <v/>
      </c>
      <c r="E379" t="str">
        <f>IFERROR(VLOOKUP(MID(A379,7,2),Map!$A$2:$B$20,2,FALSE),"")</f>
        <v/>
      </c>
      <c r="F379" t="str">
        <f>IF(A379="","",IFERROR(VLOOKUP(MID(A379,9,2),Map!$R$2:$S$14,2,FALSE),""))</f>
        <v/>
      </c>
      <c r="G379" t="str">
        <f t="shared" si="53"/>
        <v/>
      </c>
      <c r="H379" t="str">
        <f t="shared" si="54"/>
        <v/>
      </c>
      <c r="I379" t="str">
        <f>IF(A379="","",IFERROR(VLOOKUP(LEFT(A379,1),Map!$D$2:$E$20,2,FALSE),""))</f>
        <v/>
      </c>
      <c r="J379" t="str">
        <f>IF(OR(H379="",NOT(OR(LEFT(H379,1)="G",LEFT(H379,1)="R"))),"",IFERROR(VLOOKUP(MID(H379,2,1),Map!$J$2:$M$10,2,FALSE),""))</f>
        <v/>
      </c>
      <c r="K379" t="str">
        <f t="shared" si="55"/>
        <v/>
      </c>
      <c r="L379" t="str">
        <f t="shared" si="56"/>
        <v/>
      </c>
      <c r="M379" t="str">
        <f t="shared" si="57"/>
        <v/>
      </c>
      <c r="N379" t="str">
        <f t="shared" si="58"/>
        <v/>
      </c>
      <c r="O379" t="str">
        <f t="shared" si="59"/>
        <v/>
      </c>
      <c r="P379" t="str">
        <f>IF(OR(H379="",NOT(OR(LEFT(H379,1)="G",LEFT(H379,1)="R"))),"",IFERROR(VLOOKUP(MID(H379,3,1),Map!$G$2:$H$10,2,FALSE),""))</f>
        <v/>
      </c>
      <c r="Q379" t="str">
        <f>IF(A379="","",IFERROR(VLOOKUP(MID(A379,4,1),Map!$O$2:$P$10,2,FALSE),""))</f>
        <v/>
      </c>
    </row>
    <row r="380" spans="2:17" x14ac:dyDescent="0.25">
      <c r="B380" t="str">
        <f t="shared" si="50"/>
        <v/>
      </c>
      <c r="C380" t="str">
        <f t="shared" si="51"/>
        <v>**</v>
      </c>
      <c r="D380" t="str">
        <f t="shared" si="52"/>
        <v/>
      </c>
      <c r="E380" t="str">
        <f>IFERROR(VLOOKUP(MID(A380,7,2),Map!$A$2:$B$20,2,FALSE),"")</f>
        <v/>
      </c>
      <c r="F380" t="str">
        <f>IF(A380="","",IFERROR(VLOOKUP(MID(A380,9,2),Map!$R$2:$S$14,2,FALSE),""))</f>
        <v/>
      </c>
      <c r="G380" t="str">
        <f t="shared" si="53"/>
        <v/>
      </c>
      <c r="H380" t="str">
        <f t="shared" si="54"/>
        <v/>
      </c>
      <c r="I380" t="str">
        <f>IF(A380="","",IFERROR(VLOOKUP(LEFT(A380,1),Map!$D$2:$E$20,2,FALSE),""))</f>
        <v/>
      </c>
      <c r="J380" t="str">
        <f>IF(OR(H380="",NOT(OR(LEFT(H380,1)="G",LEFT(H380,1)="R"))),"",IFERROR(VLOOKUP(MID(H380,2,1),Map!$J$2:$M$10,2,FALSE),""))</f>
        <v/>
      </c>
      <c r="K380" t="str">
        <f t="shared" si="55"/>
        <v/>
      </c>
      <c r="L380" t="str">
        <f t="shared" si="56"/>
        <v/>
      </c>
      <c r="M380" t="str">
        <f t="shared" si="57"/>
        <v/>
      </c>
      <c r="N380" t="str">
        <f t="shared" si="58"/>
        <v/>
      </c>
      <c r="O380" t="str">
        <f t="shared" si="59"/>
        <v/>
      </c>
      <c r="P380" t="str">
        <f>IF(OR(H380="",NOT(OR(LEFT(H380,1)="G",LEFT(H380,1)="R"))),"",IFERROR(VLOOKUP(MID(H380,3,1),Map!$G$2:$H$10,2,FALSE),""))</f>
        <v/>
      </c>
      <c r="Q380" t="str">
        <f>IF(A380="","",IFERROR(VLOOKUP(MID(A380,4,1),Map!$O$2:$P$10,2,FALSE),""))</f>
        <v/>
      </c>
    </row>
    <row r="381" spans="2:17" x14ac:dyDescent="0.25">
      <c r="B381" t="str">
        <f t="shared" si="50"/>
        <v/>
      </c>
      <c r="C381" t="str">
        <f t="shared" si="51"/>
        <v>**</v>
      </c>
      <c r="D381" t="str">
        <f t="shared" si="52"/>
        <v/>
      </c>
      <c r="E381" t="str">
        <f>IFERROR(VLOOKUP(MID(A381,7,2),Map!$A$2:$B$20,2,FALSE),"")</f>
        <v/>
      </c>
      <c r="F381" t="str">
        <f>IF(A381="","",IFERROR(VLOOKUP(MID(A381,9,2),Map!$R$2:$S$14,2,FALSE),""))</f>
        <v/>
      </c>
      <c r="G381" t="str">
        <f t="shared" si="53"/>
        <v/>
      </c>
      <c r="H381" t="str">
        <f t="shared" si="54"/>
        <v/>
      </c>
      <c r="I381" t="str">
        <f>IF(A381="","",IFERROR(VLOOKUP(LEFT(A381,1),Map!$D$2:$E$20,2,FALSE),""))</f>
        <v/>
      </c>
      <c r="J381" t="str">
        <f>IF(OR(H381="",NOT(OR(LEFT(H381,1)="G",LEFT(H381,1)="R"))),"",IFERROR(VLOOKUP(MID(H381,2,1),Map!$J$2:$M$10,2,FALSE),""))</f>
        <v/>
      </c>
      <c r="K381" t="str">
        <f t="shared" si="55"/>
        <v/>
      </c>
      <c r="L381" t="str">
        <f t="shared" si="56"/>
        <v/>
      </c>
      <c r="M381" t="str">
        <f t="shared" si="57"/>
        <v/>
      </c>
      <c r="N381" t="str">
        <f t="shared" si="58"/>
        <v/>
      </c>
      <c r="O381" t="str">
        <f t="shared" si="59"/>
        <v/>
      </c>
      <c r="P381" t="str">
        <f>IF(OR(H381="",NOT(OR(LEFT(H381,1)="G",LEFT(H381,1)="R"))),"",IFERROR(VLOOKUP(MID(H381,3,1),Map!$G$2:$H$10,2,FALSE),""))</f>
        <v/>
      </c>
      <c r="Q381" t="str">
        <f>IF(A381="","",IFERROR(VLOOKUP(MID(A381,4,1),Map!$O$2:$P$10,2,FALSE),""))</f>
        <v/>
      </c>
    </row>
    <row r="382" spans="2:17" x14ac:dyDescent="0.25">
      <c r="B382" t="str">
        <f t="shared" si="50"/>
        <v/>
      </c>
      <c r="C382" t="str">
        <f t="shared" si="51"/>
        <v>**</v>
      </c>
      <c r="D382" t="str">
        <f t="shared" si="52"/>
        <v/>
      </c>
      <c r="E382" t="str">
        <f>IFERROR(VLOOKUP(MID(A382,7,2),Map!$A$2:$B$20,2,FALSE),"")</f>
        <v/>
      </c>
      <c r="F382" t="str">
        <f>IF(A382="","",IFERROR(VLOOKUP(MID(A382,9,2),Map!$R$2:$S$14,2,FALSE),""))</f>
        <v/>
      </c>
      <c r="G382" t="str">
        <f t="shared" si="53"/>
        <v/>
      </c>
      <c r="H382" t="str">
        <f t="shared" si="54"/>
        <v/>
      </c>
      <c r="I382" t="str">
        <f>IF(A382="","",IFERROR(VLOOKUP(LEFT(A382,1),Map!$D$2:$E$20,2,FALSE),""))</f>
        <v/>
      </c>
      <c r="J382" t="str">
        <f>IF(OR(H382="",NOT(OR(LEFT(H382,1)="G",LEFT(H382,1)="R"))),"",IFERROR(VLOOKUP(MID(H382,2,1),Map!$J$2:$M$10,2,FALSE),""))</f>
        <v/>
      </c>
      <c r="K382" t="str">
        <f t="shared" si="55"/>
        <v/>
      </c>
      <c r="L382" t="str">
        <f t="shared" si="56"/>
        <v/>
      </c>
      <c r="M382" t="str">
        <f t="shared" si="57"/>
        <v/>
      </c>
      <c r="N382" t="str">
        <f t="shared" si="58"/>
        <v/>
      </c>
      <c r="O382" t="str">
        <f t="shared" si="59"/>
        <v/>
      </c>
      <c r="P382" t="str">
        <f>IF(OR(H382="",NOT(OR(LEFT(H382,1)="G",LEFT(H382,1)="R"))),"",IFERROR(VLOOKUP(MID(H382,3,1),Map!$G$2:$H$10,2,FALSE),""))</f>
        <v/>
      </c>
      <c r="Q382" t="str">
        <f>IF(A382="","",IFERROR(VLOOKUP(MID(A382,4,1),Map!$O$2:$P$10,2,FALSE),""))</f>
        <v/>
      </c>
    </row>
    <row r="383" spans="2:17" x14ac:dyDescent="0.25">
      <c r="B383" t="str">
        <f t="shared" si="50"/>
        <v/>
      </c>
      <c r="C383" t="str">
        <f t="shared" si="51"/>
        <v>**</v>
      </c>
      <c r="D383" t="str">
        <f t="shared" si="52"/>
        <v/>
      </c>
      <c r="E383" t="str">
        <f>IFERROR(VLOOKUP(MID(A383,7,2),Map!$A$2:$B$20,2,FALSE),"")</f>
        <v/>
      </c>
      <c r="F383" t="str">
        <f>IF(A383="","",IFERROR(VLOOKUP(MID(A383,9,2),Map!$R$2:$S$14,2,FALSE),""))</f>
        <v/>
      </c>
      <c r="G383" t="str">
        <f t="shared" si="53"/>
        <v/>
      </c>
      <c r="H383" t="str">
        <f t="shared" si="54"/>
        <v/>
      </c>
      <c r="I383" t="str">
        <f>IF(A383="","",IFERROR(VLOOKUP(LEFT(A383,1),Map!$D$2:$E$20,2,FALSE),""))</f>
        <v/>
      </c>
      <c r="J383" t="str">
        <f>IF(OR(H383="",NOT(OR(LEFT(H383,1)="G",LEFT(H383,1)="R"))),"",IFERROR(VLOOKUP(MID(H383,2,1),Map!$J$2:$M$10,2,FALSE),""))</f>
        <v/>
      </c>
      <c r="K383" t="str">
        <f t="shared" si="55"/>
        <v/>
      </c>
      <c r="L383" t="str">
        <f t="shared" si="56"/>
        <v/>
      </c>
      <c r="M383" t="str">
        <f t="shared" si="57"/>
        <v/>
      </c>
      <c r="N383" t="str">
        <f t="shared" si="58"/>
        <v/>
      </c>
      <c r="O383" t="str">
        <f t="shared" si="59"/>
        <v/>
      </c>
      <c r="P383" t="str">
        <f>IF(OR(H383="",NOT(OR(LEFT(H383,1)="G",LEFT(H383,1)="R"))),"",IFERROR(VLOOKUP(MID(H383,3,1),Map!$G$2:$H$10,2,FALSE),""))</f>
        <v/>
      </c>
      <c r="Q383" t="str">
        <f>IF(A383="","",IFERROR(VLOOKUP(MID(A383,4,1),Map!$O$2:$P$10,2,FALSE),""))</f>
        <v/>
      </c>
    </row>
    <row r="384" spans="2:17" x14ac:dyDescent="0.25">
      <c r="B384" t="str">
        <f t="shared" si="50"/>
        <v/>
      </c>
      <c r="C384" t="str">
        <f t="shared" si="51"/>
        <v>**</v>
      </c>
      <c r="D384" t="str">
        <f t="shared" si="52"/>
        <v/>
      </c>
      <c r="E384" t="str">
        <f>IFERROR(VLOOKUP(MID(A384,7,2),Map!$A$2:$B$20,2,FALSE),"")</f>
        <v/>
      </c>
      <c r="F384" t="str">
        <f>IF(A384="","",IFERROR(VLOOKUP(MID(A384,9,2),Map!$R$2:$S$14,2,FALSE),""))</f>
        <v/>
      </c>
      <c r="G384" t="str">
        <f t="shared" si="53"/>
        <v/>
      </c>
      <c r="H384" t="str">
        <f t="shared" si="54"/>
        <v/>
      </c>
      <c r="I384" t="str">
        <f>IF(A384="","",IFERROR(VLOOKUP(LEFT(A384,1),Map!$D$2:$E$20,2,FALSE),""))</f>
        <v/>
      </c>
      <c r="J384" t="str">
        <f>IF(OR(H384="",NOT(OR(LEFT(H384,1)="G",LEFT(H384,1)="R"))),"",IFERROR(VLOOKUP(MID(H384,2,1),Map!$J$2:$M$10,2,FALSE),""))</f>
        <v/>
      </c>
      <c r="K384" t="str">
        <f t="shared" si="55"/>
        <v/>
      </c>
      <c r="L384" t="str">
        <f t="shared" si="56"/>
        <v/>
      </c>
      <c r="M384" t="str">
        <f t="shared" si="57"/>
        <v/>
      </c>
      <c r="N384" t="str">
        <f t="shared" si="58"/>
        <v/>
      </c>
      <c r="O384" t="str">
        <f t="shared" si="59"/>
        <v/>
      </c>
      <c r="P384" t="str">
        <f>IF(OR(H384="",NOT(OR(LEFT(H384,1)="G",LEFT(H384,1)="R"))),"",IFERROR(VLOOKUP(MID(H384,3,1),Map!$G$2:$H$10,2,FALSE),""))</f>
        <v/>
      </c>
      <c r="Q384" t="str">
        <f>IF(A384="","",IFERROR(VLOOKUP(MID(A384,4,1),Map!$O$2:$P$10,2,FALSE),""))</f>
        <v/>
      </c>
    </row>
    <row r="385" spans="2:17" x14ac:dyDescent="0.25">
      <c r="B385" t="str">
        <f t="shared" si="50"/>
        <v/>
      </c>
      <c r="C385" t="str">
        <f t="shared" si="51"/>
        <v>**</v>
      </c>
      <c r="D385" t="str">
        <f t="shared" si="52"/>
        <v/>
      </c>
      <c r="E385" t="str">
        <f>IFERROR(VLOOKUP(MID(A385,7,2),Map!$A$2:$B$20,2,FALSE),"")</f>
        <v/>
      </c>
      <c r="F385" t="str">
        <f>IF(A385="","",IFERROR(VLOOKUP(MID(A385,9,2),Map!$R$2:$S$14,2,FALSE),""))</f>
        <v/>
      </c>
      <c r="G385" t="str">
        <f t="shared" si="53"/>
        <v/>
      </c>
      <c r="H385" t="str">
        <f t="shared" si="54"/>
        <v/>
      </c>
      <c r="I385" t="str">
        <f>IF(A385="","",IFERROR(VLOOKUP(LEFT(A385,1),Map!$D$2:$E$20,2,FALSE),""))</f>
        <v/>
      </c>
      <c r="J385" t="str">
        <f>IF(OR(H385="",NOT(OR(LEFT(H385,1)="G",LEFT(H385,1)="R"))),"",IFERROR(VLOOKUP(MID(H385,2,1),Map!$J$2:$M$10,2,FALSE),""))</f>
        <v/>
      </c>
      <c r="K385" t="str">
        <f t="shared" si="55"/>
        <v/>
      </c>
      <c r="L385" t="str">
        <f t="shared" si="56"/>
        <v/>
      </c>
      <c r="M385" t="str">
        <f t="shared" si="57"/>
        <v/>
      </c>
      <c r="N385" t="str">
        <f t="shared" si="58"/>
        <v/>
      </c>
      <c r="O385" t="str">
        <f t="shared" si="59"/>
        <v/>
      </c>
      <c r="P385" t="str">
        <f>IF(OR(H385="",NOT(OR(LEFT(H385,1)="G",LEFT(H385,1)="R"))),"",IFERROR(VLOOKUP(MID(H385,3,1),Map!$G$2:$H$10,2,FALSE),""))</f>
        <v/>
      </c>
      <c r="Q385" t="str">
        <f>IF(A385="","",IFERROR(VLOOKUP(MID(A385,4,1),Map!$O$2:$P$10,2,FALSE),""))</f>
        <v/>
      </c>
    </row>
    <row r="386" spans="2:17" x14ac:dyDescent="0.25">
      <c r="B386" t="str">
        <f t="shared" ref="B386:B449" si="60">LEFT(A386,4)</f>
        <v/>
      </c>
      <c r="C386" t="str">
        <f t="shared" ref="C386:C449" si="61">LEFT(A386,2)&amp;"**"</f>
        <v>**</v>
      </c>
      <c r="D386" t="str">
        <f t="shared" ref="D386:D449" si="62">MID(A386,5,2)</f>
        <v/>
      </c>
      <c r="E386" t="str">
        <f>IFERROR(VLOOKUP(MID(A386,7,2),Map!$A$2:$B$20,2,FALSE),"")</f>
        <v/>
      </c>
      <c r="F386" t="str">
        <f>IF(A386="","",IFERROR(VLOOKUP(MID(A386,9,2),Map!$R$2:$S$14,2,FALSE),""))</f>
        <v/>
      </c>
      <c r="G386" t="str">
        <f t="shared" ref="G386:G449" si="63">IFERROR(MID(A386,FIND("-",A386)+1,FIND("-",A386,FIND("-",A386)+1)-FIND("-",A386)-1),"")</f>
        <v/>
      </c>
      <c r="H386" t="str">
        <f t="shared" ref="H386:H449" si="64">IFERROR(RIGHT(A386,LEN(A386)-FIND("-",A386,FIND("-",A386)+1)),"")</f>
        <v/>
      </c>
      <c r="I386" t="str">
        <f>IF(A386="","",IFERROR(VLOOKUP(LEFT(A386,1),Map!$D$2:$E$20,2,FALSE),""))</f>
        <v/>
      </c>
      <c r="J386" t="str">
        <f>IF(OR(H386="",NOT(OR(LEFT(H386,1)="G",LEFT(H386,1)="R"))),"",IFERROR(VLOOKUP(MID(H386,2,1),Map!$J$2:$M$10,2,FALSE),""))</f>
        <v/>
      </c>
      <c r="K386" t="str">
        <f t="shared" ref="K386:K449" si="65">IF(OR(H386="",NOT(OR(LEFT(H386,1)="G",LEFT(H386,1)="R")),MID(H386,2,1)&lt;&gt;"A"),"","M")</f>
        <v/>
      </c>
      <c r="L386" t="str">
        <f t="shared" ref="L386:L449" si="66">IF(OR(H386="",NOT(OR(LEFT(H386,1)="G",LEFT(H386,1)="R")),MID(H386,2,1)&lt;&gt;"A"),"","K")</f>
        <v/>
      </c>
      <c r="M386" t="str">
        <f t="shared" ref="M386:M449" si="67">IF(OR(H386="",NOT(OR(LEFT(H386,1)="G",LEFT(H386,1)="R"))),"","")</f>
        <v/>
      </c>
      <c r="N386" t="str">
        <f t="shared" ref="N386:N449" si="68">IF(OR(H386="",NOT(OR(LEFT(H386,1)="G",LEFT(H386,1)="R"))),"","")</f>
        <v/>
      </c>
      <c r="O386" t="str">
        <f t="shared" ref="O386:O449" si="69">IF(OR(H386="",NOT(OR(LEFT(H386,1)="G",LEFT(H386,1)="R"))),"","")</f>
        <v/>
      </c>
      <c r="P386" t="str">
        <f>IF(OR(H386="",NOT(OR(LEFT(H386,1)="G",LEFT(H386,1)="R"))),"",IFERROR(VLOOKUP(MID(H386,3,1),Map!$G$2:$H$10,2,FALSE),""))</f>
        <v/>
      </c>
      <c r="Q386" t="str">
        <f>IF(A386="","",IFERROR(VLOOKUP(MID(A386,4,1),Map!$O$2:$P$10,2,FALSE),""))</f>
        <v/>
      </c>
    </row>
    <row r="387" spans="2:17" x14ac:dyDescent="0.25">
      <c r="B387" t="str">
        <f t="shared" si="60"/>
        <v/>
      </c>
      <c r="C387" t="str">
        <f t="shared" si="61"/>
        <v>**</v>
      </c>
      <c r="D387" t="str">
        <f t="shared" si="62"/>
        <v/>
      </c>
      <c r="E387" t="str">
        <f>IFERROR(VLOOKUP(MID(A387,7,2),Map!$A$2:$B$20,2,FALSE),"")</f>
        <v/>
      </c>
      <c r="F387" t="str">
        <f>IF(A387="","",IFERROR(VLOOKUP(MID(A387,9,2),Map!$R$2:$S$14,2,FALSE),""))</f>
        <v/>
      </c>
      <c r="G387" t="str">
        <f t="shared" si="63"/>
        <v/>
      </c>
      <c r="H387" t="str">
        <f t="shared" si="64"/>
        <v/>
      </c>
      <c r="I387" t="str">
        <f>IF(A387="","",IFERROR(VLOOKUP(LEFT(A387,1),Map!$D$2:$E$20,2,FALSE),""))</f>
        <v/>
      </c>
      <c r="J387" t="str">
        <f>IF(OR(H387="",NOT(OR(LEFT(H387,1)="G",LEFT(H387,1)="R"))),"",IFERROR(VLOOKUP(MID(H387,2,1),Map!$J$2:$M$10,2,FALSE),""))</f>
        <v/>
      </c>
      <c r="K387" t="str">
        <f t="shared" si="65"/>
        <v/>
      </c>
      <c r="L387" t="str">
        <f t="shared" si="66"/>
        <v/>
      </c>
      <c r="M387" t="str">
        <f t="shared" si="67"/>
        <v/>
      </c>
      <c r="N387" t="str">
        <f t="shared" si="68"/>
        <v/>
      </c>
      <c r="O387" t="str">
        <f t="shared" si="69"/>
        <v/>
      </c>
      <c r="P387" t="str">
        <f>IF(OR(H387="",NOT(OR(LEFT(H387,1)="G",LEFT(H387,1)="R"))),"",IFERROR(VLOOKUP(MID(H387,3,1),Map!$G$2:$H$10,2,FALSE),""))</f>
        <v/>
      </c>
      <c r="Q387" t="str">
        <f>IF(A387="","",IFERROR(VLOOKUP(MID(A387,4,1),Map!$O$2:$P$10,2,FALSE),""))</f>
        <v/>
      </c>
    </row>
    <row r="388" spans="2:17" x14ac:dyDescent="0.25">
      <c r="B388" t="str">
        <f t="shared" si="60"/>
        <v/>
      </c>
      <c r="C388" t="str">
        <f t="shared" si="61"/>
        <v>**</v>
      </c>
      <c r="D388" t="str">
        <f t="shared" si="62"/>
        <v/>
      </c>
      <c r="E388" t="str">
        <f>IFERROR(VLOOKUP(MID(A388,7,2),Map!$A$2:$B$20,2,FALSE),"")</f>
        <v/>
      </c>
      <c r="F388" t="str">
        <f>IF(A388="","",IFERROR(VLOOKUP(MID(A388,9,2),Map!$R$2:$S$14,2,FALSE),""))</f>
        <v/>
      </c>
      <c r="G388" t="str">
        <f t="shared" si="63"/>
        <v/>
      </c>
      <c r="H388" t="str">
        <f t="shared" si="64"/>
        <v/>
      </c>
      <c r="I388" t="str">
        <f>IF(A388="","",IFERROR(VLOOKUP(LEFT(A388,1),Map!$D$2:$E$20,2,FALSE),""))</f>
        <v/>
      </c>
      <c r="J388" t="str">
        <f>IF(OR(H388="",NOT(OR(LEFT(H388,1)="G",LEFT(H388,1)="R"))),"",IFERROR(VLOOKUP(MID(H388,2,1),Map!$J$2:$M$10,2,FALSE),""))</f>
        <v/>
      </c>
      <c r="K388" t="str">
        <f t="shared" si="65"/>
        <v/>
      </c>
      <c r="L388" t="str">
        <f t="shared" si="66"/>
        <v/>
      </c>
      <c r="M388" t="str">
        <f t="shared" si="67"/>
        <v/>
      </c>
      <c r="N388" t="str">
        <f t="shared" si="68"/>
        <v/>
      </c>
      <c r="O388" t="str">
        <f t="shared" si="69"/>
        <v/>
      </c>
      <c r="P388" t="str">
        <f>IF(OR(H388="",NOT(OR(LEFT(H388,1)="G",LEFT(H388,1)="R"))),"",IFERROR(VLOOKUP(MID(H388,3,1),Map!$G$2:$H$10,2,FALSE),""))</f>
        <v/>
      </c>
      <c r="Q388" t="str">
        <f>IF(A388="","",IFERROR(VLOOKUP(MID(A388,4,1),Map!$O$2:$P$10,2,FALSE),""))</f>
        <v/>
      </c>
    </row>
    <row r="389" spans="2:17" x14ac:dyDescent="0.25">
      <c r="B389" t="str">
        <f t="shared" si="60"/>
        <v/>
      </c>
      <c r="C389" t="str">
        <f t="shared" si="61"/>
        <v>**</v>
      </c>
      <c r="D389" t="str">
        <f t="shared" si="62"/>
        <v/>
      </c>
      <c r="E389" t="str">
        <f>IFERROR(VLOOKUP(MID(A389,7,2),Map!$A$2:$B$20,2,FALSE),"")</f>
        <v/>
      </c>
      <c r="F389" t="str">
        <f>IF(A389="","",IFERROR(VLOOKUP(MID(A389,9,2),Map!$R$2:$S$14,2,FALSE),""))</f>
        <v/>
      </c>
      <c r="G389" t="str">
        <f t="shared" si="63"/>
        <v/>
      </c>
      <c r="H389" t="str">
        <f t="shared" si="64"/>
        <v/>
      </c>
      <c r="I389" t="str">
        <f>IF(A389="","",IFERROR(VLOOKUP(LEFT(A389,1),Map!$D$2:$E$20,2,FALSE),""))</f>
        <v/>
      </c>
      <c r="J389" t="str">
        <f>IF(OR(H389="",NOT(OR(LEFT(H389,1)="G",LEFT(H389,1)="R"))),"",IFERROR(VLOOKUP(MID(H389,2,1),Map!$J$2:$M$10,2,FALSE),""))</f>
        <v/>
      </c>
      <c r="K389" t="str">
        <f t="shared" si="65"/>
        <v/>
      </c>
      <c r="L389" t="str">
        <f t="shared" si="66"/>
        <v/>
      </c>
      <c r="M389" t="str">
        <f t="shared" si="67"/>
        <v/>
      </c>
      <c r="N389" t="str">
        <f t="shared" si="68"/>
        <v/>
      </c>
      <c r="O389" t="str">
        <f t="shared" si="69"/>
        <v/>
      </c>
      <c r="P389" t="str">
        <f>IF(OR(H389="",NOT(OR(LEFT(H389,1)="G",LEFT(H389,1)="R"))),"",IFERROR(VLOOKUP(MID(H389,3,1),Map!$G$2:$H$10,2,FALSE),""))</f>
        <v/>
      </c>
      <c r="Q389" t="str">
        <f>IF(A389="","",IFERROR(VLOOKUP(MID(A389,4,1),Map!$O$2:$P$10,2,FALSE),""))</f>
        <v/>
      </c>
    </row>
    <row r="390" spans="2:17" x14ac:dyDescent="0.25">
      <c r="B390" t="str">
        <f t="shared" si="60"/>
        <v/>
      </c>
      <c r="C390" t="str">
        <f t="shared" si="61"/>
        <v>**</v>
      </c>
      <c r="D390" t="str">
        <f t="shared" si="62"/>
        <v/>
      </c>
      <c r="E390" t="str">
        <f>IFERROR(VLOOKUP(MID(A390,7,2),Map!$A$2:$B$20,2,FALSE),"")</f>
        <v/>
      </c>
      <c r="F390" t="str">
        <f>IF(A390="","",IFERROR(VLOOKUP(MID(A390,9,2),Map!$R$2:$S$14,2,FALSE),""))</f>
        <v/>
      </c>
      <c r="G390" t="str">
        <f t="shared" si="63"/>
        <v/>
      </c>
      <c r="H390" t="str">
        <f t="shared" si="64"/>
        <v/>
      </c>
      <c r="I390" t="str">
        <f>IF(A390="","",IFERROR(VLOOKUP(LEFT(A390,1),Map!$D$2:$E$20,2,FALSE),""))</f>
        <v/>
      </c>
      <c r="J390" t="str">
        <f>IF(OR(H390="",NOT(OR(LEFT(H390,1)="G",LEFT(H390,1)="R"))),"",IFERROR(VLOOKUP(MID(H390,2,1),Map!$J$2:$M$10,2,FALSE),""))</f>
        <v/>
      </c>
      <c r="K390" t="str">
        <f t="shared" si="65"/>
        <v/>
      </c>
      <c r="L390" t="str">
        <f t="shared" si="66"/>
        <v/>
      </c>
      <c r="M390" t="str">
        <f t="shared" si="67"/>
        <v/>
      </c>
      <c r="N390" t="str">
        <f t="shared" si="68"/>
        <v/>
      </c>
      <c r="O390" t="str">
        <f t="shared" si="69"/>
        <v/>
      </c>
      <c r="P390" t="str">
        <f>IF(OR(H390="",NOT(OR(LEFT(H390,1)="G",LEFT(H390,1)="R"))),"",IFERROR(VLOOKUP(MID(H390,3,1),Map!$G$2:$H$10,2,FALSE),""))</f>
        <v/>
      </c>
      <c r="Q390" t="str">
        <f>IF(A390="","",IFERROR(VLOOKUP(MID(A390,4,1),Map!$O$2:$P$10,2,FALSE),""))</f>
        <v/>
      </c>
    </row>
    <row r="391" spans="2:17" x14ac:dyDescent="0.25">
      <c r="B391" t="str">
        <f t="shared" si="60"/>
        <v/>
      </c>
      <c r="C391" t="str">
        <f t="shared" si="61"/>
        <v>**</v>
      </c>
      <c r="D391" t="str">
        <f t="shared" si="62"/>
        <v/>
      </c>
      <c r="E391" t="str">
        <f>IFERROR(VLOOKUP(MID(A391,7,2),Map!$A$2:$B$20,2,FALSE),"")</f>
        <v/>
      </c>
      <c r="F391" t="str">
        <f>IF(A391="","",IFERROR(VLOOKUP(MID(A391,9,2),Map!$R$2:$S$14,2,FALSE),""))</f>
        <v/>
      </c>
      <c r="G391" t="str">
        <f t="shared" si="63"/>
        <v/>
      </c>
      <c r="H391" t="str">
        <f t="shared" si="64"/>
        <v/>
      </c>
      <c r="I391" t="str">
        <f>IF(A391="","",IFERROR(VLOOKUP(LEFT(A391,1),Map!$D$2:$E$20,2,FALSE),""))</f>
        <v/>
      </c>
      <c r="J391" t="str">
        <f>IF(OR(H391="",NOT(OR(LEFT(H391,1)="G",LEFT(H391,1)="R"))),"",IFERROR(VLOOKUP(MID(H391,2,1),Map!$J$2:$M$10,2,FALSE),""))</f>
        <v/>
      </c>
      <c r="K391" t="str">
        <f t="shared" si="65"/>
        <v/>
      </c>
      <c r="L391" t="str">
        <f t="shared" si="66"/>
        <v/>
      </c>
      <c r="M391" t="str">
        <f t="shared" si="67"/>
        <v/>
      </c>
      <c r="N391" t="str">
        <f t="shared" si="68"/>
        <v/>
      </c>
      <c r="O391" t="str">
        <f t="shared" si="69"/>
        <v/>
      </c>
      <c r="P391" t="str">
        <f>IF(OR(H391="",NOT(OR(LEFT(H391,1)="G",LEFT(H391,1)="R"))),"",IFERROR(VLOOKUP(MID(H391,3,1),Map!$G$2:$H$10,2,FALSE),""))</f>
        <v/>
      </c>
      <c r="Q391" t="str">
        <f>IF(A391="","",IFERROR(VLOOKUP(MID(A391,4,1),Map!$O$2:$P$10,2,FALSE),""))</f>
        <v/>
      </c>
    </row>
    <row r="392" spans="2:17" x14ac:dyDescent="0.25">
      <c r="B392" t="str">
        <f t="shared" si="60"/>
        <v/>
      </c>
      <c r="C392" t="str">
        <f t="shared" si="61"/>
        <v>**</v>
      </c>
      <c r="D392" t="str">
        <f t="shared" si="62"/>
        <v/>
      </c>
      <c r="E392" t="str">
        <f>IFERROR(VLOOKUP(MID(A392,7,2),Map!$A$2:$B$20,2,FALSE),"")</f>
        <v/>
      </c>
      <c r="F392" t="str">
        <f>IF(A392="","",IFERROR(VLOOKUP(MID(A392,9,2),Map!$R$2:$S$14,2,FALSE),""))</f>
        <v/>
      </c>
      <c r="G392" t="str">
        <f t="shared" si="63"/>
        <v/>
      </c>
      <c r="H392" t="str">
        <f t="shared" si="64"/>
        <v/>
      </c>
      <c r="I392" t="str">
        <f>IF(A392="","",IFERROR(VLOOKUP(LEFT(A392,1),Map!$D$2:$E$20,2,FALSE),""))</f>
        <v/>
      </c>
      <c r="J392" t="str">
        <f>IF(OR(H392="",NOT(OR(LEFT(H392,1)="G",LEFT(H392,1)="R"))),"",IFERROR(VLOOKUP(MID(H392,2,1),Map!$J$2:$M$10,2,FALSE),""))</f>
        <v/>
      </c>
      <c r="K392" t="str">
        <f t="shared" si="65"/>
        <v/>
      </c>
      <c r="L392" t="str">
        <f t="shared" si="66"/>
        <v/>
      </c>
      <c r="M392" t="str">
        <f t="shared" si="67"/>
        <v/>
      </c>
      <c r="N392" t="str">
        <f t="shared" si="68"/>
        <v/>
      </c>
      <c r="O392" t="str">
        <f t="shared" si="69"/>
        <v/>
      </c>
      <c r="P392" t="str">
        <f>IF(OR(H392="",NOT(OR(LEFT(H392,1)="G",LEFT(H392,1)="R"))),"",IFERROR(VLOOKUP(MID(H392,3,1),Map!$G$2:$H$10,2,FALSE),""))</f>
        <v/>
      </c>
      <c r="Q392" t="str">
        <f>IF(A392="","",IFERROR(VLOOKUP(MID(A392,4,1),Map!$O$2:$P$10,2,FALSE),""))</f>
        <v/>
      </c>
    </row>
    <row r="393" spans="2:17" x14ac:dyDescent="0.25">
      <c r="B393" t="str">
        <f t="shared" si="60"/>
        <v/>
      </c>
      <c r="C393" t="str">
        <f t="shared" si="61"/>
        <v>**</v>
      </c>
      <c r="D393" t="str">
        <f t="shared" si="62"/>
        <v/>
      </c>
      <c r="E393" t="str">
        <f>IFERROR(VLOOKUP(MID(A393,7,2),Map!$A$2:$B$20,2,FALSE),"")</f>
        <v/>
      </c>
      <c r="F393" t="str">
        <f>IF(A393="","",IFERROR(VLOOKUP(MID(A393,9,2),Map!$R$2:$S$14,2,FALSE),""))</f>
        <v/>
      </c>
      <c r="G393" t="str">
        <f t="shared" si="63"/>
        <v/>
      </c>
      <c r="H393" t="str">
        <f t="shared" si="64"/>
        <v/>
      </c>
      <c r="I393" t="str">
        <f>IF(A393="","",IFERROR(VLOOKUP(LEFT(A393,1),Map!$D$2:$E$20,2,FALSE),""))</f>
        <v/>
      </c>
      <c r="J393" t="str">
        <f>IF(OR(H393="",NOT(OR(LEFT(H393,1)="G",LEFT(H393,1)="R"))),"",IFERROR(VLOOKUP(MID(H393,2,1),Map!$J$2:$M$10,2,FALSE),""))</f>
        <v/>
      </c>
      <c r="K393" t="str">
        <f t="shared" si="65"/>
        <v/>
      </c>
      <c r="L393" t="str">
        <f t="shared" si="66"/>
        <v/>
      </c>
      <c r="M393" t="str">
        <f t="shared" si="67"/>
        <v/>
      </c>
      <c r="N393" t="str">
        <f t="shared" si="68"/>
        <v/>
      </c>
      <c r="O393" t="str">
        <f t="shared" si="69"/>
        <v/>
      </c>
      <c r="P393" t="str">
        <f>IF(OR(H393="",NOT(OR(LEFT(H393,1)="G",LEFT(H393,1)="R"))),"",IFERROR(VLOOKUP(MID(H393,3,1),Map!$G$2:$H$10,2,FALSE),""))</f>
        <v/>
      </c>
      <c r="Q393" t="str">
        <f>IF(A393="","",IFERROR(VLOOKUP(MID(A393,4,1),Map!$O$2:$P$10,2,FALSE),""))</f>
        <v/>
      </c>
    </row>
    <row r="394" spans="2:17" x14ac:dyDescent="0.25">
      <c r="B394" t="str">
        <f t="shared" si="60"/>
        <v/>
      </c>
      <c r="C394" t="str">
        <f t="shared" si="61"/>
        <v>**</v>
      </c>
      <c r="D394" t="str">
        <f t="shared" si="62"/>
        <v/>
      </c>
      <c r="E394" t="str">
        <f>IFERROR(VLOOKUP(MID(A394,7,2),Map!$A$2:$B$20,2,FALSE),"")</f>
        <v/>
      </c>
      <c r="F394" t="str">
        <f>IF(A394="","",IFERROR(VLOOKUP(MID(A394,9,2),Map!$R$2:$S$14,2,FALSE),""))</f>
        <v/>
      </c>
      <c r="G394" t="str">
        <f t="shared" si="63"/>
        <v/>
      </c>
      <c r="H394" t="str">
        <f t="shared" si="64"/>
        <v/>
      </c>
      <c r="I394" t="str">
        <f>IF(A394="","",IFERROR(VLOOKUP(LEFT(A394,1),Map!$D$2:$E$20,2,FALSE),""))</f>
        <v/>
      </c>
      <c r="J394" t="str">
        <f>IF(OR(H394="",NOT(OR(LEFT(H394,1)="G",LEFT(H394,1)="R"))),"",IFERROR(VLOOKUP(MID(H394,2,1),Map!$J$2:$M$10,2,FALSE),""))</f>
        <v/>
      </c>
      <c r="K394" t="str">
        <f t="shared" si="65"/>
        <v/>
      </c>
      <c r="L394" t="str">
        <f t="shared" si="66"/>
        <v/>
      </c>
      <c r="M394" t="str">
        <f t="shared" si="67"/>
        <v/>
      </c>
      <c r="N394" t="str">
        <f t="shared" si="68"/>
        <v/>
      </c>
      <c r="O394" t="str">
        <f t="shared" si="69"/>
        <v/>
      </c>
      <c r="P394" t="str">
        <f>IF(OR(H394="",NOT(OR(LEFT(H394,1)="G",LEFT(H394,1)="R"))),"",IFERROR(VLOOKUP(MID(H394,3,1),Map!$G$2:$H$10,2,FALSE),""))</f>
        <v/>
      </c>
      <c r="Q394" t="str">
        <f>IF(A394="","",IFERROR(VLOOKUP(MID(A394,4,1),Map!$O$2:$P$10,2,FALSE),""))</f>
        <v/>
      </c>
    </row>
    <row r="395" spans="2:17" x14ac:dyDescent="0.25">
      <c r="B395" t="str">
        <f t="shared" si="60"/>
        <v/>
      </c>
      <c r="C395" t="str">
        <f t="shared" si="61"/>
        <v>**</v>
      </c>
      <c r="D395" t="str">
        <f t="shared" si="62"/>
        <v/>
      </c>
      <c r="E395" t="str">
        <f>IFERROR(VLOOKUP(MID(A395,7,2),Map!$A$2:$B$20,2,FALSE),"")</f>
        <v/>
      </c>
      <c r="F395" t="str">
        <f>IF(A395="","",IFERROR(VLOOKUP(MID(A395,9,2),Map!$R$2:$S$14,2,FALSE),""))</f>
        <v/>
      </c>
      <c r="G395" t="str">
        <f t="shared" si="63"/>
        <v/>
      </c>
      <c r="H395" t="str">
        <f t="shared" si="64"/>
        <v/>
      </c>
      <c r="I395" t="str">
        <f>IF(A395="","",IFERROR(VLOOKUP(LEFT(A395,1),Map!$D$2:$E$20,2,FALSE),""))</f>
        <v/>
      </c>
      <c r="J395" t="str">
        <f>IF(OR(H395="",NOT(OR(LEFT(H395,1)="G",LEFT(H395,1)="R"))),"",IFERROR(VLOOKUP(MID(H395,2,1),Map!$J$2:$M$10,2,FALSE),""))</f>
        <v/>
      </c>
      <c r="K395" t="str">
        <f t="shared" si="65"/>
        <v/>
      </c>
      <c r="L395" t="str">
        <f t="shared" si="66"/>
        <v/>
      </c>
      <c r="M395" t="str">
        <f t="shared" si="67"/>
        <v/>
      </c>
      <c r="N395" t="str">
        <f t="shared" si="68"/>
        <v/>
      </c>
      <c r="O395" t="str">
        <f t="shared" si="69"/>
        <v/>
      </c>
      <c r="P395" t="str">
        <f>IF(OR(H395="",NOT(OR(LEFT(H395,1)="G",LEFT(H395,1)="R"))),"",IFERROR(VLOOKUP(MID(H395,3,1),Map!$G$2:$H$10,2,FALSE),""))</f>
        <v/>
      </c>
      <c r="Q395" t="str">
        <f>IF(A395="","",IFERROR(VLOOKUP(MID(A395,4,1),Map!$O$2:$P$10,2,FALSE),""))</f>
        <v/>
      </c>
    </row>
    <row r="396" spans="2:17" x14ac:dyDescent="0.25">
      <c r="B396" t="str">
        <f t="shared" si="60"/>
        <v/>
      </c>
      <c r="C396" t="str">
        <f t="shared" si="61"/>
        <v>**</v>
      </c>
      <c r="D396" t="str">
        <f t="shared" si="62"/>
        <v/>
      </c>
      <c r="E396" t="str">
        <f>IFERROR(VLOOKUP(MID(A396,7,2),Map!$A$2:$B$20,2,FALSE),"")</f>
        <v/>
      </c>
      <c r="F396" t="str">
        <f>IF(A396="","",IFERROR(VLOOKUP(MID(A396,9,2),Map!$R$2:$S$14,2,FALSE),""))</f>
        <v/>
      </c>
      <c r="G396" t="str">
        <f t="shared" si="63"/>
        <v/>
      </c>
      <c r="H396" t="str">
        <f t="shared" si="64"/>
        <v/>
      </c>
      <c r="I396" t="str">
        <f>IF(A396="","",IFERROR(VLOOKUP(LEFT(A396,1),Map!$D$2:$E$20,2,FALSE),""))</f>
        <v/>
      </c>
      <c r="J396" t="str">
        <f>IF(OR(H396="",NOT(OR(LEFT(H396,1)="G",LEFT(H396,1)="R"))),"",IFERROR(VLOOKUP(MID(H396,2,1),Map!$J$2:$M$10,2,FALSE),""))</f>
        <v/>
      </c>
      <c r="K396" t="str">
        <f t="shared" si="65"/>
        <v/>
      </c>
      <c r="L396" t="str">
        <f t="shared" si="66"/>
        <v/>
      </c>
      <c r="M396" t="str">
        <f t="shared" si="67"/>
        <v/>
      </c>
      <c r="N396" t="str">
        <f t="shared" si="68"/>
        <v/>
      </c>
      <c r="O396" t="str">
        <f t="shared" si="69"/>
        <v/>
      </c>
      <c r="P396" t="str">
        <f>IF(OR(H396="",NOT(OR(LEFT(H396,1)="G",LEFT(H396,1)="R"))),"",IFERROR(VLOOKUP(MID(H396,3,1),Map!$G$2:$H$10,2,FALSE),""))</f>
        <v/>
      </c>
      <c r="Q396" t="str">
        <f>IF(A396="","",IFERROR(VLOOKUP(MID(A396,4,1),Map!$O$2:$P$10,2,FALSE),""))</f>
        <v/>
      </c>
    </row>
    <row r="397" spans="2:17" x14ac:dyDescent="0.25">
      <c r="B397" t="str">
        <f t="shared" si="60"/>
        <v/>
      </c>
      <c r="C397" t="str">
        <f t="shared" si="61"/>
        <v>**</v>
      </c>
      <c r="D397" t="str">
        <f t="shared" si="62"/>
        <v/>
      </c>
      <c r="E397" t="str">
        <f>IFERROR(VLOOKUP(MID(A397,7,2),Map!$A$2:$B$20,2,FALSE),"")</f>
        <v/>
      </c>
      <c r="F397" t="str">
        <f>IF(A397="","",IFERROR(VLOOKUP(MID(A397,9,2),Map!$R$2:$S$14,2,FALSE),""))</f>
        <v/>
      </c>
      <c r="G397" t="str">
        <f t="shared" si="63"/>
        <v/>
      </c>
      <c r="H397" t="str">
        <f t="shared" si="64"/>
        <v/>
      </c>
      <c r="I397" t="str">
        <f>IF(A397="","",IFERROR(VLOOKUP(LEFT(A397,1),Map!$D$2:$E$20,2,FALSE),""))</f>
        <v/>
      </c>
      <c r="J397" t="str">
        <f>IF(OR(H397="",NOT(OR(LEFT(H397,1)="G",LEFT(H397,1)="R"))),"",IFERROR(VLOOKUP(MID(H397,2,1),Map!$J$2:$M$10,2,FALSE),""))</f>
        <v/>
      </c>
      <c r="K397" t="str">
        <f t="shared" si="65"/>
        <v/>
      </c>
      <c r="L397" t="str">
        <f t="shared" si="66"/>
        <v/>
      </c>
      <c r="M397" t="str">
        <f t="shared" si="67"/>
        <v/>
      </c>
      <c r="N397" t="str">
        <f t="shared" si="68"/>
        <v/>
      </c>
      <c r="O397" t="str">
        <f t="shared" si="69"/>
        <v/>
      </c>
      <c r="P397" t="str">
        <f>IF(OR(H397="",NOT(OR(LEFT(H397,1)="G",LEFT(H397,1)="R"))),"",IFERROR(VLOOKUP(MID(H397,3,1),Map!$G$2:$H$10,2,FALSE),""))</f>
        <v/>
      </c>
      <c r="Q397" t="str">
        <f>IF(A397="","",IFERROR(VLOOKUP(MID(A397,4,1),Map!$O$2:$P$10,2,FALSE),""))</f>
        <v/>
      </c>
    </row>
    <row r="398" spans="2:17" x14ac:dyDescent="0.25">
      <c r="B398" t="str">
        <f t="shared" si="60"/>
        <v/>
      </c>
      <c r="C398" t="str">
        <f t="shared" si="61"/>
        <v>**</v>
      </c>
      <c r="D398" t="str">
        <f t="shared" si="62"/>
        <v/>
      </c>
      <c r="E398" t="str">
        <f>IFERROR(VLOOKUP(MID(A398,7,2),Map!$A$2:$B$20,2,FALSE),"")</f>
        <v/>
      </c>
      <c r="F398" t="str">
        <f>IF(A398="","",IFERROR(VLOOKUP(MID(A398,9,2),Map!$R$2:$S$14,2,FALSE),""))</f>
        <v/>
      </c>
      <c r="G398" t="str">
        <f t="shared" si="63"/>
        <v/>
      </c>
      <c r="H398" t="str">
        <f t="shared" si="64"/>
        <v/>
      </c>
      <c r="I398" t="str">
        <f>IF(A398="","",IFERROR(VLOOKUP(LEFT(A398,1),Map!$D$2:$E$20,2,FALSE),""))</f>
        <v/>
      </c>
      <c r="J398" t="str">
        <f>IF(OR(H398="",NOT(OR(LEFT(H398,1)="G",LEFT(H398,1)="R"))),"",IFERROR(VLOOKUP(MID(H398,2,1),Map!$J$2:$M$10,2,FALSE),""))</f>
        <v/>
      </c>
      <c r="K398" t="str">
        <f t="shared" si="65"/>
        <v/>
      </c>
      <c r="L398" t="str">
        <f t="shared" si="66"/>
        <v/>
      </c>
      <c r="M398" t="str">
        <f t="shared" si="67"/>
        <v/>
      </c>
      <c r="N398" t="str">
        <f t="shared" si="68"/>
        <v/>
      </c>
      <c r="O398" t="str">
        <f t="shared" si="69"/>
        <v/>
      </c>
      <c r="P398" t="str">
        <f>IF(OR(H398="",NOT(OR(LEFT(H398,1)="G",LEFT(H398,1)="R"))),"",IFERROR(VLOOKUP(MID(H398,3,1),Map!$G$2:$H$10,2,FALSE),""))</f>
        <v/>
      </c>
      <c r="Q398" t="str">
        <f>IF(A398="","",IFERROR(VLOOKUP(MID(A398,4,1),Map!$O$2:$P$10,2,FALSE),""))</f>
        <v/>
      </c>
    </row>
    <row r="399" spans="2:17" x14ac:dyDescent="0.25">
      <c r="B399" t="str">
        <f t="shared" si="60"/>
        <v/>
      </c>
      <c r="C399" t="str">
        <f t="shared" si="61"/>
        <v>**</v>
      </c>
      <c r="D399" t="str">
        <f t="shared" si="62"/>
        <v/>
      </c>
      <c r="E399" t="str">
        <f>IFERROR(VLOOKUP(MID(A399,7,2),Map!$A$2:$B$20,2,FALSE),"")</f>
        <v/>
      </c>
      <c r="F399" t="str">
        <f>IF(A399="","",IFERROR(VLOOKUP(MID(A399,9,2),Map!$R$2:$S$14,2,FALSE),""))</f>
        <v/>
      </c>
      <c r="G399" t="str">
        <f t="shared" si="63"/>
        <v/>
      </c>
      <c r="H399" t="str">
        <f t="shared" si="64"/>
        <v/>
      </c>
      <c r="I399" t="str">
        <f>IF(A399="","",IFERROR(VLOOKUP(LEFT(A399,1),Map!$D$2:$E$20,2,FALSE),""))</f>
        <v/>
      </c>
      <c r="J399" t="str">
        <f>IF(OR(H399="",NOT(OR(LEFT(H399,1)="G",LEFT(H399,1)="R"))),"",IFERROR(VLOOKUP(MID(H399,2,1),Map!$J$2:$M$10,2,FALSE),""))</f>
        <v/>
      </c>
      <c r="K399" t="str">
        <f t="shared" si="65"/>
        <v/>
      </c>
      <c r="L399" t="str">
        <f t="shared" si="66"/>
        <v/>
      </c>
      <c r="M399" t="str">
        <f t="shared" si="67"/>
        <v/>
      </c>
      <c r="N399" t="str">
        <f t="shared" si="68"/>
        <v/>
      </c>
      <c r="O399" t="str">
        <f t="shared" si="69"/>
        <v/>
      </c>
      <c r="P399" t="str">
        <f>IF(OR(H399="",NOT(OR(LEFT(H399,1)="G",LEFT(H399,1)="R"))),"",IFERROR(VLOOKUP(MID(H399,3,1),Map!$G$2:$H$10,2,FALSE),""))</f>
        <v/>
      </c>
      <c r="Q399" t="str">
        <f>IF(A399="","",IFERROR(VLOOKUP(MID(A399,4,1),Map!$O$2:$P$10,2,FALSE),""))</f>
        <v/>
      </c>
    </row>
    <row r="400" spans="2:17" x14ac:dyDescent="0.25">
      <c r="B400" t="str">
        <f t="shared" si="60"/>
        <v/>
      </c>
      <c r="C400" t="str">
        <f t="shared" si="61"/>
        <v>**</v>
      </c>
      <c r="D400" t="str">
        <f t="shared" si="62"/>
        <v/>
      </c>
      <c r="E400" t="str">
        <f>IFERROR(VLOOKUP(MID(A400,7,2),Map!$A$2:$B$20,2,FALSE),"")</f>
        <v/>
      </c>
      <c r="F400" t="str">
        <f>IF(A400="","",IFERROR(VLOOKUP(MID(A400,9,2),Map!$R$2:$S$14,2,FALSE),""))</f>
        <v/>
      </c>
      <c r="G400" t="str">
        <f t="shared" si="63"/>
        <v/>
      </c>
      <c r="H400" t="str">
        <f t="shared" si="64"/>
        <v/>
      </c>
      <c r="I400" t="str">
        <f>IF(A400="","",IFERROR(VLOOKUP(LEFT(A400,1),Map!$D$2:$E$20,2,FALSE),""))</f>
        <v/>
      </c>
      <c r="J400" t="str">
        <f>IF(OR(H400="",NOT(OR(LEFT(H400,1)="G",LEFT(H400,1)="R"))),"",IFERROR(VLOOKUP(MID(H400,2,1),Map!$J$2:$M$10,2,FALSE),""))</f>
        <v/>
      </c>
      <c r="K400" t="str">
        <f t="shared" si="65"/>
        <v/>
      </c>
      <c r="L400" t="str">
        <f t="shared" si="66"/>
        <v/>
      </c>
      <c r="M400" t="str">
        <f t="shared" si="67"/>
        <v/>
      </c>
      <c r="N400" t="str">
        <f t="shared" si="68"/>
        <v/>
      </c>
      <c r="O400" t="str">
        <f t="shared" si="69"/>
        <v/>
      </c>
      <c r="P400" t="str">
        <f>IF(OR(H400="",NOT(OR(LEFT(H400,1)="G",LEFT(H400,1)="R"))),"",IFERROR(VLOOKUP(MID(H400,3,1),Map!$G$2:$H$10,2,FALSE),""))</f>
        <v/>
      </c>
      <c r="Q400" t="str">
        <f>IF(A400="","",IFERROR(VLOOKUP(MID(A400,4,1),Map!$O$2:$P$10,2,FALSE),""))</f>
        <v/>
      </c>
    </row>
    <row r="401" spans="2:17" x14ac:dyDescent="0.25">
      <c r="B401" t="str">
        <f t="shared" si="60"/>
        <v/>
      </c>
      <c r="C401" t="str">
        <f t="shared" si="61"/>
        <v>**</v>
      </c>
      <c r="D401" t="str">
        <f t="shared" si="62"/>
        <v/>
      </c>
      <c r="E401" t="str">
        <f>IFERROR(VLOOKUP(MID(A401,7,2),Map!$A$2:$B$20,2,FALSE),"")</f>
        <v/>
      </c>
      <c r="F401" t="str">
        <f>IF(A401="","",IFERROR(VLOOKUP(MID(A401,9,2),Map!$R$2:$S$14,2,FALSE),""))</f>
        <v/>
      </c>
      <c r="G401" t="str">
        <f t="shared" si="63"/>
        <v/>
      </c>
      <c r="H401" t="str">
        <f t="shared" si="64"/>
        <v/>
      </c>
      <c r="I401" t="str">
        <f>IF(A401="","",IFERROR(VLOOKUP(LEFT(A401,1),Map!$D$2:$E$20,2,FALSE),""))</f>
        <v/>
      </c>
      <c r="J401" t="str">
        <f>IF(OR(H401="",NOT(OR(LEFT(H401,1)="G",LEFT(H401,1)="R"))),"",IFERROR(VLOOKUP(MID(H401,2,1),Map!$J$2:$M$10,2,FALSE),""))</f>
        <v/>
      </c>
      <c r="K401" t="str">
        <f t="shared" si="65"/>
        <v/>
      </c>
      <c r="L401" t="str">
        <f t="shared" si="66"/>
        <v/>
      </c>
      <c r="M401" t="str">
        <f t="shared" si="67"/>
        <v/>
      </c>
      <c r="N401" t="str">
        <f t="shared" si="68"/>
        <v/>
      </c>
      <c r="O401" t="str">
        <f t="shared" si="69"/>
        <v/>
      </c>
      <c r="P401" t="str">
        <f>IF(OR(H401="",NOT(OR(LEFT(H401,1)="G",LEFT(H401,1)="R"))),"",IFERROR(VLOOKUP(MID(H401,3,1),Map!$G$2:$H$10,2,FALSE),""))</f>
        <v/>
      </c>
      <c r="Q401" t="str">
        <f>IF(A401="","",IFERROR(VLOOKUP(MID(A401,4,1),Map!$O$2:$P$10,2,FALSE),""))</f>
        <v/>
      </c>
    </row>
    <row r="402" spans="2:17" x14ac:dyDescent="0.25">
      <c r="B402" t="str">
        <f t="shared" si="60"/>
        <v/>
      </c>
      <c r="C402" t="str">
        <f t="shared" si="61"/>
        <v>**</v>
      </c>
      <c r="D402" t="str">
        <f t="shared" si="62"/>
        <v/>
      </c>
      <c r="E402" t="str">
        <f>IFERROR(VLOOKUP(MID(A402,7,2),Map!$A$2:$B$20,2,FALSE),"")</f>
        <v/>
      </c>
      <c r="F402" t="str">
        <f>IF(A402="","",IFERROR(VLOOKUP(MID(A402,9,2),Map!$R$2:$S$14,2,FALSE),""))</f>
        <v/>
      </c>
      <c r="G402" t="str">
        <f t="shared" si="63"/>
        <v/>
      </c>
      <c r="H402" t="str">
        <f t="shared" si="64"/>
        <v/>
      </c>
      <c r="I402" t="str">
        <f>IF(A402="","",IFERROR(VLOOKUP(LEFT(A402,1),Map!$D$2:$E$20,2,FALSE),""))</f>
        <v/>
      </c>
      <c r="J402" t="str">
        <f>IF(OR(H402="",NOT(OR(LEFT(H402,1)="G",LEFT(H402,1)="R"))),"",IFERROR(VLOOKUP(MID(H402,2,1),Map!$J$2:$M$10,2,FALSE),""))</f>
        <v/>
      </c>
      <c r="K402" t="str">
        <f t="shared" si="65"/>
        <v/>
      </c>
      <c r="L402" t="str">
        <f t="shared" si="66"/>
        <v/>
      </c>
      <c r="M402" t="str">
        <f t="shared" si="67"/>
        <v/>
      </c>
      <c r="N402" t="str">
        <f t="shared" si="68"/>
        <v/>
      </c>
      <c r="O402" t="str">
        <f t="shared" si="69"/>
        <v/>
      </c>
      <c r="P402" t="str">
        <f>IF(OR(H402="",NOT(OR(LEFT(H402,1)="G",LEFT(H402,1)="R"))),"",IFERROR(VLOOKUP(MID(H402,3,1),Map!$G$2:$H$10,2,FALSE),""))</f>
        <v/>
      </c>
      <c r="Q402" t="str">
        <f>IF(A402="","",IFERROR(VLOOKUP(MID(A402,4,1),Map!$O$2:$P$10,2,FALSE),""))</f>
        <v/>
      </c>
    </row>
    <row r="403" spans="2:17" x14ac:dyDescent="0.25">
      <c r="B403" t="str">
        <f t="shared" si="60"/>
        <v/>
      </c>
      <c r="C403" t="str">
        <f t="shared" si="61"/>
        <v>**</v>
      </c>
      <c r="D403" t="str">
        <f t="shared" si="62"/>
        <v/>
      </c>
      <c r="E403" t="str">
        <f>IFERROR(VLOOKUP(MID(A403,7,2),Map!$A$2:$B$20,2,FALSE),"")</f>
        <v/>
      </c>
      <c r="F403" t="str">
        <f>IF(A403="","",IFERROR(VLOOKUP(MID(A403,9,2),Map!$R$2:$S$14,2,FALSE),""))</f>
        <v/>
      </c>
      <c r="G403" t="str">
        <f t="shared" si="63"/>
        <v/>
      </c>
      <c r="H403" t="str">
        <f t="shared" si="64"/>
        <v/>
      </c>
      <c r="I403" t="str">
        <f>IF(A403="","",IFERROR(VLOOKUP(LEFT(A403,1),Map!$D$2:$E$20,2,FALSE),""))</f>
        <v/>
      </c>
      <c r="J403" t="str">
        <f>IF(OR(H403="",NOT(OR(LEFT(H403,1)="G",LEFT(H403,1)="R"))),"",IFERROR(VLOOKUP(MID(H403,2,1),Map!$J$2:$M$10,2,FALSE),""))</f>
        <v/>
      </c>
      <c r="K403" t="str">
        <f t="shared" si="65"/>
        <v/>
      </c>
      <c r="L403" t="str">
        <f t="shared" si="66"/>
        <v/>
      </c>
      <c r="M403" t="str">
        <f t="shared" si="67"/>
        <v/>
      </c>
      <c r="N403" t="str">
        <f t="shared" si="68"/>
        <v/>
      </c>
      <c r="O403" t="str">
        <f t="shared" si="69"/>
        <v/>
      </c>
      <c r="P403" t="str">
        <f>IF(OR(H403="",NOT(OR(LEFT(H403,1)="G",LEFT(H403,1)="R"))),"",IFERROR(VLOOKUP(MID(H403,3,1),Map!$G$2:$H$10,2,FALSE),""))</f>
        <v/>
      </c>
      <c r="Q403" t="str">
        <f>IF(A403="","",IFERROR(VLOOKUP(MID(A403,4,1),Map!$O$2:$P$10,2,FALSE),""))</f>
        <v/>
      </c>
    </row>
    <row r="404" spans="2:17" x14ac:dyDescent="0.25">
      <c r="B404" t="str">
        <f t="shared" si="60"/>
        <v/>
      </c>
      <c r="C404" t="str">
        <f t="shared" si="61"/>
        <v>**</v>
      </c>
      <c r="D404" t="str">
        <f t="shared" si="62"/>
        <v/>
      </c>
      <c r="E404" t="str">
        <f>IFERROR(VLOOKUP(MID(A404,7,2),Map!$A$2:$B$20,2,FALSE),"")</f>
        <v/>
      </c>
      <c r="F404" t="str">
        <f>IF(A404="","",IFERROR(VLOOKUP(MID(A404,9,2),Map!$R$2:$S$14,2,FALSE),""))</f>
        <v/>
      </c>
      <c r="G404" t="str">
        <f t="shared" si="63"/>
        <v/>
      </c>
      <c r="H404" t="str">
        <f t="shared" si="64"/>
        <v/>
      </c>
      <c r="I404" t="str">
        <f>IF(A404="","",IFERROR(VLOOKUP(LEFT(A404,1),Map!$D$2:$E$20,2,FALSE),""))</f>
        <v/>
      </c>
      <c r="J404" t="str">
        <f>IF(OR(H404="",NOT(OR(LEFT(H404,1)="G",LEFT(H404,1)="R"))),"",IFERROR(VLOOKUP(MID(H404,2,1),Map!$J$2:$M$10,2,FALSE),""))</f>
        <v/>
      </c>
      <c r="K404" t="str">
        <f t="shared" si="65"/>
        <v/>
      </c>
      <c r="L404" t="str">
        <f t="shared" si="66"/>
        <v/>
      </c>
      <c r="M404" t="str">
        <f t="shared" si="67"/>
        <v/>
      </c>
      <c r="N404" t="str">
        <f t="shared" si="68"/>
        <v/>
      </c>
      <c r="O404" t="str">
        <f t="shared" si="69"/>
        <v/>
      </c>
      <c r="P404" t="str">
        <f>IF(OR(H404="",NOT(OR(LEFT(H404,1)="G",LEFT(H404,1)="R"))),"",IFERROR(VLOOKUP(MID(H404,3,1),Map!$G$2:$H$10,2,FALSE),""))</f>
        <v/>
      </c>
      <c r="Q404" t="str">
        <f>IF(A404="","",IFERROR(VLOOKUP(MID(A404,4,1),Map!$O$2:$P$10,2,FALSE),""))</f>
        <v/>
      </c>
    </row>
    <row r="405" spans="2:17" x14ac:dyDescent="0.25">
      <c r="B405" t="str">
        <f t="shared" si="60"/>
        <v/>
      </c>
      <c r="C405" t="str">
        <f t="shared" si="61"/>
        <v>**</v>
      </c>
      <c r="D405" t="str">
        <f t="shared" si="62"/>
        <v/>
      </c>
      <c r="E405" t="str">
        <f>IFERROR(VLOOKUP(MID(A405,7,2),Map!$A$2:$B$20,2,FALSE),"")</f>
        <v/>
      </c>
      <c r="F405" t="str">
        <f>IF(A405="","",IFERROR(VLOOKUP(MID(A405,9,2),Map!$R$2:$S$14,2,FALSE),""))</f>
        <v/>
      </c>
      <c r="G405" t="str">
        <f t="shared" si="63"/>
        <v/>
      </c>
      <c r="H405" t="str">
        <f t="shared" si="64"/>
        <v/>
      </c>
      <c r="I405" t="str">
        <f>IF(A405="","",IFERROR(VLOOKUP(LEFT(A405,1),Map!$D$2:$E$20,2,FALSE),""))</f>
        <v/>
      </c>
      <c r="J405" t="str">
        <f>IF(OR(H405="",NOT(OR(LEFT(H405,1)="G",LEFT(H405,1)="R"))),"",IFERROR(VLOOKUP(MID(H405,2,1),Map!$J$2:$M$10,2,FALSE),""))</f>
        <v/>
      </c>
      <c r="K405" t="str">
        <f t="shared" si="65"/>
        <v/>
      </c>
      <c r="L405" t="str">
        <f t="shared" si="66"/>
        <v/>
      </c>
      <c r="M405" t="str">
        <f t="shared" si="67"/>
        <v/>
      </c>
      <c r="N405" t="str">
        <f t="shared" si="68"/>
        <v/>
      </c>
      <c r="O405" t="str">
        <f t="shared" si="69"/>
        <v/>
      </c>
      <c r="P405" t="str">
        <f>IF(OR(H405="",NOT(OR(LEFT(H405,1)="G",LEFT(H405,1)="R"))),"",IFERROR(VLOOKUP(MID(H405,3,1),Map!$G$2:$H$10,2,FALSE),""))</f>
        <v/>
      </c>
      <c r="Q405" t="str">
        <f>IF(A405="","",IFERROR(VLOOKUP(MID(A405,4,1),Map!$O$2:$P$10,2,FALSE),""))</f>
        <v/>
      </c>
    </row>
    <row r="406" spans="2:17" x14ac:dyDescent="0.25">
      <c r="B406" t="str">
        <f t="shared" si="60"/>
        <v/>
      </c>
      <c r="C406" t="str">
        <f t="shared" si="61"/>
        <v>**</v>
      </c>
      <c r="D406" t="str">
        <f t="shared" si="62"/>
        <v/>
      </c>
      <c r="E406" t="str">
        <f>IFERROR(VLOOKUP(MID(A406,7,2),Map!$A$2:$B$20,2,FALSE),"")</f>
        <v/>
      </c>
      <c r="F406" t="str">
        <f>IF(A406="","",IFERROR(VLOOKUP(MID(A406,9,2),Map!$R$2:$S$14,2,FALSE),""))</f>
        <v/>
      </c>
      <c r="G406" t="str">
        <f t="shared" si="63"/>
        <v/>
      </c>
      <c r="H406" t="str">
        <f t="shared" si="64"/>
        <v/>
      </c>
      <c r="I406" t="str">
        <f>IF(A406="","",IFERROR(VLOOKUP(LEFT(A406,1),Map!$D$2:$E$20,2,FALSE),""))</f>
        <v/>
      </c>
      <c r="J406" t="str">
        <f>IF(OR(H406="",NOT(OR(LEFT(H406,1)="G",LEFT(H406,1)="R"))),"",IFERROR(VLOOKUP(MID(H406,2,1),Map!$J$2:$M$10,2,FALSE),""))</f>
        <v/>
      </c>
      <c r="K406" t="str">
        <f t="shared" si="65"/>
        <v/>
      </c>
      <c r="L406" t="str">
        <f t="shared" si="66"/>
        <v/>
      </c>
      <c r="M406" t="str">
        <f t="shared" si="67"/>
        <v/>
      </c>
      <c r="N406" t="str">
        <f t="shared" si="68"/>
        <v/>
      </c>
      <c r="O406" t="str">
        <f t="shared" si="69"/>
        <v/>
      </c>
      <c r="P406" t="str">
        <f>IF(OR(H406="",NOT(OR(LEFT(H406,1)="G",LEFT(H406,1)="R"))),"",IFERROR(VLOOKUP(MID(H406,3,1),Map!$G$2:$H$10,2,FALSE),""))</f>
        <v/>
      </c>
      <c r="Q406" t="str">
        <f>IF(A406="","",IFERROR(VLOOKUP(MID(A406,4,1),Map!$O$2:$P$10,2,FALSE),""))</f>
        <v/>
      </c>
    </row>
    <row r="407" spans="2:17" x14ac:dyDescent="0.25">
      <c r="B407" t="str">
        <f t="shared" si="60"/>
        <v/>
      </c>
      <c r="C407" t="str">
        <f t="shared" si="61"/>
        <v>**</v>
      </c>
      <c r="D407" t="str">
        <f t="shared" si="62"/>
        <v/>
      </c>
      <c r="E407" t="str">
        <f>IFERROR(VLOOKUP(MID(A407,7,2),Map!$A$2:$B$20,2,FALSE),"")</f>
        <v/>
      </c>
      <c r="F407" t="str">
        <f>IF(A407="","",IFERROR(VLOOKUP(MID(A407,9,2),Map!$R$2:$S$14,2,FALSE),""))</f>
        <v/>
      </c>
      <c r="G407" t="str">
        <f t="shared" si="63"/>
        <v/>
      </c>
      <c r="H407" t="str">
        <f t="shared" si="64"/>
        <v/>
      </c>
      <c r="I407" t="str">
        <f>IF(A407="","",IFERROR(VLOOKUP(LEFT(A407,1),Map!$D$2:$E$20,2,FALSE),""))</f>
        <v/>
      </c>
      <c r="J407" t="str">
        <f>IF(OR(H407="",NOT(OR(LEFT(H407,1)="G",LEFT(H407,1)="R"))),"",IFERROR(VLOOKUP(MID(H407,2,1),Map!$J$2:$M$10,2,FALSE),""))</f>
        <v/>
      </c>
      <c r="K407" t="str">
        <f t="shared" si="65"/>
        <v/>
      </c>
      <c r="L407" t="str">
        <f t="shared" si="66"/>
        <v/>
      </c>
      <c r="M407" t="str">
        <f t="shared" si="67"/>
        <v/>
      </c>
      <c r="N407" t="str">
        <f t="shared" si="68"/>
        <v/>
      </c>
      <c r="O407" t="str">
        <f t="shared" si="69"/>
        <v/>
      </c>
      <c r="P407" t="str">
        <f>IF(OR(H407="",NOT(OR(LEFT(H407,1)="G",LEFT(H407,1)="R"))),"",IFERROR(VLOOKUP(MID(H407,3,1),Map!$G$2:$H$10,2,FALSE),""))</f>
        <v/>
      </c>
      <c r="Q407" t="str">
        <f>IF(A407="","",IFERROR(VLOOKUP(MID(A407,4,1),Map!$O$2:$P$10,2,FALSE),""))</f>
        <v/>
      </c>
    </row>
    <row r="408" spans="2:17" x14ac:dyDescent="0.25">
      <c r="B408" t="str">
        <f t="shared" si="60"/>
        <v/>
      </c>
      <c r="C408" t="str">
        <f t="shared" si="61"/>
        <v>**</v>
      </c>
      <c r="D408" t="str">
        <f t="shared" si="62"/>
        <v/>
      </c>
      <c r="E408" t="str">
        <f>IFERROR(VLOOKUP(MID(A408,7,2),Map!$A$2:$B$20,2,FALSE),"")</f>
        <v/>
      </c>
      <c r="F408" t="str">
        <f>IF(A408="","",IFERROR(VLOOKUP(MID(A408,9,2),Map!$R$2:$S$14,2,FALSE),""))</f>
        <v/>
      </c>
      <c r="G408" t="str">
        <f t="shared" si="63"/>
        <v/>
      </c>
      <c r="H408" t="str">
        <f t="shared" si="64"/>
        <v/>
      </c>
      <c r="I408" t="str">
        <f>IF(A408="","",IFERROR(VLOOKUP(LEFT(A408,1),Map!$D$2:$E$20,2,FALSE),""))</f>
        <v/>
      </c>
      <c r="J408" t="str">
        <f>IF(OR(H408="",NOT(OR(LEFT(H408,1)="G",LEFT(H408,1)="R"))),"",IFERROR(VLOOKUP(MID(H408,2,1),Map!$J$2:$M$10,2,FALSE),""))</f>
        <v/>
      </c>
      <c r="K408" t="str">
        <f t="shared" si="65"/>
        <v/>
      </c>
      <c r="L408" t="str">
        <f t="shared" si="66"/>
        <v/>
      </c>
      <c r="M408" t="str">
        <f t="shared" si="67"/>
        <v/>
      </c>
      <c r="N408" t="str">
        <f t="shared" si="68"/>
        <v/>
      </c>
      <c r="O408" t="str">
        <f t="shared" si="69"/>
        <v/>
      </c>
      <c r="P408" t="str">
        <f>IF(OR(H408="",NOT(OR(LEFT(H408,1)="G",LEFT(H408,1)="R"))),"",IFERROR(VLOOKUP(MID(H408,3,1),Map!$G$2:$H$10,2,FALSE),""))</f>
        <v/>
      </c>
      <c r="Q408" t="str">
        <f>IF(A408="","",IFERROR(VLOOKUP(MID(A408,4,1),Map!$O$2:$P$10,2,FALSE),""))</f>
        <v/>
      </c>
    </row>
    <row r="409" spans="2:17" x14ac:dyDescent="0.25">
      <c r="B409" t="str">
        <f t="shared" si="60"/>
        <v/>
      </c>
      <c r="C409" t="str">
        <f t="shared" si="61"/>
        <v>**</v>
      </c>
      <c r="D409" t="str">
        <f t="shared" si="62"/>
        <v/>
      </c>
      <c r="E409" t="str">
        <f>IFERROR(VLOOKUP(MID(A409,7,2),Map!$A$2:$B$20,2,FALSE),"")</f>
        <v/>
      </c>
      <c r="F409" t="str">
        <f>IF(A409="","",IFERROR(VLOOKUP(MID(A409,9,2),Map!$R$2:$S$14,2,FALSE),""))</f>
        <v/>
      </c>
      <c r="G409" t="str">
        <f t="shared" si="63"/>
        <v/>
      </c>
      <c r="H409" t="str">
        <f t="shared" si="64"/>
        <v/>
      </c>
      <c r="I409" t="str">
        <f>IF(A409="","",IFERROR(VLOOKUP(LEFT(A409,1),Map!$D$2:$E$20,2,FALSE),""))</f>
        <v/>
      </c>
      <c r="J409" t="str">
        <f>IF(OR(H409="",NOT(OR(LEFT(H409,1)="G",LEFT(H409,1)="R"))),"",IFERROR(VLOOKUP(MID(H409,2,1),Map!$J$2:$M$10,2,FALSE),""))</f>
        <v/>
      </c>
      <c r="K409" t="str">
        <f t="shared" si="65"/>
        <v/>
      </c>
      <c r="L409" t="str">
        <f t="shared" si="66"/>
        <v/>
      </c>
      <c r="M409" t="str">
        <f t="shared" si="67"/>
        <v/>
      </c>
      <c r="N409" t="str">
        <f t="shared" si="68"/>
        <v/>
      </c>
      <c r="O409" t="str">
        <f t="shared" si="69"/>
        <v/>
      </c>
      <c r="P409" t="str">
        <f>IF(OR(H409="",NOT(OR(LEFT(H409,1)="G",LEFT(H409,1)="R"))),"",IFERROR(VLOOKUP(MID(H409,3,1),Map!$G$2:$H$10,2,FALSE),""))</f>
        <v/>
      </c>
      <c r="Q409" t="str">
        <f>IF(A409="","",IFERROR(VLOOKUP(MID(A409,4,1),Map!$O$2:$P$10,2,FALSE),""))</f>
        <v/>
      </c>
    </row>
    <row r="410" spans="2:17" x14ac:dyDescent="0.25">
      <c r="B410" t="str">
        <f t="shared" si="60"/>
        <v/>
      </c>
      <c r="C410" t="str">
        <f t="shared" si="61"/>
        <v>**</v>
      </c>
      <c r="D410" t="str">
        <f t="shared" si="62"/>
        <v/>
      </c>
      <c r="E410" t="str">
        <f>IFERROR(VLOOKUP(MID(A410,7,2),Map!$A$2:$B$20,2,FALSE),"")</f>
        <v/>
      </c>
      <c r="F410" t="str">
        <f>IF(A410="","",IFERROR(VLOOKUP(MID(A410,9,2),Map!$R$2:$S$14,2,FALSE),""))</f>
        <v/>
      </c>
      <c r="G410" t="str">
        <f t="shared" si="63"/>
        <v/>
      </c>
      <c r="H410" t="str">
        <f t="shared" si="64"/>
        <v/>
      </c>
      <c r="I410" t="str">
        <f>IF(A410="","",IFERROR(VLOOKUP(LEFT(A410,1),Map!$D$2:$E$20,2,FALSE),""))</f>
        <v/>
      </c>
      <c r="J410" t="str">
        <f>IF(OR(H410="",NOT(OR(LEFT(H410,1)="G",LEFT(H410,1)="R"))),"",IFERROR(VLOOKUP(MID(H410,2,1),Map!$J$2:$M$10,2,FALSE),""))</f>
        <v/>
      </c>
      <c r="K410" t="str">
        <f t="shared" si="65"/>
        <v/>
      </c>
      <c r="L410" t="str">
        <f t="shared" si="66"/>
        <v/>
      </c>
      <c r="M410" t="str">
        <f t="shared" si="67"/>
        <v/>
      </c>
      <c r="N410" t="str">
        <f t="shared" si="68"/>
        <v/>
      </c>
      <c r="O410" t="str">
        <f t="shared" si="69"/>
        <v/>
      </c>
      <c r="P410" t="str">
        <f>IF(OR(H410="",NOT(OR(LEFT(H410,1)="G",LEFT(H410,1)="R"))),"",IFERROR(VLOOKUP(MID(H410,3,1),Map!$G$2:$H$10,2,FALSE),""))</f>
        <v/>
      </c>
      <c r="Q410" t="str">
        <f>IF(A410="","",IFERROR(VLOOKUP(MID(A410,4,1),Map!$O$2:$P$10,2,FALSE),""))</f>
        <v/>
      </c>
    </row>
    <row r="411" spans="2:17" x14ac:dyDescent="0.25">
      <c r="B411" t="str">
        <f t="shared" si="60"/>
        <v/>
      </c>
      <c r="C411" t="str">
        <f t="shared" si="61"/>
        <v>**</v>
      </c>
      <c r="D411" t="str">
        <f t="shared" si="62"/>
        <v/>
      </c>
      <c r="E411" t="str">
        <f>IFERROR(VLOOKUP(MID(A411,7,2),Map!$A$2:$B$20,2,FALSE),"")</f>
        <v/>
      </c>
      <c r="F411" t="str">
        <f>IF(A411="","",IFERROR(VLOOKUP(MID(A411,9,2),Map!$R$2:$S$14,2,FALSE),""))</f>
        <v/>
      </c>
      <c r="G411" t="str">
        <f t="shared" si="63"/>
        <v/>
      </c>
      <c r="H411" t="str">
        <f t="shared" si="64"/>
        <v/>
      </c>
      <c r="I411" t="str">
        <f>IF(A411="","",IFERROR(VLOOKUP(LEFT(A411,1),Map!$D$2:$E$20,2,FALSE),""))</f>
        <v/>
      </c>
      <c r="J411" t="str">
        <f>IF(OR(H411="",NOT(OR(LEFT(H411,1)="G",LEFT(H411,1)="R"))),"",IFERROR(VLOOKUP(MID(H411,2,1),Map!$J$2:$M$10,2,FALSE),""))</f>
        <v/>
      </c>
      <c r="K411" t="str">
        <f t="shared" si="65"/>
        <v/>
      </c>
      <c r="L411" t="str">
        <f t="shared" si="66"/>
        <v/>
      </c>
      <c r="M411" t="str">
        <f t="shared" si="67"/>
        <v/>
      </c>
      <c r="N411" t="str">
        <f t="shared" si="68"/>
        <v/>
      </c>
      <c r="O411" t="str">
        <f t="shared" si="69"/>
        <v/>
      </c>
      <c r="P411" t="str">
        <f>IF(OR(H411="",NOT(OR(LEFT(H411,1)="G",LEFT(H411,1)="R"))),"",IFERROR(VLOOKUP(MID(H411,3,1),Map!$G$2:$H$10,2,FALSE),""))</f>
        <v/>
      </c>
      <c r="Q411" t="str">
        <f>IF(A411="","",IFERROR(VLOOKUP(MID(A411,4,1),Map!$O$2:$P$10,2,FALSE),""))</f>
        <v/>
      </c>
    </row>
    <row r="412" spans="2:17" x14ac:dyDescent="0.25">
      <c r="B412" t="str">
        <f t="shared" si="60"/>
        <v/>
      </c>
      <c r="C412" t="str">
        <f t="shared" si="61"/>
        <v>**</v>
      </c>
      <c r="D412" t="str">
        <f t="shared" si="62"/>
        <v/>
      </c>
      <c r="E412" t="str">
        <f>IFERROR(VLOOKUP(MID(A412,7,2),Map!$A$2:$B$20,2,FALSE),"")</f>
        <v/>
      </c>
      <c r="F412" t="str">
        <f>IF(A412="","",IFERROR(VLOOKUP(MID(A412,9,2),Map!$R$2:$S$14,2,FALSE),""))</f>
        <v/>
      </c>
      <c r="G412" t="str">
        <f t="shared" si="63"/>
        <v/>
      </c>
      <c r="H412" t="str">
        <f t="shared" si="64"/>
        <v/>
      </c>
      <c r="I412" t="str">
        <f>IF(A412="","",IFERROR(VLOOKUP(LEFT(A412,1),Map!$D$2:$E$20,2,FALSE),""))</f>
        <v/>
      </c>
      <c r="J412" t="str">
        <f>IF(OR(H412="",NOT(OR(LEFT(H412,1)="G",LEFT(H412,1)="R"))),"",IFERROR(VLOOKUP(MID(H412,2,1),Map!$J$2:$M$10,2,FALSE),""))</f>
        <v/>
      </c>
      <c r="K412" t="str">
        <f t="shared" si="65"/>
        <v/>
      </c>
      <c r="L412" t="str">
        <f t="shared" si="66"/>
        <v/>
      </c>
      <c r="M412" t="str">
        <f t="shared" si="67"/>
        <v/>
      </c>
      <c r="N412" t="str">
        <f t="shared" si="68"/>
        <v/>
      </c>
      <c r="O412" t="str">
        <f t="shared" si="69"/>
        <v/>
      </c>
      <c r="P412" t="str">
        <f>IF(OR(H412="",NOT(OR(LEFT(H412,1)="G",LEFT(H412,1)="R"))),"",IFERROR(VLOOKUP(MID(H412,3,1),Map!$G$2:$H$10,2,FALSE),""))</f>
        <v/>
      </c>
      <c r="Q412" t="str">
        <f>IF(A412="","",IFERROR(VLOOKUP(MID(A412,4,1),Map!$O$2:$P$10,2,FALSE),""))</f>
        <v/>
      </c>
    </row>
    <row r="413" spans="2:17" x14ac:dyDescent="0.25">
      <c r="B413" t="str">
        <f t="shared" si="60"/>
        <v/>
      </c>
      <c r="C413" t="str">
        <f t="shared" si="61"/>
        <v>**</v>
      </c>
      <c r="D413" t="str">
        <f t="shared" si="62"/>
        <v/>
      </c>
      <c r="E413" t="str">
        <f>IFERROR(VLOOKUP(MID(A413,7,2),Map!$A$2:$B$20,2,FALSE),"")</f>
        <v/>
      </c>
      <c r="F413" t="str">
        <f>IF(A413="","",IFERROR(VLOOKUP(MID(A413,9,2),Map!$R$2:$S$14,2,FALSE),""))</f>
        <v/>
      </c>
      <c r="G413" t="str">
        <f t="shared" si="63"/>
        <v/>
      </c>
      <c r="H413" t="str">
        <f t="shared" si="64"/>
        <v/>
      </c>
      <c r="I413" t="str">
        <f>IF(A413="","",IFERROR(VLOOKUP(LEFT(A413,1),Map!$D$2:$E$20,2,FALSE),""))</f>
        <v/>
      </c>
      <c r="J413" t="str">
        <f>IF(OR(H413="",NOT(OR(LEFT(H413,1)="G",LEFT(H413,1)="R"))),"",IFERROR(VLOOKUP(MID(H413,2,1),Map!$J$2:$M$10,2,FALSE),""))</f>
        <v/>
      </c>
      <c r="K413" t="str">
        <f t="shared" si="65"/>
        <v/>
      </c>
      <c r="L413" t="str">
        <f t="shared" si="66"/>
        <v/>
      </c>
      <c r="M413" t="str">
        <f t="shared" si="67"/>
        <v/>
      </c>
      <c r="N413" t="str">
        <f t="shared" si="68"/>
        <v/>
      </c>
      <c r="O413" t="str">
        <f t="shared" si="69"/>
        <v/>
      </c>
      <c r="P413" t="str">
        <f>IF(OR(H413="",NOT(OR(LEFT(H413,1)="G",LEFT(H413,1)="R"))),"",IFERROR(VLOOKUP(MID(H413,3,1),Map!$G$2:$H$10,2,FALSE),""))</f>
        <v/>
      </c>
      <c r="Q413" t="str">
        <f>IF(A413="","",IFERROR(VLOOKUP(MID(A413,4,1),Map!$O$2:$P$10,2,FALSE),""))</f>
        <v/>
      </c>
    </row>
    <row r="414" spans="2:17" x14ac:dyDescent="0.25">
      <c r="B414" t="str">
        <f t="shared" si="60"/>
        <v/>
      </c>
      <c r="C414" t="str">
        <f t="shared" si="61"/>
        <v>**</v>
      </c>
      <c r="D414" t="str">
        <f t="shared" si="62"/>
        <v/>
      </c>
      <c r="E414" t="str">
        <f>IFERROR(VLOOKUP(MID(A414,7,2),Map!$A$2:$B$20,2,FALSE),"")</f>
        <v/>
      </c>
      <c r="F414" t="str">
        <f>IF(A414="","",IFERROR(VLOOKUP(MID(A414,9,2),Map!$R$2:$S$14,2,FALSE),""))</f>
        <v/>
      </c>
      <c r="G414" t="str">
        <f t="shared" si="63"/>
        <v/>
      </c>
      <c r="H414" t="str">
        <f t="shared" si="64"/>
        <v/>
      </c>
      <c r="I414" t="str">
        <f>IF(A414="","",IFERROR(VLOOKUP(LEFT(A414,1),Map!$D$2:$E$20,2,FALSE),""))</f>
        <v/>
      </c>
      <c r="J414" t="str">
        <f>IF(OR(H414="",NOT(OR(LEFT(H414,1)="G",LEFT(H414,1)="R"))),"",IFERROR(VLOOKUP(MID(H414,2,1),Map!$J$2:$M$10,2,FALSE),""))</f>
        <v/>
      </c>
      <c r="K414" t="str">
        <f t="shared" si="65"/>
        <v/>
      </c>
      <c r="L414" t="str">
        <f t="shared" si="66"/>
        <v/>
      </c>
      <c r="M414" t="str">
        <f t="shared" si="67"/>
        <v/>
      </c>
      <c r="N414" t="str">
        <f t="shared" si="68"/>
        <v/>
      </c>
      <c r="O414" t="str">
        <f t="shared" si="69"/>
        <v/>
      </c>
      <c r="P414" t="str">
        <f>IF(OR(H414="",NOT(OR(LEFT(H414,1)="G",LEFT(H414,1)="R"))),"",IFERROR(VLOOKUP(MID(H414,3,1),Map!$G$2:$H$10,2,FALSE),""))</f>
        <v/>
      </c>
      <c r="Q414" t="str">
        <f>IF(A414="","",IFERROR(VLOOKUP(MID(A414,4,1),Map!$O$2:$P$10,2,FALSE),""))</f>
        <v/>
      </c>
    </row>
    <row r="415" spans="2:17" x14ac:dyDescent="0.25">
      <c r="B415" t="str">
        <f t="shared" si="60"/>
        <v/>
      </c>
      <c r="C415" t="str">
        <f t="shared" si="61"/>
        <v>**</v>
      </c>
      <c r="D415" t="str">
        <f t="shared" si="62"/>
        <v/>
      </c>
      <c r="E415" t="str">
        <f>IFERROR(VLOOKUP(MID(A415,7,2),Map!$A$2:$B$20,2,FALSE),"")</f>
        <v/>
      </c>
      <c r="F415" t="str">
        <f>IF(A415="","",IFERROR(VLOOKUP(MID(A415,9,2),Map!$R$2:$S$14,2,FALSE),""))</f>
        <v/>
      </c>
      <c r="G415" t="str">
        <f t="shared" si="63"/>
        <v/>
      </c>
      <c r="H415" t="str">
        <f t="shared" si="64"/>
        <v/>
      </c>
      <c r="I415" t="str">
        <f>IF(A415="","",IFERROR(VLOOKUP(LEFT(A415,1),Map!$D$2:$E$20,2,FALSE),""))</f>
        <v/>
      </c>
      <c r="J415" t="str">
        <f>IF(OR(H415="",NOT(OR(LEFT(H415,1)="G",LEFT(H415,1)="R"))),"",IFERROR(VLOOKUP(MID(H415,2,1),Map!$J$2:$M$10,2,FALSE),""))</f>
        <v/>
      </c>
      <c r="K415" t="str">
        <f t="shared" si="65"/>
        <v/>
      </c>
      <c r="L415" t="str">
        <f t="shared" si="66"/>
        <v/>
      </c>
      <c r="M415" t="str">
        <f t="shared" si="67"/>
        <v/>
      </c>
      <c r="N415" t="str">
        <f t="shared" si="68"/>
        <v/>
      </c>
      <c r="O415" t="str">
        <f t="shared" si="69"/>
        <v/>
      </c>
      <c r="P415" t="str">
        <f>IF(OR(H415="",NOT(OR(LEFT(H415,1)="G",LEFT(H415,1)="R"))),"",IFERROR(VLOOKUP(MID(H415,3,1),Map!$G$2:$H$10,2,FALSE),""))</f>
        <v/>
      </c>
      <c r="Q415" t="str">
        <f>IF(A415="","",IFERROR(VLOOKUP(MID(A415,4,1),Map!$O$2:$P$10,2,FALSE),""))</f>
        <v/>
      </c>
    </row>
    <row r="416" spans="2:17" x14ac:dyDescent="0.25">
      <c r="B416" t="str">
        <f t="shared" si="60"/>
        <v/>
      </c>
      <c r="C416" t="str">
        <f t="shared" si="61"/>
        <v>**</v>
      </c>
      <c r="D416" t="str">
        <f t="shared" si="62"/>
        <v/>
      </c>
      <c r="E416" t="str">
        <f>IFERROR(VLOOKUP(MID(A416,7,2),Map!$A$2:$B$20,2,FALSE),"")</f>
        <v/>
      </c>
      <c r="F416" t="str">
        <f>IF(A416="","",IFERROR(VLOOKUP(MID(A416,9,2),Map!$R$2:$S$14,2,FALSE),""))</f>
        <v/>
      </c>
      <c r="G416" t="str">
        <f t="shared" si="63"/>
        <v/>
      </c>
      <c r="H416" t="str">
        <f t="shared" si="64"/>
        <v/>
      </c>
      <c r="I416" t="str">
        <f>IF(A416="","",IFERROR(VLOOKUP(LEFT(A416,1),Map!$D$2:$E$20,2,FALSE),""))</f>
        <v/>
      </c>
      <c r="J416" t="str">
        <f>IF(OR(H416="",NOT(OR(LEFT(H416,1)="G",LEFT(H416,1)="R"))),"",IFERROR(VLOOKUP(MID(H416,2,1),Map!$J$2:$M$10,2,FALSE),""))</f>
        <v/>
      </c>
      <c r="K416" t="str">
        <f t="shared" si="65"/>
        <v/>
      </c>
      <c r="L416" t="str">
        <f t="shared" si="66"/>
        <v/>
      </c>
      <c r="M416" t="str">
        <f t="shared" si="67"/>
        <v/>
      </c>
      <c r="N416" t="str">
        <f t="shared" si="68"/>
        <v/>
      </c>
      <c r="O416" t="str">
        <f t="shared" si="69"/>
        <v/>
      </c>
      <c r="P416" t="str">
        <f>IF(OR(H416="",NOT(OR(LEFT(H416,1)="G",LEFT(H416,1)="R"))),"",IFERROR(VLOOKUP(MID(H416,3,1),Map!$G$2:$H$10,2,FALSE),""))</f>
        <v/>
      </c>
      <c r="Q416" t="str">
        <f>IF(A416="","",IFERROR(VLOOKUP(MID(A416,4,1),Map!$O$2:$P$10,2,FALSE),""))</f>
        <v/>
      </c>
    </row>
    <row r="417" spans="2:17" x14ac:dyDescent="0.25">
      <c r="B417" t="str">
        <f t="shared" si="60"/>
        <v/>
      </c>
      <c r="C417" t="str">
        <f t="shared" si="61"/>
        <v>**</v>
      </c>
      <c r="D417" t="str">
        <f t="shared" si="62"/>
        <v/>
      </c>
      <c r="E417" t="str">
        <f>IFERROR(VLOOKUP(MID(A417,7,2),Map!$A$2:$B$20,2,FALSE),"")</f>
        <v/>
      </c>
      <c r="F417" t="str">
        <f>IF(A417="","",IFERROR(VLOOKUP(MID(A417,9,2),Map!$R$2:$S$14,2,FALSE),""))</f>
        <v/>
      </c>
      <c r="G417" t="str">
        <f t="shared" si="63"/>
        <v/>
      </c>
      <c r="H417" t="str">
        <f t="shared" si="64"/>
        <v/>
      </c>
      <c r="I417" t="str">
        <f>IF(A417="","",IFERROR(VLOOKUP(LEFT(A417,1),Map!$D$2:$E$20,2,FALSE),""))</f>
        <v/>
      </c>
      <c r="J417" t="str">
        <f>IF(OR(H417="",NOT(OR(LEFT(H417,1)="G",LEFT(H417,1)="R"))),"",IFERROR(VLOOKUP(MID(H417,2,1),Map!$J$2:$M$10,2,FALSE),""))</f>
        <v/>
      </c>
      <c r="K417" t="str">
        <f t="shared" si="65"/>
        <v/>
      </c>
      <c r="L417" t="str">
        <f t="shared" si="66"/>
        <v/>
      </c>
      <c r="M417" t="str">
        <f t="shared" si="67"/>
        <v/>
      </c>
      <c r="N417" t="str">
        <f t="shared" si="68"/>
        <v/>
      </c>
      <c r="O417" t="str">
        <f t="shared" si="69"/>
        <v/>
      </c>
      <c r="P417" t="str">
        <f>IF(OR(H417="",NOT(OR(LEFT(H417,1)="G",LEFT(H417,1)="R"))),"",IFERROR(VLOOKUP(MID(H417,3,1),Map!$G$2:$H$10,2,FALSE),""))</f>
        <v/>
      </c>
      <c r="Q417" t="str">
        <f>IF(A417="","",IFERROR(VLOOKUP(MID(A417,4,1),Map!$O$2:$P$10,2,FALSE),""))</f>
        <v/>
      </c>
    </row>
    <row r="418" spans="2:17" x14ac:dyDescent="0.25">
      <c r="B418" t="str">
        <f t="shared" si="60"/>
        <v/>
      </c>
      <c r="C418" t="str">
        <f t="shared" si="61"/>
        <v>**</v>
      </c>
      <c r="D418" t="str">
        <f t="shared" si="62"/>
        <v/>
      </c>
      <c r="E418" t="str">
        <f>IFERROR(VLOOKUP(MID(A418,7,2),Map!$A$2:$B$20,2,FALSE),"")</f>
        <v/>
      </c>
      <c r="F418" t="str">
        <f>IF(A418="","",IFERROR(VLOOKUP(MID(A418,9,2),Map!$R$2:$S$14,2,FALSE),""))</f>
        <v/>
      </c>
      <c r="G418" t="str">
        <f t="shared" si="63"/>
        <v/>
      </c>
      <c r="H418" t="str">
        <f t="shared" si="64"/>
        <v/>
      </c>
      <c r="I418" t="str">
        <f>IF(A418="","",IFERROR(VLOOKUP(LEFT(A418,1),Map!$D$2:$E$20,2,FALSE),""))</f>
        <v/>
      </c>
      <c r="J418" t="str">
        <f>IF(OR(H418="",NOT(OR(LEFT(H418,1)="G",LEFT(H418,1)="R"))),"",IFERROR(VLOOKUP(MID(H418,2,1),Map!$J$2:$M$10,2,FALSE),""))</f>
        <v/>
      </c>
      <c r="K418" t="str">
        <f t="shared" si="65"/>
        <v/>
      </c>
      <c r="L418" t="str">
        <f t="shared" si="66"/>
        <v/>
      </c>
      <c r="M418" t="str">
        <f t="shared" si="67"/>
        <v/>
      </c>
      <c r="N418" t="str">
        <f t="shared" si="68"/>
        <v/>
      </c>
      <c r="O418" t="str">
        <f t="shared" si="69"/>
        <v/>
      </c>
      <c r="P418" t="str">
        <f>IF(OR(H418="",NOT(OR(LEFT(H418,1)="G",LEFT(H418,1)="R"))),"",IFERROR(VLOOKUP(MID(H418,3,1),Map!$G$2:$H$10,2,FALSE),""))</f>
        <v/>
      </c>
      <c r="Q418" t="str">
        <f>IF(A418="","",IFERROR(VLOOKUP(MID(A418,4,1),Map!$O$2:$P$10,2,FALSE),""))</f>
        <v/>
      </c>
    </row>
    <row r="419" spans="2:17" x14ac:dyDescent="0.25">
      <c r="B419" t="str">
        <f t="shared" si="60"/>
        <v/>
      </c>
      <c r="C419" t="str">
        <f t="shared" si="61"/>
        <v>**</v>
      </c>
      <c r="D419" t="str">
        <f t="shared" si="62"/>
        <v/>
      </c>
      <c r="E419" t="str">
        <f>IFERROR(VLOOKUP(MID(A419,7,2),Map!$A$2:$B$20,2,FALSE),"")</f>
        <v/>
      </c>
      <c r="F419" t="str">
        <f>IF(A419="","",IFERROR(VLOOKUP(MID(A419,9,2),Map!$R$2:$S$14,2,FALSE),""))</f>
        <v/>
      </c>
      <c r="G419" t="str">
        <f t="shared" si="63"/>
        <v/>
      </c>
      <c r="H419" t="str">
        <f t="shared" si="64"/>
        <v/>
      </c>
      <c r="I419" t="str">
        <f>IF(A419="","",IFERROR(VLOOKUP(LEFT(A419,1),Map!$D$2:$E$20,2,FALSE),""))</f>
        <v/>
      </c>
      <c r="J419" t="str">
        <f>IF(OR(H419="",NOT(OR(LEFT(H419,1)="G",LEFT(H419,1)="R"))),"",IFERROR(VLOOKUP(MID(H419,2,1),Map!$J$2:$M$10,2,FALSE),""))</f>
        <v/>
      </c>
      <c r="K419" t="str">
        <f t="shared" si="65"/>
        <v/>
      </c>
      <c r="L419" t="str">
        <f t="shared" si="66"/>
        <v/>
      </c>
      <c r="M419" t="str">
        <f t="shared" si="67"/>
        <v/>
      </c>
      <c r="N419" t="str">
        <f t="shared" si="68"/>
        <v/>
      </c>
      <c r="O419" t="str">
        <f t="shared" si="69"/>
        <v/>
      </c>
      <c r="P419" t="str">
        <f>IF(OR(H419="",NOT(OR(LEFT(H419,1)="G",LEFT(H419,1)="R"))),"",IFERROR(VLOOKUP(MID(H419,3,1),Map!$G$2:$H$10,2,FALSE),""))</f>
        <v/>
      </c>
      <c r="Q419" t="str">
        <f>IF(A419="","",IFERROR(VLOOKUP(MID(A419,4,1),Map!$O$2:$P$10,2,FALSE),""))</f>
        <v/>
      </c>
    </row>
    <row r="420" spans="2:17" x14ac:dyDescent="0.25">
      <c r="B420" t="str">
        <f t="shared" si="60"/>
        <v/>
      </c>
      <c r="C420" t="str">
        <f t="shared" si="61"/>
        <v>**</v>
      </c>
      <c r="D420" t="str">
        <f t="shared" si="62"/>
        <v/>
      </c>
      <c r="E420" t="str">
        <f>IFERROR(VLOOKUP(MID(A420,7,2),Map!$A$2:$B$20,2,FALSE),"")</f>
        <v/>
      </c>
      <c r="F420" t="str">
        <f>IF(A420="","",IFERROR(VLOOKUP(MID(A420,9,2),Map!$R$2:$S$14,2,FALSE),""))</f>
        <v/>
      </c>
      <c r="G420" t="str">
        <f t="shared" si="63"/>
        <v/>
      </c>
      <c r="H420" t="str">
        <f t="shared" si="64"/>
        <v/>
      </c>
      <c r="I420" t="str">
        <f>IF(A420="","",IFERROR(VLOOKUP(LEFT(A420,1),Map!$D$2:$E$20,2,FALSE),""))</f>
        <v/>
      </c>
      <c r="J420" t="str">
        <f>IF(OR(H420="",NOT(OR(LEFT(H420,1)="G",LEFT(H420,1)="R"))),"",IFERROR(VLOOKUP(MID(H420,2,1),Map!$J$2:$M$10,2,FALSE),""))</f>
        <v/>
      </c>
      <c r="K420" t="str">
        <f t="shared" si="65"/>
        <v/>
      </c>
      <c r="L420" t="str">
        <f t="shared" si="66"/>
        <v/>
      </c>
      <c r="M420" t="str">
        <f t="shared" si="67"/>
        <v/>
      </c>
      <c r="N420" t="str">
        <f t="shared" si="68"/>
        <v/>
      </c>
      <c r="O420" t="str">
        <f t="shared" si="69"/>
        <v/>
      </c>
      <c r="P420" t="str">
        <f>IF(OR(H420="",NOT(OR(LEFT(H420,1)="G",LEFT(H420,1)="R"))),"",IFERROR(VLOOKUP(MID(H420,3,1),Map!$G$2:$H$10,2,FALSE),""))</f>
        <v/>
      </c>
      <c r="Q420" t="str">
        <f>IF(A420="","",IFERROR(VLOOKUP(MID(A420,4,1),Map!$O$2:$P$10,2,FALSE),""))</f>
        <v/>
      </c>
    </row>
    <row r="421" spans="2:17" x14ac:dyDescent="0.25">
      <c r="B421" t="str">
        <f t="shared" si="60"/>
        <v/>
      </c>
      <c r="C421" t="str">
        <f t="shared" si="61"/>
        <v>**</v>
      </c>
      <c r="D421" t="str">
        <f t="shared" si="62"/>
        <v/>
      </c>
      <c r="E421" t="str">
        <f>IFERROR(VLOOKUP(MID(A421,7,2),Map!$A$2:$B$20,2,FALSE),"")</f>
        <v/>
      </c>
      <c r="F421" t="str">
        <f>IF(A421="","",IFERROR(VLOOKUP(MID(A421,9,2),Map!$R$2:$S$14,2,FALSE),""))</f>
        <v/>
      </c>
      <c r="G421" t="str">
        <f t="shared" si="63"/>
        <v/>
      </c>
      <c r="H421" t="str">
        <f t="shared" si="64"/>
        <v/>
      </c>
      <c r="I421" t="str">
        <f>IF(A421="","",IFERROR(VLOOKUP(LEFT(A421,1),Map!$D$2:$E$20,2,FALSE),""))</f>
        <v/>
      </c>
      <c r="J421" t="str">
        <f>IF(OR(H421="",NOT(OR(LEFT(H421,1)="G",LEFT(H421,1)="R"))),"",IFERROR(VLOOKUP(MID(H421,2,1),Map!$J$2:$M$10,2,FALSE),""))</f>
        <v/>
      </c>
      <c r="K421" t="str">
        <f t="shared" si="65"/>
        <v/>
      </c>
      <c r="L421" t="str">
        <f t="shared" si="66"/>
        <v/>
      </c>
      <c r="M421" t="str">
        <f t="shared" si="67"/>
        <v/>
      </c>
      <c r="N421" t="str">
        <f t="shared" si="68"/>
        <v/>
      </c>
      <c r="O421" t="str">
        <f t="shared" si="69"/>
        <v/>
      </c>
      <c r="P421" t="str">
        <f>IF(OR(H421="",NOT(OR(LEFT(H421,1)="G",LEFT(H421,1)="R"))),"",IFERROR(VLOOKUP(MID(H421,3,1),Map!$G$2:$H$10,2,FALSE),""))</f>
        <v/>
      </c>
      <c r="Q421" t="str">
        <f>IF(A421="","",IFERROR(VLOOKUP(MID(A421,4,1),Map!$O$2:$P$10,2,FALSE),""))</f>
        <v/>
      </c>
    </row>
    <row r="422" spans="2:17" x14ac:dyDescent="0.25">
      <c r="B422" t="str">
        <f t="shared" si="60"/>
        <v/>
      </c>
      <c r="C422" t="str">
        <f t="shared" si="61"/>
        <v>**</v>
      </c>
      <c r="D422" t="str">
        <f t="shared" si="62"/>
        <v/>
      </c>
      <c r="E422" t="str">
        <f>IFERROR(VLOOKUP(MID(A422,7,2),Map!$A$2:$B$20,2,FALSE),"")</f>
        <v/>
      </c>
      <c r="F422" t="str">
        <f>IF(A422="","",IFERROR(VLOOKUP(MID(A422,9,2),Map!$R$2:$S$14,2,FALSE),""))</f>
        <v/>
      </c>
      <c r="G422" t="str">
        <f t="shared" si="63"/>
        <v/>
      </c>
      <c r="H422" t="str">
        <f t="shared" si="64"/>
        <v/>
      </c>
      <c r="I422" t="str">
        <f>IF(A422="","",IFERROR(VLOOKUP(LEFT(A422,1),Map!$D$2:$E$20,2,FALSE),""))</f>
        <v/>
      </c>
      <c r="J422" t="str">
        <f>IF(OR(H422="",NOT(OR(LEFT(H422,1)="G",LEFT(H422,1)="R"))),"",IFERROR(VLOOKUP(MID(H422,2,1),Map!$J$2:$M$10,2,FALSE),""))</f>
        <v/>
      </c>
      <c r="K422" t="str">
        <f t="shared" si="65"/>
        <v/>
      </c>
      <c r="L422" t="str">
        <f t="shared" si="66"/>
        <v/>
      </c>
      <c r="M422" t="str">
        <f t="shared" si="67"/>
        <v/>
      </c>
      <c r="N422" t="str">
        <f t="shared" si="68"/>
        <v/>
      </c>
      <c r="O422" t="str">
        <f t="shared" si="69"/>
        <v/>
      </c>
      <c r="P422" t="str">
        <f>IF(OR(H422="",NOT(OR(LEFT(H422,1)="G",LEFT(H422,1)="R"))),"",IFERROR(VLOOKUP(MID(H422,3,1),Map!$G$2:$H$10,2,FALSE),""))</f>
        <v/>
      </c>
      <c r="Q422" t="str">
        <f>IF(A422="","",IFERROR(VLOOKUP(MID(A422,4,1),Map!$O$2:$P$10,2,FALSE),""))</f>
        <v/>
      </c>
    </row>
    <row r="423" spans="2:17" x14ac:dyDescent="0.25">
      <c r="B423" t="str">
        <f t="shared" si="60"/>
        <v/>
      </c>
      <c r="C423" t="str">
        <f t="shared" si="61"/>
        <v>**</v>
      </c>
      <c r="D423" t="str">
        <f t="shared" si="62"/>
        <v/>
      </c>
      <c r="E423" t="str">
        <f>IFERROR(VLOOKUP(MID(A423,7,2),Map!$A$2:$B$20,2,FALSE),"")</f>
        <v/>
      </c>
      <c r="F423" t="str">
        <f>IF(A423="","",IFERROR(VLOOKUP(MID(A423,9,2),Map!$R$2:$S$14,2,FALSE),""))</f>
        <v/>
      </c>
      <c r="G423" t="str">
        <f t="shared" si="63"/>
        <v/>
      </c>
      <c r="H423" t="str">
        <f t="shared" si="64"/>
        <v/>
      </c>
      <c r="I423" t="str">
        <f>IF(A423="","",IFERROR(VLOOKUP(LEFT(A423,1),Map!$D$2:$E$20,2,FALSE),""))</f>
        <v/>
      </c>
      <c r="J423" t="str">
        <f>IF(OR(H423="",NOT(OR(LEFT(H423,1)="G",LEFT(H423,1)="R"))),"",IFERROR(VLOOKUP(MID(H423,2,1),Map!$J$2:$M$10,2,FALSE),""))</f>
        <v/>
      </c>
      <c r="K423" t="str">
        <f t="shared" si="65"/>
        <v/>
      </c>
      <c r="L423" t="str">
        <f t="shared" si="66"/>
        <v/>
      </c>
      <c r="M423" t="str">
        <f t="shared" si="67"/>
        <v/>
      </c>
      <c r="N423" t="str">
        <f t="shared" si="68"/>
        <v/>
      </c>
      <c r="O423" t="str">
        <f t="shared" si="69"/>
        <v/>
      </c>
      <c r="P423" t="str">
        <f>IF(OR(H423="",NOT(OR(LEFT(H423,1)="G",LEFT(H423,1)="R"))),"",IFERROR(VLOOKUP(MID(H423,3,1),Map!$G$2:$H$10,2,FALSE),""))</f>
        <v/>
      </c>
      <c r="Q423" t="str">
        <f>IF(A423="","",IFERROR(VLOOKUP(MID(A423,4,1),Map!$O$2:$P$10,2,FALSE),""))</f>
        <v/>
      </c>
    </row>
    <row r="424" spans="2:17" x14ac:dyDescent="0.25">
      <c r="B424" t="str">
        <f t="shared" si="60"/>
        <v/>
      </c>
      <c r="C424" t="str">
        <f t="shared" si="61"/>
        <v>**</v>
      </c>
      <c r="D424" t="str">
        <f t="shared" si="62"/>
        <v/>
      </c>
      <c r="E424" t="str">
        <f>IFERROR(VLOOKUP(MID(A424,7,2),Map!$A$2:$B$20,2,FALSE),"")</f>
        <v/>
      </c>
      <c r="F424" t="str">
        <f>IF(A424="","",IFERROR(VLOOKUP(MID(A424,9,2),Map!$R$2:$S$14,2,FALSE),""))</f>
        <v/>
      </c>
      <c r="G424" t="str">
        <f t="shared" si="63"/>
        <v/>
      </c>
      <c r="H424" t="str">
        <f t="shared" si="64"/>
        <v/>
      </c>
      <c r="I424" t="str">
        <f>IF(A424="","",IFERROR(VLOOKUP(LEFT(A424,1),Map!$D$2:$E$20,2,FALSE),""))</f>
        <v/>
      </c>
      <c r="J424" t="str">
        <f>IF(OR(H424="",NOT(OR(LEFT(H424,1)="G",LEFT(H424,1)="R"))),"",IFERROR(VLOOKUP(MID(H424,2,1),Map!$J$2:$M$10,2,FALSE),""))</f>
        <v/>
      </c>
      <c r="K424" t="str">
        <f t="shared" si="65"/>
        <v/>
      </c>
      <c r="L424" t="str">
        <f t="shared" si="66"/>
        <v/>
      </c>
      <c r="M424" t="str">
        <f t="shared" si="67"/>
        <v/>
      </c>
      <c r="N424" t="str">
        <f t="shared" si="68"/>
        <v/>
      </c>
      <c r="O424" t="str">
        <f t="shared" si="69"/>
        <v/>
      </c>
      <c r="P424" t="str">
        <f>IF(OR(H424="",NOT(OR(LEFT(H424,1)="G",LEFT(H424,1)="R"))),"",IFERROR(VLOOKUP(MID(H424,3,1),Map!$G$2:$H$10,2,FALSE),""))</f>
        <v/>
      </c>
      <c r="Q424" t="str">
        <f>IF(A424="","",IFERROR(VLOOKUP(MID(A424,4,1),Map!$O$2:$P$10,2,FALSE),""))</f>
        <v/>
      </c>
    </row>
    <row r="425" spans="2:17" x14ac:dyDescent="0.25">
      <c r="B425" t="str">
        <f t="shared" si="60"/>
        <v/>
      </c>
      <c r="C425" t="str">
        <f t="shared" si="61"/>
        <v>**</v>
      </c>
      <c r="D425" t="str">
        <f t="shared" si="62"/>
        <v/>
      </c>
      <c r="E425" t="str">
        <f>IFERROR(VLOOKUP(MID(A425,7,2),Map!$A$2:$B$20,2,FALSE),"")</f>
        <v/>
      </c>
      <c r="F425" t="str">
        <f>IF(A425="","",IFERROR(VLOOKUP(MID(A425,9,2),Map!$R$2:$S$14,2,FALSE),""))</f>
        <v/>
      </c>
      <c r="G425" t="str">
        <f t="shared" si="63"/>
        <v/>
      </c>
      <c r="H425" t="str">
        <f t="shared" si="64"/>
        <v/>
      </c>
      <c r="I425" t="str">
        <f>IF(A425="","",IFERROR(VLOOKUP(LEFT(A425,1),Map!$D$2:$E$20,2,FALSE),""))</f>
        <v/>
      </c>
      <c r="J425" t="str">
        <f>IF(OR(H425="",NOT(OR(LEFT(H425,1)="G",LEFT(H425,1)="R"))),"",IFERROR(VLOOKUP(MID(H425,2,1),Map!$J$2:$M$10,2,FALSE),""))</f>
        <v/>
      </c>
      <c r="K425" t="str">
        <f t="shared" si="65"/>
        <v/>
      </c>
      <c r="L425" t="str">
        <f t="shared" si="66"/>
        <v/>
      </c>
      <c r="M425" t="str">
        <f t="shared" si="67"/>
        <v/>
      </c>
      <c r="N425" t="str">
        <f t="shared" si="68"/>
        <v/>
      </c>
      <c r="O425" t="str">
        <f t="shared" si="69"/>
        <v/>
      </c>
      <c r="P425" t="str">
        <f>IF(OR(H425="",NOT(OR(LEFT(H425,1)="G",LEFT(H425,1)="R"))),"",IFERROR(VLOOKUP(MID(H425,3,1),Map!$G$2:$H$10,2,FALSE),""))</f>
        <v/>
      </c>
      <c r="Q425" t="str">
        <f>IF(A425="","",IFERROR(VLOOKUP(MID(A425,4,1),Map!$O$2:$P$10,2,FALSE),""))</f>
        <v/>
      </c>
    </row>
    <row r="426" spans="2:17" x14ac:dyDescent="0.25">
      <c r="B426" t="str">
        <f t="shared" si="60"/>
        <v/>
      </c>
      <c r="C426" t="str">
        <f t="shared" si="61"/>
        <v>**</v>
      </c>
      <c r="D426" t="str">
        <f t="shared" si="62"/>
        <v/>
      </c>
      <c r="E426" t="str">
        <f>IFERROR(VLOOKUP(MID(A426,7,2),Map!$A$2:$B$20,2,FALSE),"")</f>
        <v/>
      </c>
      <c r="F426" t="str">
        <f>IF(A426="","",IFERROR(VLOOKUP(MID(A426,9,2),Map!$R$2:$S$14,2,FALSE),""))</f>
        <v/>
      </c>
      <c r="G426" t="str">
        <f t="shared" si="63"/>
        <v/>
      </c>
      <c r="H426" t="str">
        <f t="shared" si="64"/>
        <v/>
      </c>
      <c r="I426" t="str">
        <f>IF(A426="","",IFERROR(VLOOKUP(LEFT(A426,1),Map!$D$2:$E$20,2,FALSE),""))</f>
        <v/>
      </c>
      <c r="J426" t="str">
        <f>IF(OR(H426="",NOT(OR(LEFT(H426,1)="G",LEFT(H426,1)="R"))),"",IFERROR(VLOOKUP(MID(H426,2,1),Map!$J$2:$M$10,2,FALSE),""))</f>
        <v/>
      </c>
      <c r="K426" t="str">
        <f t="shared" si="65"/>
        <v/>
      </c>
      <c r="L426" t="str">
        <f t="shared" si="66"/>
        <v/>
      </c>
      <c r="M426" t="str">
        <f t="shared" si="67"/>
        <v/>
      </c>
      <c r="N426" t="str">
        <f t="shared" si="68"/>
        <v/>
      </c>
      <c r="O426" t="str">
        <f t="shared" si="69"/>
        <v/>
      </c>
      <c r="P426" t="str">
        <f>IF(OR(H426="",NOT(OR(LEFT(H426,1)="G",LEFT(H426,1)="R"))),"",IFERROR(VLOOKUP(MID(H426,3,1),Map!$G$2:$H$10,2,FALSE),""))</f>
        <v/>
      </c>
      <c r="Q426" t="str">
        <f>IF(A426="","",IFERROR(VLOOKUP(MID(A426,4,1),Map!$O$2:$P$10,2,FALSE),""))</f>
        <v/>
      </c>
    </row>
    <row r="427" spans="2:17" x14ac:dyDescent="0.25">
      <c r="B427" t="str">
        <f t="shared" si="60"/>
        <v/>
      </c>
      <c r="C427" t="str">
        <f t="shared" si="61"/>
        <v>**</v>
      </c>
      <c r="D427" t="str">
        <f t="shared" si="62"/>
        <v/>
      </c>
      <c r="E427" t="str">
        <f>IFERROR(VLOOKUP(MID(A427,7,2),Map!$A$2:$B$20,2,FALSE),"")</f>
        <v/>
      </c>
      <c r="F427" t="str">
        <f>IF(A427="","",IFERROR(VLOOKUP(MID(A427,9,2),Map!$R$2:$S$14,2,FALSE),""))</f>
        <v/>
      </c>
      <c r="G427" t="str">
        <f t="shared" si="63"/>
        <v/>
      </c>
      <c r="H427" t="str">
        <f t="shared" si="64"/>
        <v/>
      </c>
      <c r="I427" t="str">
        <f>IF(A427="","",IFERROR(VLOOKUP(LEFT(A427,1),Map!$D$2:$E$20,2,FALSE),""))</f>
        <v/>
      </c>
      <c r="J427" t="str">
        <f>IF(OR(H427="",NOT(OR(LEFT(H427,1)="G",LEFT(H427,1)="R"))),"",IFERROR(VLOOKUP(MID(H427,2,1),Map!$J$2:$M$10,2,FALSE),""))</f>
        <v/>
      </c>
      <c r="K427" t="str">
        <f t="shared" si="65"/>
        <v/>
      </c>
      <c r="L427" t="str">
        <f t="shared" si="66"/>
        <v/>
      </c>
      <c r="M427" t="str">
        <f t="shared" si="67"/>
        <v/>
      </c>
      <c r="N427" t="str">
        <f t="shared" si="68"/>
        <v/>
      </c>
      <c r="O427" t="str">
        <f t="shared" si="69"/>
        <v/>
      </c>
      <c r="P427" t="str">
        <f>IF(OR(H427="",NOT(OR(LEFT(H427,1)="G",LEFT(H427,1)="R"))),"",IFERROR(VLOOKUP(MID(H427,3,1),Map!$G$2:$H$10,2,FALSE),""))</f>
        <v/>
      </c>
      <c r="Q427" t="str">
        <f>IF(A427="","",IFERROR(VLOOKUP(MID(A427,4,1),Map!$O$2:$P$10,2,FALSE),""))</f>
        <v/>
      </c>
    </row>
    <row r="428" spans="2:17" x14ac:dyDescent="0.25">
      <c r="B428" t="str">
        <f t="shared" si="60"/>
        <v/>
      </c>
      <c r="C428" t="str">
        <f t="shared" si="61"/>
        <v>**</v>
      </c>
      <c r="D428" t="str">
        <f t="shared" si="62"/>
        <v/>
      </c>
      <c r="E428" t="str">
        <f>IFERROR(VLOOKUP(MID(A428,7,2),Map!$A$2:$B$20,2,FALSE),"")</f>
        <v/>
      </c>
      <c r="F428" t="str">
        <f>IF(A428="","",IFERROR(VLOOKUP(MID(A428,9,2),Map!$R$2:$S$14,2,FALSE),""))</f>
        <v/>
      </c>
      <c r="G428" t="str">
        <f t="shared" si="63"/>
        <v/>
      </c>
      <c r="H428" t="str">
        <f t="shared" si="64"/>
        <v/>
      </c>
      <c r="I428" t="str">
        <f>IF(A428="","",IFERROR(VLOOKUP(LEFT(A428,1),Map!$D$2:$E$20,2,FALSE),""))</f>
        <v/>
      </c>
      <c r="J428" t="str">
        <f>IF(OR(H428="",NOT(OR(LEFT(H428,1)="G",LEFT(H428,1)="R"))),"",IFERROR(VLOOKUP(MID(H428,2,1),Map!$J$2:$M$10,2,FALSE),""))</f>
        <v/>
      </c>
      <c r="K428" t="str">
        <f t="shared" si="65"/>
        <v/>
      </c>
      <c r="L428" t="str">
        <f t="shared" si="66"/>
        <v/>
      </c>
      <c r="M428" t="str">
        <f t="shared" si="67"/>
        <v/>
      </c>
      <c r="N428" t="str">
        <f t="shared" si="68"/>
        <v/>
      </c>
      <c r="O428" t="str">
        <f t="shared" si="69"/>
        <v/>
      </c>
      <c r="P428" t="str">
        <f>IF(OR(H428="",NOT(OR(LEFT(H428,1)="G",LEFT(H428,1)="R"))),"",IFERROR(VLOOKUP(MID(H428,3,1),Map!$G$2:$H$10,2,FALSE),""))</f>
        <v/>
      </c>
      <c r="Q428" t="str">
        <f>IF(A428="","",IFERROR(VLOOKUP(MID(A428,4,1),Map!$O$2:$P$10,2,FALSE),""))</f>
        <v/>
      </c>
    </row>
    <row r="429" spans="2:17" x14ac:dyDescent="0.25">
      <c r="B429" t="str">
        <f t="shared" si="60"/>
        <v/>
      </c>
      <c r="C429" t="str">
        <f t="shared" si="61"/>
        <v>**</v>
      </c>
      <c r="D429" t="str">
        <f t="shared" si="62"/>
        <v/>
      </c>
      <c r="E429" t="str">
        <f>IFERROR(VLOOKUP(MID(A429,7,2),Map!$A$2:$B$20,2,FALSE),"")</f>
        <v/>
      </c>
      <c r="F429" t="str">
        <f>IF(A429="","",IFERROR(VLOOKUP(MID(A429,9,2),Map!$R$2:$S$14,2,FALSE),""))</f>
        <v/>
      </c>
      <c r="G429" t="str">
        <f t="shared" si="63"/>
        <v/>
      </c>
      <c r="H429" t="str">
        <f t="shared" si="64"/>
        <v/>
      </c>
      <c r="I429" t="str">
        <f>IF(A429="","",IFERROR(VLOOKUP(LEFT(A429,1),Map!$D$2:$E$20,2,FALSE),""))</f>
        <v/>
      </c>
      <c r="J429" t="str">
        <f>IF(OR(H429="",NOT(OR(LEFT(H429,1)="G",LEFT(H429,1)="R"))),"",IFERROR(VLOOKUP(MID(H429,2,1),Map!$J$2:$M$10,2,FALSE),""))</f>
        <v/>
      </c>
      <c r="K429" t="str">
        <f t="shared" si="65"/>
        <v/>
      </c>
      <c r="L429" t="str">
        <f t="shared" si="66"/>
        <v/>
      </c>
      <c r="M429" t="str">
        <f t="shared" si="67"/>
        <v/>
      </c>
      <c r="N429" t="str">
        <f t="shared" si="68"/>
        <v/>
      </c>
      <c r="O429" t="str">
        <f t="shared" si="69"/>
        <v/>
      </c>
      <c r="P429" t="str">
        <f>IF(OR(H429="",NOT(OR(LEFT(H429,1)="G",LEFT(H429,1)="R"))),"",IFERROR(VLOOKUP(MID(H429,3,1),Map!$G$2:$H$10,2,FALSE),""))</f>
        <v/>
      </c>
      <c r="Q429" t="str">
        <f>IF(A429="","",IFERROR(VLOOKUP(MID(A429,4,1),Map!$O$2:$P$10,2,FALSE),""))</f>
        <v/>
      </c>
    </row>
    <row r="430" spans="2:17" x14ac:dyDescent="0.25">
      <c r="B430" t="str">
        <f t="shared" si="60"/>
        <v/>
      </c>
      <c r="C430" t="str">
        <f t="shared" si="61"/>
        <v>**</v>
      </c>
      <c r="D430" t="str">
        <f t="shared" si="62"/>
        <v/>
      </c>
      <c r="E430" t="str">
        <f>IFERROR(VLOOKUP(MID(A430,7,2),Map!$A$2:$B$20,2,FALSE),"")</f>
        <v/>
      </c>
      <c r="F430" t="str">
        <f>IF(A430="","",IFERROR(VLOOKUP(MID(A430,9,2),Map!$R$2:$S$14,2,FALSE),""))</f>
        <v/>
      </c>
      <c r="G430" t="str">
        <f t="shared" si="63"/>
        <v/>
      </c>
      <c r="H430" t="str">
        <f t="shared" si="64"/>
        <v/>
      </c>
      <c r="I430" t="str">
        <f>IF(A430="","",IFERROR(VLOOKUP(LEFT(A430,1),Map!$D$2:$E$20,2,FALSE),""))</f>
        <v/>
      </c>
      <c r="J430" t="str">
        <f>IF(OR(H430="",NOT(OR(LEFT(H430,1)="G",LEFT(H430,1)="R"))),"",IFERROR(VLOOKUP(MID(H430,2,1),Map!$J$2:$M$10,2,FALSE),""))</f>
        <v/>
      </c>
      <c r="K430" t="str">
        <f t="shared" si="65"/>
        <v/>
      </c>
      <c r="L430" t="str">
        <f t="shared" si="66"/>
        <v/>
      </c>
      <c r="M430" t="str">
        <f t="shared" si="67"/>
        <v/>
      </c>
      <c r="N430" t="str">
        <f t="shared" si="68"/>
        <v/>
      </c>
      <c r="O430" t="str">
        <f t="shared" si="69"/>
        <v/>
      </c>
      <c r="P430" t="str">
        <f>IF(OR(H430="",NOT(OR(LEFT(H430,1)="G",LEFT(H430,1)="R"))),"",IFERROR(VLOOKUP(MID(H430,3,1),Map!$G$2:$H$10,2,FALSE),""))</f>
        <v/>
      </c>
      <c r="Q430" t="str">
        <f>IF(A430="","",IFERROR(VLOOKUP(MID(A430,4,1),Map!$O$2:$P$10,2,FALSE),""))</f>
        <v/>
      </c>
    </row>
    <row r="431" spans="2:17" x14ac:dyDescent="0.25">
      <c r="B431" t="str">
        <f t="shared" si="60"/>
        <v/>
      </c>
      <c r="C431" t="str">
        <f t="shared" si="61"/>
        <v>**</v>
      </c>
      <c r="D431" t="str">
        <f t="shared" si="62"/>
        <v/>
      </c>
      <c r="E431" t="str">
        <f>IFERROR(VLOOKUP(MID(A431,7,2),Map!$A$2:$B$20,2,FALSE),"")</f>
        <v/>
      </c>
      <c r="F431" t="str">
        <f>IF(A431="","",IFERROR(VLOOKUP(MID(A431,9,2),Map!$R$2:$S$14,2,FALSE),""))</f>
        <v/>
      </c>
      <c r="G431" t="str">
        <f t="shared" si="63"/>
        <v/>
      </c>
      <c r="H431" t="str">
        <f t="shared" si="64"/>
        <v/>
      </c>
      <c r="I431" t="str">
        <f>IF(A431="","",IFERROR(VLOOKUP(LEFT(A431,1),Map!$D$2:$E$20,2,FALSE),""))</f>
        <v/>
      </c>
      <c r="J431" t="str">
        <f>IF(OR(H431="",NOT(OR(LEFT(H431,1)="G",LEFT(H431,1)="R"))),"",IFERROR(VLOOKUP(MID(H431,2,1),Map!$J$2:$M$10,2,FALSE),""))</f>
        <v/>
      </c>
      <c r="K431" t="str">
        <f t="shared" si="65"/>
        <v/>
      </c>
      <c r="L431" t="str">
        <f t="shared" si="66"/>
        <v/>
      </c>
      <c r="M431" t="str">
        <f t="shared" si="67"/>
        <v/>
      </c>
      <c r="N431" t="str">
        <f t="shared" si="68"/>
        <v/>
      </c>
      <c r="O431" t="str">
        <f t="shared" si="69"/>
        <v/>
      </c>
      <c r="P431" t="str">
        <f>IF(OR(H431="",NOT(OR(LEFT(H431,1)="G",LEFT(H431,1)="R"))),"",IFERROR(VLOOKUP(MID(H431,3,1),Map!$G$2:$H$10,2,FALSE),""))</f>
        <v/>
      </c>
      <c r="Q431" t="str">
        <f>IF(A431="","",IFERROR(VLOOKUP(MID(A431,4,1),Map!$O$2:$P$10,2,FALSE),""))</f>
        <v/>
      </c>
    </row>
    <row r="432" spans="2:17" x14ac:dyDescent="0.25">
      <c r="B432" t="str">
        <f t="shared" si="60"/>
        <v/>
      </c>
      <c r="C432" t="str">
        <f t="shared" si="61"/>
        <v>**</v>
      </c>
      <c r="D432" t="str">
        <f t="shared" si="62"/>
        <v/>
      </c>
      <c r="E432" t="str">
        <f>IFERROR(VLOOKUP(MID(A432,7,2),Map!$A$2:$B$20,2,FALSE),"")</f>
        <v/>
      </c>
      <c r="F432" t="str">
        <f>IF(A432="","",IFERROR(VLOOKUP(MID(A432,9,2),Map!$R$2:$S$14,2,FALSE),""))</f>
        <v/>
      </c>
      <c r="G432" t="str">
        <f t="shared" si="63"/>
        <v/>
      </c>
      <c r="H432" t="str">
        <f t="shared" si="64"/>
        <v/>
      </c>
      <c r="I432" t="str">
        <f>IF(A432="","",IFERROR(VLOOKUP(LEFT(A432,1),Map!$D$2:$E$20,2,FALSE),""))</f>
        <v/>
      </c>
      <c r="J432" t="str">
        <f>IF(OR(H432="",NOT(OR(LEFT(H432,1)="G",LEFT(H432,1)="R"))),"",IFERROR(VLOOKUP(MID(H432,2,1),Map!$J$2:$M$10,2,FALSE),""))</f>
        <v/>
      </c>
      <c r="K432" t="str">
        <f t="shared" si="65"/>
        <v/>
      </c>
      <c r="L432" t="str">
        <f t="shared" si="66"/>
        <v/>
      </c>
      <c r="M432" t="str">
        <f t="shared" si="67"/>
        <v/>
      </c>
      <c r="N432" t="str">
        <f t="shared" si="68"/>
        <v/>
      </c>
      <c r="O432" t="str">
        <f t="shared" si="69"/>
        <v/>
      </c>
      <c r="P432" t="str">
        <f>IF(OR(H432="",NOT(OR(LEFT(H432,1)="G",LEFT(H432,1)="R"))),"",IFERROR(VLOOKUP(MID(H432,3,1),Map!$G$2:$H$10,2,FALSE),""))</f>
        <v/>
      </c>
      <c r="Q432" t="str">
        <f>IF(A432="","",IFERROR(VLOOKUP(MID(A432,4,1),Map!$O$2:$P$10,2,FALSE),""))</f>
        <v/>
      </c>
    </row>
    <row r="433" spans="2:17" x14ac:dyDescent="0.25">
      <c r="B433" t="str">
        <f t="shared" si="60"/>
        <v/>
      </c>
      <c r="C433" t="str">
        <f t="shared" si="61"/>
        <v>**</v>
      </c>
      <c r="D433" t="str">
        <f t="shared" si="62"/>
        <v/>
      </c>
      <c r="E433" t="str">
        <f>IFERROR(VLOOKUP(MID(A433,7,2),Map!$A$2:$B$20,2,FALSE),"")</f>
        <v/>
      </c>
      <c r="F433" t="str">
        <f>IF(A433="","",IFERROR(VLOOKUP(MID(A433,9,2),Map!$R$2:$S$14,2,FALSE),""))</f>
        <v/>
      </c>
      <c r="G433" t="str">
        <f t="shared" si="63"/>
        <v/>
      </c>
      <c r="H433" t="str">
        <f t="shared" si="64"/>
        <v/>
      </c>
      <c r="I433" t="str">
        <f>IF(A433="","",IFERROR(VLOOKUP(LEFT(A433,1),Map!$D$2:$E$20,2,FALSE),""))</f>
        <v/>
      </c>
      <c r="J433" t="str">
        <f>IF(OR(H433="",NOT(OR(LEFT(H433,1)="G",LEFT(H433,1)="R"))),"",IFERROR(VLOOKUP(MID(H433,2,1),Map!$J$2:$M$10,2,FALSE),""))</f>
        <v/>
      </c>
      <c r="K433" t="str">
        <f t="shared" si="65"/>
        <v/>
      </c>
      <c r="L433" t="str">
        <f t="shared" si="66"/>
        <v/>
      </c>
      <c r="M433" t="str">
        <f t="shared" si="67"/>
        <v/>
      </c>
      <c r="N433" t="str">
        <f t="shared" si="68"/>
        <v/>
      </c>
      <c r="O433" t="str">
        <f t="shared" si="69"/>
        <v/>
      </c>
      <c r="P433" t="str">
        <f>IF(OR(H433="",NOT(OR(LEFT(H433,1)="G",LEFT(H433,1)="R"))),"",IFERROR(VLOOKUP(MID(H433,3,1),Map!$G$2:$H$10,2,FALSE),""))</f>
        <v/>
      </c>
      <c r="Q433" t="str">
        <f>IF(A433="","",IFERROR(VLOOKUP(MID(A433,4,1),Map!$O$2:$P$10,2,FALSE),""))</f>
        <v/>
      </c>
    </row>
    <row r="434" spans="2:17" x14ac:dyDescent="0.25">
      <c r="B434" t="str">
        <f t="shared" si="60"/>
        <v/>
      </c>
      <c r="C434" t="str">
        <f t="shared" si="61"/>
        <v>**</v>
      </c>
      <c r="D434" t="str">
        <f t="shared" si="62"/>
        <v/>
      </c>
      <c r="E434" t="str">
        <f>IFERROR(VLOOKUP(MID(A434,7,2),Map!$A$2:$B$20,2,FALSE),"")</f>
        <v/>
      </c>
      <c r="F434" t="str">
        <f>IF(A434="","",IFERROR(VLOOKUP(MID(A434,9,2),Map!$R$2:$S$14,2,FALSE),""))</f>
        <v/>
      </c>
      <c r="G434" t="str">
        <f t="shared" si="63"/>
        <v/>
      </c>
      <c r="H434" t="str">
        <f t="shared" si="64"/>
        <v/>
      </c>
      <c r="I434" t="str">
        <f>IF(A434="","",IFERROR(VLOOKUP(LEFT(A434,1),Map!$D$2:$E$20,2,FALSE),""))</f>
        <v/>
      </c>
      <c r="J434" t="str">
        <f>IF(OR(H434="",NOT(OR(LEFT(H434,1)="G",LEFT(H434,1)="R"))),"",IFERROR(VLOOKUP(MID(H434,2,1),Map!$J$2:$M$10,2,FALSE),""))</f>
        <v/>
      </c>
      <c r="K434" t="str">
        <f t="shared" si="65"/>
        <v/>
      </c>
      <c r="L434" t="str">
        <f t="shared" si="66"/>
        <v/>
      </c>
      <c r="M434" t="str">
        <f t="shared" si="67"/>
        <v/>
      </c>
      <c r="N434" t="str">
        <f t="shared" si="68"/>
        <v/>
      </c>
      <c r="O434" t="str">
        <f t="shared" si="69"/>
        <v/>
      </c>
      <c r="P434" t="str">
        <f>IF(OR(H434="",NOT(OR(LEFT(H434,1)="G",LEFT(H434,1)="R"))),"",IFERROR(VLOOKUP(MID(H434,3,1),Map!$G$2:$H$10,2,FALSE),""))</f>
        <v/>
      </c>
      <c r="Q434" t="str">
        <f>IF(A434="","",IFERROR(VLOOKUP(MID(A434,4,1),Map!$O$2:$P$10,2,FALSE),""))</f>
        <v/>
      </c>
    </row>
    <row r="435" spans="2:17" x14ac:dyDescent="0.25">
      <c r="B435" t="str">
        <f t="shared" si="60"/>
        <v/>
      </c>
      <c r="C435" t="str">
        <f t="shared" si="61"/>
        <v>**</v>
      </c>
      <c r="D435" t="str">
        <f t="shared" si="62"/>
        <v/>
      </c>
      <c r="E435" t="str">
        <f>IFERROR(VLOOKUP(MID(A435,7,2),Map!$A$2:$B$20,2,FALSE),"")</f>
        <v/>
      </c>
      <c r="F435" t="str">
        <f>IF(A435="","",IFERROR(VLOOKUP(MID(A435,9,2),Map!$R$2:$S$14,2,FALSE),""))</f>
        <v/>
      </c>
      <c r="G435" t="str">
        <f t="shared" si="63"/>
        <v/>
      </c>
      <c r="H435" t="str">
        <f t="shared" si="64"/>
        <v/>
      </c>
      <c r="I435" t="str">
        <f>IF(A435="","",IFERROR(VLOOKUP(LEFT(A435,1),Map!$D$2:$E$20,2,FALSE),""))</f>
        <v/>
      </c>
      <c r="J435" t="str">
        <f>IF(OR(H435="",NOT(OR(LEFT(H435,1)="G",LEFT(H435,1)="R"))),"",IFERROR(VLOOKUP(MID(H435,2,1),Map!$J$2:$M$10,2,FALSE),""))</f>
        <v/>
      </c>
      <c r="K435" t="str">
        <f t="shared" si="65"/>
        <v/>
      </c>
      <c r="L435" t="str">
        <f t="shared" si="66"/>
        <v/>
      </c>
      <c r="M435" t="str">
        <f t="shared" si="67"/>
        <v/>
      </c>
      <c r="N435" t="str">
        <f t="shared" si="68"/>
        <v/>
      </c>
      <c r="O435" t="str">
        <f t="shared" si="69"/>
        <v/>
      </c>
      <c r="P435" t="str">
        <f>IF(OR(H435="",NOT(OR(LEFT(H435,1)="G",LEFT(H435,1)="R"))),"",IFERROR(VLOOKUP(MID(H435,3,1),Map!$G$2:$H$10,2,FALSE),""))</f>
        <v/>
      </c>
      <c r="Q435" t="str">
        <f>IF(A435="","",IFERROR(VLOOKUP(MID(A435,4,1),Map!$O$2:$P$10,2,FALSE),""))</f>
        <v/>
      </c>
    </row>
    <row r="436" spans="2:17" x14ac:dyDescent="0.25">
      <c r="B436" t="str">
        <f t="shared" si="60"/>
        <v/>
      </c>
      <c r="C436" t="str">
        <f t="shared" si="61"/>
        <v>**</v>
      </c>
      <c r="D436" t="str">
        <f t="shared" si="62"/>
        <v/>
      </c>
      <c r="E436" t="str">
        <f>IFERROR(VLOOKUP(MID(A436,7,2),Map!$A$2:$B$20,2,FALSE),"")</f>
        <v/>
      </c>
      <c r="F436" t="str">
        <f>IF(A436="","",IFERROR(VLOOKUP(MID(A436,9,2),Map!$R$2:$S$14,2,FALSE),""))</f>
        <v/>
      </c>
      <c r="G436" t="str">
        <f t="shared" si="63"/>
        <v/>
      </c>
      <c r="H436" t="str">
        <f t="shared" si="64"/>
        <v/>
      </c>
      <c r="I436" t="str">
        <f>IF(A436="","",IFERROR(VLOOKUP(LEFT(A436,1),Map!$D$2:$E$20,2,FALSE),""))</f>
        <v/>
      </c>
      <c r="J436" t="str">
        <f>IF(OR(H436="",NOT(OR(LEFT(H436,1)="G",LEFT(H436,1)="R"))),"",IFERROR(VLOOKUP(MID(H436,2,1),Map!$J$2:$M$10,2,FALSE),""))</f>
        <v/>
      </c>
      <c r="K436" t="str">
        <f t="shared" si="65"/>
        <v/>
      </c>
      <c r="L436" t="str">
        <f t="shared" si="66"/>
        <v/>
      </c>
      <c r="M436" t="str">
        <f t="shared" si="67"/>
        <v/>
      </c>
      <c r="N436" t="str">
        <f t="shared" si="68"/>
        <v/>
      </c>
      <c r="O436" t="str">
        <f t="shared" si="69"/>
        <v/>
      </c>
      <c r="P436" t="str">
        <f>IF(OR(H436="",NOT(OR(LEFT(H436,1)="G",LEFT(H436,1)="R"))),"",IFERROR(VLOOKUP(MID(H436,3,1),Map!$G$2:$H$10,2,FALSE),""))</f>
        <v/>
      </c>
      <c r="Q436" t="str">
        <f>IF(A436="","",IFERROR(VLOOKUP(MID(A436,4,1),Map!$O$2:$P$10,2,FALSE),""))</f>
        <v/>
      </c>
    </row>
    <row r="437" spans="2:17" x14ac:dyDescent="0.25">
      <c r="B437" t="str">
        <f t="shared" si="60"/>
        <v/>
      </c>
      <c r="C437" t="str">
        <f t="shared" si="61"/>
        <v>**</v>
      </c>
      <c r="D437" t="str">
        <f t="shared" si="62"/>
        <v/>
      </c>
      <c r="E437" t="str">
        <f>IFERROR(VLOOKUP(MID(A437,7,2),Map!$A$2:$B$20,2,FALSE),"")</f>
        <v/>
      </c>
      <c r="F437" t="str">
        <f>IF(A437="","",IFERROR(VLOOKUP(MID(A437,9,2),Map!$R$2:$S$14,2,FALSE),""))</f>
        <v/>
      </c>
      <c r="G437" t="str">
        <f t="shared" si="63"/>
        <v/>
      </c>
      <c r="H437" t="str">
        <f t="shared" si="64"/>
        <v/>
      </c>
      <c r="I437" t="str">
        <f>IF(A437="","",IFERROR(VLOOKUP(LEFT(A437,1),Map!$D$2:$E$20,2,FALSE),""))</f>
        <v/>
      </c>
      <c r="J437" t="str">
        <f>IF(OR(H437="",NOT(OR(LEFT(H437,1)="G",LEFT(H437,1)="R"))),"",IFERROR(VLOOKUP(MID(H437,2,1),Map!$J$2:$M$10,2,FALSE),""))</f>
        <v/>
      </c>
      <c r="K437" t="str">
        <f t="shared" si="65"/>
        <v/>
      </c>
      <c r="L437" t="str">
        <f t="shared" si="66"/>
        <v/>
      </c>
      <c r="M437" t="str">
        <f t="shared" si="67"/>
        <v/>
      </c>
      <c r="N437" t="str">
        <f t="shared" si="68"/>
        <v/>
      </c>
      <c r="O437" t="str">
        <f t="shared" si="69"/>
        <v/>
      </c>
      <c r="P437" t="str">
        <f>IF(OR(H437="",NOT(OR(LEFT(H437,1)="G",LEFT(H437,1)="R"))),"",IFERROR(VLOOKUP(MID(H437,3,1),Map!$G$2:$H$10,2,FALSE),""))</f>
        <v/>
      </c>
      <c r="Q437" t="str">
        <f>IF(A437="","",IFERROR(VLOOKUP(MID(A437,4,1),Map!$O$2:$P$10,2,FALSE),""))</f>
        <v/>
      </c>
    </row>
    <row r="438" spans="2:17" x14ac:dyDescent="0.25">
      <c r="B438" t="str">
        <f t="shared" si="60"/>
        <v/>
      </c>
      <c r="C438" t="str">
        <f t="shared" si="61"/>
        <v>**</v>
      </c>
      <c r="D438" t="str">
        <f t="shared" si="62"/>
        <v/>
      </c>
      <c r="E438" t="str">
        <f>IFERROR(VLOOKUP(MID(A438,7,2),Map!$A$2:$B$20,2,FALSE),"")</f>
        <v/>
      </c>
      <c r="F438" t="str">
        <f>IF(A438="","",IFERROR(VLOOKUP(MID(A438,9,2),Map!$R$2:$S$14,2,FALSE),""))</f>
        <v/>
      </c>
      <c r="G438" t="str">
        <f t="shared" si="63"/>
        <v/>
      </c>
      <c r="H438" t="str">
        <f t="shared" si="64"/>
        <v/>
      </c>
      <c r="I438" t="str">
        <f>IF(A438="","",IFERROR(VLOOKUP(LEFT(A438,1),Map!$D$2:$E$20,2,FALSE),""))</f>
        <v/>
      </c>
      <c r="J438" t="str">
        <f>IF(OR(H438="",NOT(OR(LEFT(H438,1)="G",LEFT(H438,1)="R"))),"",IFERROR(VLOOKUP(MID(H438,2,1),Map!$J$2:$M$10,2,FALSE),""))</f>
        <v/>
      </c>
      <c r="K438" t="str">
        <f t="shared" si="65"/>
        <v/>
      </c>
      <c r="L438" t="str">
        <f t="shared" si="66"/>
        <v/>
      </c>
      <c r="M438" t="str">
        <f t="shared" si="67"/>
        <v/>
      </c>
      <c r="N438" t="str">
        <f t="shared" si="68"/>
        <v/>
      </c>
      <c r="O438" t="str">
        <f t="shared" si="69"/>
        <v/>
      </c>
      <c r="P438" t="str">
        <f>IF(OR(H438="",NOT(OR(LEFT(H438,1)="G",LEFT(H438,1)="R"))),"",IFERROR(VLOOKUP(MID(H438,3,1),Map!$G$2:$H$10,2,FALSE),""))</f>
        <v/>
      </c>
      <c r="Q438" t="str">
        <f>IF(A438="","",IFERROR(VLOOKUP(MID(A438,4,1),Map!$O$2:$P$10,2,FALSE),""))</f>
        <v/>
      </c>
    </row>
    <row r="439" spans="2:17" x14ac:dyDescent="0.25">
      <c r="B439" t="str">
        <f t="shared" si="60"/>
        <v/>
      </c>
      <c r="C439" t="str">
        <f t="shared" si="61"/>
        <v>**</v>
      </c>
      <c r="D439" t="str">
        <f t="shared" si="62"/>
        <v/>
      </c>
      <c r="E439" t="str">
        <f>IFERROR(VLOOKUP(MID(A439,7,2),Map!$A$2:$B$20,2,FALSE),"")</f>
        <v/>
      </c>
      <c r="F439" t="str">
        <f>IF(A439="","",IFERROR(VLOOKUP(MID(A439,9,2),Map!$R$2:$S$14,2,FALSE),""))</f>
        <v/>
      </c>
      <c r="G439" t="str">
        <f t="shared" si="63"/>
        <v/>
      </c>
      <c r="H439" t="str">
        <f t="shared" si="64"/>
        <v/>
      </c>
      <c r="I439" t="str">
        <f>IF(A439="","",IFERROR(VLOOKUP(LEFT(A439,1),Map!$D$2:$E$20,2,FALSE),""))</f>
        <v/>
      </c>
      <c r="J439" t="str">
        <f>IF(OR(H439="",NOT(OR(LEFT(H439,1)="G",LEFT(H439,1)="R"))),"",IFERROR(VLOOKUP(MID(H439,2,1),Map!$J$2:$M$10,2,FALSE),""))</f>
        <v/>
      </c>
      <c r="K439" t="str">
        <f t="shared" si="65"/>
        <v/>
      </c>
      <c r="L439" t="str">
        <f t="shared" si="66"/>
        <v/>
      </c>
      <c r="M439" t="str">
        <f t="shared" si="67"/>
        <v/>
      </c>
      <c r="N439" t="str">
        <f t="shared" si="68"/>
        <v/>
      </c>
      <c r="O439" t="str">
        <f t="shared" si="69"/>
        <v/>
      </c>
      <c r="P439" t="str">
        <f>IF(OR(H439="",NOT(OR(LEFT(H439,1)="G",LEFT(H439,1)="R"))),"",IFERROR(VLOOKUP(MID(H439,3,1),Map!$G$2:$H$10,2,FALSE),""))</f>
        <v/>
      </c>
      <c r="Q439" t="str">
        <f>IF(A439="","",IFERROR(VLOOKUP(MID(A439,4,1),Map!$O$2:$P$10,2,FALSE),""))</f>
        <v/>
      </c>
    </row>
    <row r="440" spans="2:17" x14ac:dyDescent="0.25">
      <c r="B440" t="str">
        <f t="shared" si="60"/>
        <v/>
      </c>
      <c r="C440" t="str">
        <f t="shared" si="61"/>
        <v>**</v>
      </c>
      <c r="D440" t="str">
        <f t="shared" si="62"/>
        <v/>
      </c>
      <c r="E440" t="str">
        <f>IFERROR(VLOOKUP(MID(A440,7,2),Map!$A$2:$B$20,2,FALSE),"")</f>
        <v/>
      </c>
      <c r="F440" t="str">
        <f>IF(A440="","",IFERROR(VLOOKUP(MID(A440,9,2),Map!$R$2:$S$14,2,FALSE),""))</f>
        <v/>
      </c>
      <c r="G440" t="str">
        <f t="shared" si="63"/>
        <v/>
      </c>
      <c r="H440" t="str">
        <f t="shared" si="64"/>
        <v/>
      </c>
      <c r="I440" t="str">
        <f>IF(A440="","",IFERROR(VLOOKUP(LEFT(A440,1),Map!$D$2:$E$20,2,FALSE),""))</f>
        <v/>
      </c>
      <c r="J440" t="str">
        <f>IF(OR(H440="",NOT(OR(LEFT(H440,1)="G",LEFT(H440,1)="R"))),"",IFERROR(VLOOKUP(MID(H440,2,1),Map!$J$2:$M$10,2,FALSE),""))</f>
        <v/>
      </c>
      <c r="K440" t="str">
        <f t="shared" si="65"/>
        <v/>
      </c>
      <c r="L440" t="str">
        <f t="shared" si="66"/>
        <v/>
      </c>
      <c r="M440" t="str">
        <f t="shared" si="67"/>
        <v/>
      </c>
      <c r="N440" t="str">
        <f t="shared" si="68"/>
        <v/>
      </c>
      <c r="O440" t="str">
        <f t="shared" si="69"/>
        <v/>
      </c>
      <c r="P440" t="str">
        <f>IF(OR(H440="",NOT(OR(LEFT(H440,1)="G",LEFT(H440,1)="R"))),"",IFERROR(VLOOKUP(MID(H440,3,1),Map!$G$2:$H$10,2,FALSE),""))</f>
        <v/>
      </c>
      <c r="Q440" t="str">
        <f>IF(A440="","",IFERROR(VLOOKUP(MID(A440,4,1),Map!$O$2:$P$10,2,FALSE),""))</f>
        <v/>
      </c>
    </row>
    <row r="441" spans="2:17" x14ac:dyDescent="0.25">
      <c r="B441" t="str">
        <f t="shared" si="60"/>
        <v/>
      </c>
      <c r="C441" t="str">
        <f t="shared" si="61"/>
        <v>**</v>
      </c>
      <c r="D441" t="str">
        <f t="shared" si="62"/>
        <v/>
      </c>
      <c r="E441" t="str">
        <f>IFERROR(VLOOKUP(MID(A441,7,2),Map!$A$2:$B$20,2,FALSE),"")</f>
        <v/>
      </c>
      <c r="F441" t="str">
        <f>IF(A441="","",IFERROR(VLOOKUP(MID(A441,9,2),Map!$R$2:$S$14,2,FALSE),""))</f>
        <v/>
      </c>
      <c r="G441" t="str">
        <f t="shared" si="63"/>
        <v/>
      </c>
      <c r="H441" t="str">
        <f t="shared" si="64"/>
        <v/>
      </c>
      <c r="I441" t="str">
        <f>IF(A441="","",IFERROR(VLOOKUP(LEFT(A441,1),Map!$D$2:$E$20,2,FALSE),""))</f>
        <v/>
      </c>
      <c r="J441" t="str">
        <f>IF(OR(H441="",NOT(OR(LEFT(H441,1)="G",LEFT(H441,1)="R"))),"",IFERROR(VLOOKUP(MID(H441,2,1),Map!$J$2:$M$10,2,FALSE),""))</f>
        <v/>
      </c>
      <c r="K441" t="str">
        <f t="shared" si="65"/>
        <v/>
      </c>
      <c r="L441" t="str">
        <f t="shared" si="66"/>
        <v/>
      </c>
      <c r="M441" t="str">
        <f t="shared" si="67"/>
        <v/>
      </c>
      <c r="N441" t="str">
        <f t="shared" si="68"/>
        <v/>
      </c>
      <c r="O441" t="str">
        <f t="shared" si="69"/>
        <v/>
      </c>
      <c r="P441" t="str">
        <f>IF(OR(H441="",NOT(OR(LEFT(H441,1)="G",LEFT(H441,1)="R"))),"",IFERROR(VLOOKUP(MID(H441,3,1),Map!$G$2:$H$10,2,FALSE),""))</f>
        <v/>
      </c>
      <c r="Q441" t="str">
        <f>IF(A441="","",IFERROR(VLOOKUP(MID(A441,4,1),Map!$O$2:$P$10,2,FALSE),""))</f>
        <v/>
      </c>
    </row>
    <row r="442" spans="2:17" x14ac:dyDescent="0.25">
      <c r="B442" t="str">
        <f t="shared" si="60"/>
        <v/>
      </c>
      <c r="C442" t="str">
        <f t="shared" si="61"/>
        <v>**</v>
      </c>
      <c r="D442" t="str">
        <f t="shared" si="62"/>
        <v/>
      </c>
      <c r="E442" t="str">
        <f>IFERROR(VLOOKUP(MID(A442,7,2),Map!$A$2:$B$20,2,FALSE),"")</f>
        <v/>
      </c>
      <c r="F442" t="str">
        <f>IF(A442="","",IFERROR(VLOOKUP(MID(A442,9,2),Map!$R$2:$S$14,2,FALSE),""))</f>
        <v/>
      </c>
      <c r="G442" t="str">
        <f t="shared" si="63"/>
        <v/>
      </c>
      <c r="H442" t="str">
        <f t="shared" si="64"/>
        <v/>
      </c>
      <c r="I442" t="str">
        <f>IF(A442="","",IFERROR(VLOOKUP(LEFT(A442,1),Map!$D$2:$E$20,2,FALSE),""))</f>
        <v/>
      </c>
      <c r="J442" t="str">
        <f>IF(OR(H442="",NOT(OR(LEFT(H442,1)="G",LEFT(H442,1)="R"))),"",IFERROR(VLOOKUP(MID(H442,2,1),Map!$J$2:$M$10,2,FALSE),""))</f>
        <v/>
      </c>
      <c r="K442" t="str">
        <f t="shared" si="65"/>
        <v/>
      </c>
      <c r="L442" t="str">
        <f t="shared" si="66"/>
        <v/>
      </c>
      <c r="M442" t="str">
        <f t="shared" si="67"/>
        <v/>
      </c>
      <c r="N442" t="str">
        <f t="shared" si="68"/>
        <v/>
      </c>
      <c r="O442" t="str">
        <f t="shared" si="69"/>
        <v/>
      </c>
      <c r="P442" t="str">
        <f>IF(OR(H442="",NOT(OR(LEFT(H442,1)="G",LEFT(H442,1)="R"))),"",IFERROR(VLOOKUP(MID(H442,3,1),Map!$G$2:$H$10,2,FALSE),""))</f>
        <v/>
      </c>
      <c r="Q442" t="str">
        <f>IF(A442="","",IFERROR(VLOOKUP(MID(A442,4,1),Map!$O$2:$P$10,2,FALSE),""))</f>
        <v/>
      </c>
    </row>
    <row r="443" spans="2:17" x14ac:dyDescent="0.25">
      <c r="B443" t="str">
        <f t="shared" si="60"/>
        <v/>
      </c>
      <c r="C443" t="str">
        <f t="shared" si="61"/>
        <v>**</v>
      </c>
      <c r="D443" t="str">
        <f t="shared" si="62"/>
        <v/>
      </c>
      <c r="E443" t="str">
        <f>IFERROR(VLOOKUP(MID(A443,7,2),Map!$A$2:$B$20,2,FALSE),"")</f>
        <v/>
      </c>
      <c r="F443" t="str">
        <f>IF(A443="","",IFERROR(VLOOKUP(MID(A443,9,2),Map!$R$2:$S$14,2,FALSE),""))</f>
        <v/>
      </c>
      <c r="G443" t="str">
        <f t="shared" si="63"/>
        <v/>
      </c>
      <c r="H443" t="str">
        <f t="shared" si="64"/>
        <v/>
      </c>
      <c r="I443" t="str">
        <f>IF(A443="","",IFERROR(VLOOKUP(LEFT(A443,1),Map!$D$2:$E$20,2,FALSE),""))</f>
        <v/>
      </c>
      <c r="J443" t="str">
        <f>IF(OR(H443="",NOT(OR(LEFT(H443,1)="G",LEFT(H443,1)="R"))),"",IFERROR(VLOOKUP(MID(H443,2,1),Map!$J$2:$M$10,2,FALSE),""))</f>
        <v/>
      </c>
      <c r="K443" t="str">
        <f t="shared" si="65"/>
        <v/>
      </c>
      <c r="L443" t="str">
        <f t="shared" si="66"/>
        <v/>
      </c>
      <c r="M443" t="str">
        <f t="shared" si="67"/>
        <v/>
      </c>
      <c r="N443" t="str">
        <f t="shared" si="68"/>
        <v/>
      </c>
      <c r="O443" t="str">
        <f t="shared" si="69"/>
        <v/>
      </c>
      <c r="P443" t="str">
        <f>IF(OR(H443="",NOT(OR(LEFT(H443,1)="G",LEFT(H443,1)="R"))),"",IFERROR(VLOOKUP(MID(H443,3,1),Map!$G$2:$H$10,2,FALSE),""))</f>
        <v/>
      </c>
      <c r="Q443" t="str">
        <f>IF(A443="","",IFERROR(VLOOKUP(MID(A443,4,1),Map!$O$2:$P$10,2,FALSE),""))</f>
        <v/>
      </c>
    </row>
    <row r="444" spans="2:17" x14ac:dyDescent="0.25">
      <c r="B444" t="str">
        <f t="shared" si="60"/>
        <v/>
      </c>
      <c r="C444" t="str">
        <f t="shared" si="61"/>
        <v>**</v>
      </c>
      <c r="D444" t="str">
        <f t="shared" si="62"/>
        <v/>
      </c>
      <c r="E444" t="str">
        <f>IFERROR(VLOOKUP(MID(A444,7,2),Map!$A$2:$B$20,2,FALSE),"")</f>
        <v/>
      </c>
      <c r="F444" t="str">
        <f>IF(A444="","",IFERROR(VLOOKUP(MID(A444,9,2),Map!$R$2:$S$14,2,FALSE),""))</f>
        <v/>
      </c>
      <c r="G444" t="str">
        <f t="shared" si="63"/>
        <v/>
      </c>
      <c r="H444" t="str">
        <f t="shared" si="64"/>
        <v/>
      </c>
      <c r="I444" t="str">
        <f>IF(A444="","",IFERROR(VLOOKUP(LEFT(A444,1),Map!$D$2:$E$20,2,FALSE),""))</f>
        <v/>
      </c>
      <c r="J444" t="str">
        <f>IF(OR(H444="",NOT(OR(LEFT(H444,1)="G",LEFT(H444,1)="R"))),"",IFERROR(VLOOKUP(MID(H444,2,1),Map!$J$2:$M$10,2,FALSE),""))</f>
        <v/>
      </c>
      <c r="K444" t="str">
        <f t="shared" si="65"/>
        <v/>
      </c>
      <c r="L444" t="str">
        <f t="shared" si="66"/>
        <v/>
      </c>
      <c r="M444" t="str">
        <f t="shared" si="67"/>
        <v/>
      </c>
      <c r="N444" t="str">
        <f t="shared" si="68"/>
        <v/>
      </c>
      <c r="O444" t="str">
        <f t="shared" si="69"/>
        <v/>
      </c>
      <c r="P444" t="str">
        <f>IF(OR(H444="",NOT(OR(LEFT(H444,1)="G",LEFT(H444,1)="R"))),"",IFERROR(VLOOKUP(MID(H444,3,1),Map!$G$2:$H$10,2,FALSE),""))</f>
        <v/>
      </c>
      <c r="Q444" t="str">
        <f>IF(A444="","",IFERROR(VLOOKUP(MID(A444,4,1),Map!$O$2:$P$10,2,FALSE),""))</f>
        <v/>
      </c>
    </row>
    <row r="445" spans="2:17" x14ac:dyDescent="0.25">
      <c r="B445" t="str">
        <f t="shared" si="60"/>
        <v/>
      </c>
      <c r="C445" t="str">
        <f t="shared" si="61"/>
        <v>**</v>
      </c>
      <c r="D445" t="str">
        <f t="shared" si="62"/>
        <v/>
      </c>
      <c r="E445" t="str">
        <f>IFERROR(VLOOKUP(MID(A445,7,2),Map!$A$2:$B$20,2,FALSE),"")</f>
        <v/>
      </c>
      <c r="F445" t="str">
        <f>IF(A445="","",IFERROR(VLOOKUP(MID(A445,9,2),Map!$R$2:$S$14,2,FALSE),""))</f>
        <v/>
      </c>
      <c r="G445" t="str">
        <f t="shared" si="63"/>
        <v/>
      </c>
      <c r="H445" t="str">
        <f t="shared" si="64"/>
        <v/>
      </c>
      <c r="I445" t="str">
        <f>IF(A445="","",IFERROR(VLOOKUP(LEFT(A445,1),Map!$D$2:$E$20,2,FALSE),""))</f>
        <v/>
      </c>
      <c r="J445" t="str">
        <f>IF(OR(H445="",NOT(OR(LEFT(H445,1)="G",LEFT(H445,1)="R"))),"",IFERROR(VLOOKUP(MID(H445,2,1),Map!$J$2:$M$10,2,FALSE),""))</f>
        <v/>
      </c>
      <c r="K445" t="str">
        <f t="shared" si="65"/>
        <v/>
      </c>
      <c r="L445" t="str">
        <f t="shared" si="66"/>
        <v/>
      </c>
      <c r="M445" t="str">
        <f t="shared" si="67"/>
        <v/>
      </c>
      <c r="N445" t="str">
        <f t="shared" si="68"/>
        <v/>
      </c>
      <c r="O445" t="str">
        <f t="shared" si="69"/>
        <v/>
      </c>
      <c r="P445" t="str">
        <f>IF(OR(H445="",NOT(OR(LEFT(H445,1)="G",LEFT(H445,1)="R"))),"",IFERROR(VLOOKUP(MID(H445,3,1),Map!$G$2:$H$10,2,FALSE),""))</f>
        <v/>
      </c>
      <c r="Q445" t="str">
        <f>IF(A445="","",IFERROR(VLOOKUP(MID(A445,4,1),Map!$O$2:$P$10,2,FALSE),""))</f>
        <v/>
      </c>
    </row>
    <row r="446" spans="2:17" x14ac:dyDescent="0.25">
      <c r="B446" t="str">
        <f t="shared" si="60"/>
        <v/>
      </c>
      <c r="C446" t="str">
        <f t="shared" si="61"/>
        <v>**</v>
      </c>
      <c r="D446" t="str">
        <f t="shared" si="62"/>
        <v/>
      </c>
      <c r="E446" t="str">
        <f>IFERROR(VLOOKUP(MID(A446,7,2),Map!$A$2:$B$20,2,FALSE),"")</f>
        <v/>
      </c>
      <c r="F446" t="str">
        <f>IF(A446="","",IFERROR(VLOOKUP(MID(A446,9,2),Map!$R$2:$S$14,2,FALSE),""))</f>
        <v/>
      </c>
      <c r="G446" t="str">
        <f t="shared" si="63"/>
        <v/>
      </c>
      <c r="H446" t="str">
        <f t="shared" si="64"/>
        <v/>
      </c>
      <c r="I446" t="str">
        <f>IF(A446="","",IFERROR(VLOOKUP(LEFT(A446,1),Map!$D$2:$E$20,2,FALSE),""))</f>
        <v/>
      </c>
      <c r="J446" t="str">
        <f>IF(OR(H446="",NOT(OR(LEFT(H446,1)="G",LEFT(H446,1)="R"))),"",IFERROR(VLOOKUP(MID(H446,2,1),Map!$J$2:$M$10,2,FALSE),""))</f>
        <v/>
      </c>
      <c r="K446" t="str">
        <f t="shared" si="65"/>
        <v/>
      </c>
      <c r="L446" t="str">
        <f t="shared" si="66"/>
        <v/>
      </c>
      <c r="M446" t="str">
        <f t="shared" si="67"/>
        <v/>
      </c>
      <c r="N446" t="str">
        <f t="shared" si="68"/>
        <v/>
      </c>
      <c r="O446" t="str">
        <f t="shared" si="69"/>
        <v/>
      </c>
      <c r="P446" t="str">
        <f>IF(OR(H446="",NOT(OR(LEFT(H446,1)="G",LEFT(H446,1)="R"))),"",IFERROR(VLOOKUP(MID(H446,3,1),Map!$G$2:$H$10,2,FALSE),""))</f>
        <v/>
      </c>
      <c r="Q446" t="str">
        <f>IF(A446="","",IFERROR(VLOOKUP(MID(A446,4,1),Map!$O$2:$P$10,2,FALSE),""))</f>
        <v/>
      </c>
    </row>
    <row r="447" spans="2:17" x14ac:dyDescent="0.25">
      <c r="B447" t="str">
        <f t="shared" si="60"/>
        <v/>
      </c>
      <c r="C447" t="str">
        <f t="shared" si="61"/>
        <v>**</v>
      </c>
      <c r="D447" t="str">
        <f t="shared" si="62"/>
        <v/>
      </c>
      <c r="E447" t="str">
        <f>IFERROR(VLOOKUP(MID(A447,7,2),Map!$A$2:$B$20,2,FALSE),"")</f>
        <v/>
      </c>
      <c r="F447" t="str">
        <f>IF(A447="","",IFERROR(VLOOKUP(MID(A447,9,2),Map!$R$2:$S$14,2,FALSE),""))</f>
        <v/>
      </c>
      <c r="G447" t="str">
        <f t="shared" si="63"/>
        <v/>
      </c>
      <c r="H447" t="str">
        <f t="shared" si="64"/>
        <v/>
      </c>
      <c r="I447" t="str">
        <f>IF(A447="","",IFERROR(VLOOKUP(LEFT(A447,1),Map!$D$2:$E$20,2,FALSE),""))</f>
        <v/>
      </c>
      <c r="J447" t="str">
        <f>IF(OR(H447="",NOT(OR(LEFT(H447,1)="G",LEFT(H447,1)="R"))),"",IFERROR(VLOOKUP(MID(H447,2,1),Map!$J$2:$M$10,2,FALSE),""))</f>
        <v/>
      </c>
      <c r="K447" t="str">
        <f t="shared" si="65"/>
        <v/>
      </c>
      <c r="L447" t="str">
        <f t="shared" si="66"/>
        <v/>
      </c>
      <c r="M447" t="str">
        <f t="shared" si="67"/>
        <v/>
      </c>
      <c r="N447" t="str">
        <f t="shared" si="68"/>
        <v/>
      </c>
      <c r="O447" t="str">
        <f t="shared" si="69"/>
        <v/>
      </c>
      <c r="P447" t="str">
        <f>IF(OR(H447="",NOT(OR(LEFT(H447,1)="G",LEFT(H447,1)="R"))),"",IFERROR(VLOOKUP(MID(H447,3,1),Map!$G$2:$H$10,2,FALSE),""))</f>
        <v/>
      </c>
      <c r="Q447" t="str">
        <f>IF(A447="","",IFERROR(VLOOKUP(MID(A447,4,1),Map!$O$2:$P$10,2,FALSE),""))</f>
        <v/>
      </c>
    </row>
    <row r="448" spans="2:17" x14ac:dyDescent="0.25">
      <c r="B448" t="str">
        <f t="shared" si="60"/>
        <v/>
      </c>
      <c r="C448" t="str">
        <f t="shared" si="61"/>
        <v>**</v>
      </c>
      <c r="D448" t="str">
        <f t="shared" si="62"/>
        <v/>
      </c>
      <c r="E448" t="str">
        <f>IFERROR(VLOOKUP(MID(A448,7,2),Map!$A$2:$B$20,2,FALSE),"")</f>
        <v/>
      </c>
      <c r="F448" t="str">
        <f>IF(A448="","",IFERROR(VLOOKUP(MID(A448,9,2),Map!$R$2:$S$14,2,FALSE),""))</f>
        <v/>
      </c>
      <c r="G448" t="str">
        <f t="shared" si="63"/>
        <v/>
      </c>
      <c r="H448" t="str">
        <f t="shared" si="64"/>
        <v/>
      </c>
      <c r="I448" t="str">
        <f>IF(A448="","",IFERROR(VLOOKUP(LEFT(A448,1),Map!$D$2:$E$20,2,FALSE),""))</f>
        <v/>
      </c>
      <c r="J448" t="str">
        <f>IF(OR(H448="",NOT(OR(LEFT(H448,1)="G",LEFT(H448,1)="R"))),"",IFERROR(VLOOKUP(MID(H448,2,1),Map!$J$2:$M$10,2,FALSE),""))</f>
        <v/>
      </c>
      <c r="K448" t="str">
        <f t="shared" si="65"/>
        <v/>
      </c>
      <c r="L448" t="str">
        <f t="shared" si="66"/>
        <v/>
      </c>
      <c r="M448" t="str">
        <f t="shared" si="67"/>
        <v/>
      </c>
      <c r="N448" t="str">
        <f t="shared" si="68"/>
        <v/>
      </c>
      <c r="O448" t="str">
        <f t="shared" si="69"/>
        <v/>
      </c>
      <c r="P448" t="str">
        <f>IF(OR(H448="",NOT(OR(LEFT(H448,1)="G",LEFT(H448,1)="R"))),"",IFERROR(VLOOKUP(MID(H448,3,1),Map!$G$2:$H$10,2,FALSE),""))</f>
        <v/>
      </c>
      <c r="Q448" t="str">
        <f>IF(A448="","",IFERROR(VLOOKUP(MID(A448,4,1),Map!$O$2:$P$10,2,FALSE),""))</f>
        <v/>
      </c>
    </row>
    <row r="449" spans="2:17" x14ac:dyDescent="0.25">
      <c r="B449" t="str">
        <f t="shared" si="60"/>
        <v/>
      </c>
      <c r="C449" t="str">
        <f t="shared" si="61"/>
        <v>**</v>
      </c>
      <c r="D449" t="str">
        <f t="shared" si="62"/>
        <v/>
      </c>
      <c r="E449" t="str">
        <f>IFERROR(VLOOKUP(MID(A449,7,2),Map!$A$2:$B$20,2,FALSE),"")</f>
        <v/>
      </c>
      <c r="F449" t="str">
        <f>IF(A449="","",IFERROR(VLOOKUP(MID(A449,9,2),Map!$R$2:$S$14,2,FALSE),""))</f>
        <v/>
      </c>
      <c r="G449" t="str">
        <f t="shared" si="63"/>
        <v/>
      </c>
      <c r="H449" t="str">
        <f t="shared" si="64"/>
        <v/>
      </c>
      <c r="I449" t="str">
        <f>IF(A449="","",IFERROR(VLOOKUP(LEFT(A449,1),Map!$D$2:$E$20,2,FALSE),""))</f>
        <v/>
      </c>
      <c r="J449" t="str">
        <f>IF(OR(H449="",NOT(OR(LEFT(H449,1)="G",LEFT(H449,1)="R"))),"",IFERROR(VLOOKUP(MID(H449,2,1),Map!$J$2:$M$10,2,FALSE),""))</f>
        <v/>
      </c>
      <c r="K449" t="str">
        <f t="shared" si="65"/>
        <v/>
      </c>
      <c r="L449" t="str">
        <f t="shared" si="66"/>
        <v/>
      </c>
      <c r="M449" t="str">
        <f t="shared" si="67"/>
        <v/>
      </c>
      <c r="N449" t="str">
        <f t="shared" si="68"/>
        <v/>
      </c>
      <c r="O449" t="str">
        <f t="shared" si="69"/>
        <v/>
      </c>
      <c r="P449" t="str">
        <f>IF(OR(H449="",NOT(OR(LEFT(H449,1)="G",LEFT(H449,1)="R"))),"",IFERROR(VLOOKUP(MID(H449,3,1),Map!$G$2:$H$10,2,FALSE),""))</f>
        <v/>
      </c>
      <c r="Q449" t="str">
        <f>IF(A449="","",IFERROR(VLOOKUP(MID(A449,4,1),Map!$O$2:$P$10,2,FALSE),""))</f>
        <v/>
      </c>
    </row>
    <row r="450" spans="2:17" x14ac:dyDescent="0.25">
      <c r="B450" t="str">
        <f t="shared" ref="B450:B513" si="70">LEFT(A450,4)</f>
        <v/>
      </c>
      <c r="C450" t="str">
        <f t="shared" ref="C450:C513" si="71">LEFT(A450,2)&amp;"**"</f>
        <v>**</v>
      </c>
      <c r="D450" t="str">
        <f t="shared" ref="D450:D513" si="72">MID(A450,5,2)</f>
        <v/>
      </c>
      <c r="E450" t="str">
        <f>IFERROR(VLOOKUP(MID(A450,7,2),Map!$A$2:$B$20,2,FALSE),"")</f>
        <v/>
      </c>
      <c r="F450" t="str">
        <f>IF(A450="","",IFERROR(VLOOKUP(MID(A450,9,2),Map!$R$2:$S$14,2,FALSE),""))</f>
        <v/>
      </c>
      <c r="G450" t="str">
        <f t="shared" ref="G450:G513" si="73">IFERROR(MID(A450,FIND("-",A450)+1,FIND("-",A450,FIND("-",A450)+1)-FIND("-",A450)-1),"")</f>
        <v/>
      </c>
      <c r="H450" t="str">
        <f t="shared" ref="H450:H513" si="74">IFERROR(RIGHT(A450,LEN(A450)-FIND("-",A450,FIND("-",A450)+1)),"")</f>
        <v/>
      </c>
      <c r="I450" t="str">
        <f>IF(A450="","",IFERROR(VLOOKUP(LEFT(A450,1),Map!$D$2:$E$20,2,FALSE),""))</f>
        <v/>
      </c>
      <c r="J450" t="str">
        <f>IF(OR(H450="",NOT(OR(LEFT(H450,1)="G",LEFT(H450,1)="R"))),"",IFERROR(VLOOKUP(MID(H450,2,1),Map!$J$2:$M$10,2,FALSE),""))</f>
        <v/>
      </c>
      <c r="K450" t="str">
        <f t="shared" ref="K450:K513" si="75">IF(OR(H450="",NOT(OR(LEFT(H450,1)="G",LEFT(H450,1)="R")),MID(H450,2,1)&lt;&gt;"A"),"","M")</f>
        <v/>
      </c>
      <c r="L450" t="str">
        <f t="shared" ref="L450:L513" si="76">IF(OR(H450="",NOT(OR(LEFT(H450,1)="G",LEFT(H450,1)="R")),MID(H450,2,1)&lt;&gt;"A"),"","K")</f>
        <v/>
      </c>
      <c r="M450" t="str">
        <f t="shared" ref="M450:M513" si="77">IF(OR(H450="",NOT(OR(LEFT(H450,1)="G",LEFT(H450,1)="R"))),"","")</f>
        <v/>
      </c>
      <c r="N450" t="str">
        <f t="shared" ref="N450:N513" si="78">IF(OR(H450="",NOT(OR(LEFT(H450,1)="G",LEFT(H450,1)="R"))),"","")</f>
        <v/>
      </c>
      <c r="O450" t="str">
        <f t="shared" ref="O450:O513" si="79">IF(OR(H450="",NOT(OR(LEFT(H450,1)="G",LEFT(H450,1)="R"))),"","")</f>
        <v/>
      </c>
      <c r="P450" t="str">
        <f>IF(OR(H450="",NOT(OR(LEFT(H450,1)="G",LEFT(H450,1)="R"))),"",IFERROR(VLOOKUP(MID(H450,3,1),Map!$G$2:$H$10,2,FALSE),""))</f>
        <v/>
      </c>
      <c r="Q450" t="str">
        <f>IF(A450="","",IFERROR(VLOOKUP(MID(A450,4,1),Map!$O$2:$P$10,2,FALSE),""))</f>
        <v/>
      </c>
    </row>
    <row r="451" spans="2:17" x14ac:dyDescent="0.25">
      <c r="B451" t="str">
        <f t="shared" si="70"/>
        <v/>
      </c>
      <c r="C451" t="str">
        <f t="shared" si="71"/>
        <v>**</v>
      </c>
      <c r="D451" t="str">
        <f t="shared" si="72"/>
        <v/>
      </c>
      <c r="E451" t="str">
        <f>IFERROR(VLOOKUP(MID(A451,7,2),Map!$A$2:$B$20,2,FALSE),"")</f>
        <v/>
      </c>
      <c r="F451" t="str">
        <f>IF(A451="","",IFERROR(VLOOKUP(MID(A451,9,2),Map!$R$2:$S$14,2,FALSE),""))</f>
        <v/>
      </c>
      <c r="G451" t="str">
        <f t="shared" si="73"/>
        <v/>
      </c>
      <c r="H451" t="str">
        <f t="shared" si="74"/>
        <v/>
      </c>
      <c r="I451" t="str">
        <f>IF(A451="","",IFERROR(VLOOKUP(LEFT(A451,1),Map!$D$2:$E$20,2,FALSE),""))</f>
        <v/>
      </c>
      <c r="J451" t="str">
        <f>IF(OR(H451="",NOT(OR(LEFT(H451,1)="G",LEFT(H451,1)="R"))),"",IFERROR(VLOOKUP(MID(H451,2,1),Map!$J$2:$M$10,2,FALSE),""))</f>
        <v/>
      </c>
      <c r="K451" t="str">
        <f t="shared" si="75"/>
        <v/>
      </c>
      <c r="L451" t="str">
        <f t="shared" si="76"/>
        <v/>
      </c>
      <c r="M451" t="str">
        <f t="shared" si="77"/>
        <v/>
      </c>
      <c r="N451" t="str">
        <f t="shared" si="78"/>
        <v/>
      </c>
      <c r="O451" t="str">
        <f t="shared" si="79"/>
        <v/>
      </c>
      <c r="P451" t="str">
        <f>IF(OR(H451="",NOT(OR(LEFT(H451,1)="G",LEFT(H451,1)="R"))),"",IFERROR(VLOOKUP(MID(H451,3,1),Map!$G$2:$H$10,2,FALSE),""))</f>
        <v/>
      </c>
      <c r="Q451" t="str">
        <f>IF(A451="","",IFERROR(VLOOKUP(MID(A451,4,1),Map!$O$2:$P$10,2,FALSE),""))</f>
        <v/>
      </c>
    </row>
    <row r="452" spans="2:17" x14ac:dyDescent="0.25">
      <c r="B452" t="str">
        <f t="shared" si="70"/>
        <v/>
      </c>
      <c r="C452" t="str">
        <f t="shared" si="71"/>
        <v>**</v>
      </c>
      <c r="D452" t="str">
        <f t="shared" si="72"/>
        <v/>
      </c>
      <c r="E452" t="str">
        <f>IFERROR(VLOOKUP(MID(A452,7,2),Map!$A$2:$B$20,2,FALSE),"")</f>
        <v/>
      </c>
      <c r="F452" t="str">
        <f>IF(A452="","",IFERROR(VLOOKUP(MID(A452,9,2),Map!$R$2:$S$14,2,FALSE),""))</f>
        <v/>
      </c>
      <c r="G452" t="str">
        <f t="shared" si="73"/>
        <v/>
      </c>
      <c r="H452" t="str">
        <f t="shared" si="74"/>
        <v/>
      </c>
      <c r="I452" t="str">
        <f>IF(A452="","",IFERROR(VLOOKUP(LEFT(A452,1),Map!$D$2:$E$20,2,FALSE),""))</f>
        <v/>
      </c>
      <c r="J452" t="str">
        <f>IF(OR(H452="",NOT(OR(LEFT(H452,1)="G",LEFT(H452,1)="R"))),"",IFERROR(VLOOKUP(MID(H452,2,1),Map!$J$2:$M$10,2,FALSE),""))</f>
        <v/>
      </c>
      <c r="K452" t="str">
        <f t="shared" si="75"/>
        <v/>
      </c>
      <c r="L452" t="str">
        <f t="shared" si="76"/>
        <v/>
      </c>
      <c r="M452" t="str">
        <f t="shared" si="77"/>
        <v/>
      </c>
      <c r="N452" t="str">
        <f t="shared" si="78"/>
        <v/>
      </c>
      <c r="O452" t="str">
        <f t="shared" si="79"/>
        <v/>
      </c>
      <c r="P452" t="str">
        <f>IF(OR(H452="",NOT(OR(LEFT(H452,1)="G",LEFT(H452,1)="R"))),"",IFERROR(VLOOKUP(MID(H452,3,1),Map!$G$2:$H$10,2,FALSE),""))</f>
        <v/>
      </c>
      <c r="Q452" t="str">
        <f>IF(A452="","",IFERROR(VLOOKUP(MID(A452,4,1),Map!$O$2:$P$10,2,FALSE),""))</f>
        <v/>
      </c>
    </row>
    <row r="453" spans="2:17" x14ac:dyDescent="0.25">
      <c r="B453" t="str">
        <f t="shared" si="70"/>
        <v/>
      </c>
      <c r="C453" t="str">
        <f t="shared" si="71"/>
        <v>**</v>
      </c>
      <c r="D453" t="str">
        <f t="shared" si="72"/>
        <v/>
      </c>
      <c r="E453" t="str">
        <f>IFERROR(VLOOKUP(MID(A453,7,2),Map!$A$2:$B$20,2,FALSE),"")</f>
        <v/>
      </c>
      <c r="F453" t="str">
        <f>IF(A453="","",IFERROR(VLOOKUP(MID(A453,9,2),Map!$R$2:$S$14,2,FALSE),""))</f>
        <v/>
      </c>
      <c r="G453" t="str">
        <f t="shared" si="73"/>
        <v/>
      </c>
      <c r="H453" t="str">
        <f t="shared" si="74"/>
        <v/>
      </c>
      <c r="I453" t="str">
        <f>IF(A453="","",IFERROR(VLOOKUP(LEFT(A453,1),Map!$D$2:$E$20,2,FALSE),""))</f>
        <v/>
      </c>
      <c r="J453" t="str">
        <f>IF(OR(H453="",NOT(OR(LEFT(H453,1)="G",LEFT(H453,1)="R"))),"",IFERROR(VLOOKUP(MID(H453,2,1),Map!$J$2:$M$10,2,FALSE),""))</f>
        <v/>
      </c>
      <c r="K453" t="str">
        <f t="shared" si="75"/>
        <v/>
      </c>
      <c r="L453" t="str">
        <f t="shared" si="76"/>
        <v/>
      </c>
      <c r="M453" t="str">
        <f t="shared" si="77"/>
        <v/>
      </c>
      <c r="N453" t="str">
        <f t="shared" si="78"/>
        <v/>
      </c>
      <c r="O453" t="str">
        <f t="shared" si="79"/>
        <v/>
      </c>
      <c r="P453" t="str">
        <f>IF(OR(H453="",NOT(OR(LEFT(H453,1)="G",LEFT(H453,1)="R"))),"",IFERROR(VLOOKUP(MID(H453,3,1),Map!$G$2:$H$10,2,FALSE),""))</f>
        <v/>
      </c>
      <c r="Q453" t="str">
        <f>IF(A453="","",IFERROR(VLOOKUP(MID(A453,4,1),Map!$O$2:$P$10,2,FALSE),""))</f>
        <v/>
      </c>
    </row>
    <row r="454" spans="2:17" x14ac:dyDescent="0.25">
      <c r="B454" t="str">
        <f t="shared" si="70"/>
        <v/>
      </c>
      <c r="C454" t="str">
        <f t="shared" si="71"/>
        <v>**</v>
      </c>
      <c r="D454" t="str">
        <f t="shared" si="72"/>
        <v/>
      </c>
      <c r="E454" t="str">
        <f>IFERROR(VLOOKUP(MID(A454,7,2),Map!$A$2:$B$20,2,FALSE),"")</f>
        <v/>
      </c>
      <c r="F454" t="str">
        <f>IF(A454="","",IFERROR(VLOOKUP(MID(A454,9,2),Map!$R$2:$S$14,2,FALSE),""))</f>
        <v/>
      </c>
      <c r="G454" t="str">
        <f t="shared" si="73"/>
        <v/>
      </c>
      <c r="H454" t="str">
        <f t="shared" si="74"/>
        <v/>
      </c>
      <c r="I454" t="str">
        <f>IF(A454="","",IFERROR(VLOOKUP(LEFT(A454,1),Map!$D$2:$E$20,2,FALSE),""))</f>
        <v/>
      </c>
      <c r="J454" t="str">
        <f>IF(OR(H454="",NOT(OR(LEFT(H454,1)="G",LEFT(H454,1)="R"))),"",IFERROR(VLOOKUP(MID(H454,2,1),Map!$J$2:$M$10,2,FALSE),""))</f>
        <v/>
      </c>
      <c r="K454" t="str">
        <f t="shared" si="75"/>
        <v/>
      </c>
      <c r="L454" t="str">
        <f t="shared" si="76"/>
        <v/>
      </c>
      <c r="M454" t="str">
        <f t="shared" si="77"/>
        <v/>
      </c>
      <c r="N454" t="str">
        <f t="shared" si="78"/>
        <v/>
      </c>
      <c r="O454" t="str">
        <f t="shared" si="79"/>
        <v/>
      </c>
      <c r="P454" t="str">
        <f>IF(OR(H454="",NOT(OR(LEFT(H454,1)="G",LEFT(H454,1)="R"))),"",IFERROR(VLOOKUP(MID(H454,3,1),Map!$G$2:$H$10,2,FALSE),""))</f>
        <v/>
      </c>
      <c r="Q454" t="str">
        <f>IF(A454="","",IFERROR(VLOOKUP(MID(A454,4,1),Map!$O$2:$P$10,2,FALSE),""))</f>
        <v/>
      </c>
    </row>
    <row r="455" spans="2:17" x14ac:dyDescent="0.25">
      <c r="B455" t="str">
        <f t="shared" si="70"/>
        <v/>
      </c>
      <c r="C455" t="str">
        <f t="shared" si="71"/>
        <v>**</v>
      </c>
      <c r="D455" t="str">
        <f t="shared" si="72"/>
        <v/>
      </c>
      <c r="E455" t="str">
        <f>IFERROR(VLOOKUP(MID(A455,7,2),Map!$A$2:$B$20,2,FALSE),"")</f>
        <v/>
      </c>
      <c r="F455" t="str">
        <f>IF(A455="","",IFERROR(VLOOKUP(MID(A455,9,2),Map!$R$2:$S$14,2,FALSE),""))</f>
        <v/>
      </c>
      <c r="G455" t="str">
        <f t="shared" si="73"/>
        <v/>
      </c>
      <c r="H455" t="str">
        <f t="shared" si="74"/>
        <v/>
      </c>
      <c r="I455" t="str">
        <f>IF(A455="","",IFERROR(VLOOKUP(LEFT(A455,1),Map!$D$2:$E$20,2,FALSE),""))</f>
        <v/>
      </c>
      <c r="J455" t="str">
        <f>IF(OR(H455="",NOT(OR(LEFT(H455,1)="G",LEFT(H455,1)="R"))),"",IFERROR(VLOOKUP(MID(H455,2,1),Map!$J$2:$M$10,2,FALSE),""))</f>
        <v/>
      </c>
      <c r="K455" t="str">
        <f t="shared" si="75"/>
        <v/>
      </c>
      <c r="L455" t="str">
        <f t="shared" si="76"/>
        <v/>
      </c>
      <c r="M455" t="str">
        <f t="shared" si="77"/>
        <v/>
      </c>
      <c r="N455" t="str">
        <f t="shared" si="78"/>
        <v/>
      </c>
      <c r="O455" t="str">
        <f t="shared" si="79"/>
        <v/>
      </c>
      <c r="P455" t="str">
        <f>IF(OR(H455="",NOT(OR(LEFT(H455,1)="G",LEFT(H455,1)="R"))),"",IFERROR(VLOOKUP(MID(H455,3,1),Map!$G$2:$H$10,2,FALSE),""))</f>
        <v/>
      </c>
      <c r="Q455" t="str">
        <f>IF(A455="","",IFERROR(VLOOKUP(MID(A455,4,1),Map!$O$2:$P$10,2,FALSE),""))</f>
        <v/>
      </c>
    </row>
    <row r="456" spans="2:17" x14ac:dyDescent="0.25">
      <c r="B456" t="str">
        <f t="shared" si="70"/>
        <v/>
      </c>
      <c r="C456" t="str">
        <f t="shared" si="71"/>
        <v>**</v>
      </c>
      <c r="D456" t="str">
        <f t="shared" si="72"/>
        <v/>
      </c>
      <c r="E456" t="str">
        <f>IFERROR(VLOOKUP(MID(A456,7,2),Map!$A$2:$B$20,2,FALSE),"")</f>
        <v/>
      </c>
      <c r="F456" t="str">
        <f>IF(A456="","",IFERROR(VLOOKUP(MID(A456,9,2),Map!$R$2:$S$14,2,FALSE),""))</f>
        <v/>
      </c>
      <c r="G456" t="str">
        <f t="shared" si="73"/>
        <v/>
      </c>
      <c r="H456" t="str">
        <f t="shared" si="74"/>
        <v/>
      </c>
      <c r="I456" t="str">
        <f>IF(A456="","",IFERROR(VLOOKUP(LEFT(A456,1),Map!$D$2:$E$20,2,FALSE),""))</f>
        <v/>
      </c>
      <c r="J456" t="str">
        <f>IF(OR(H456="",NOT(OR(LEFT(H456,1)="G",LEFT(H456,1)="R"))),"",IFERROR(VLOOKUP(MID(H456,2,1),Map!$J$2:$M$10,2,FALSE),""))</f>
        <v/>
      </c>
      <c r="K456" t="str">
        <f t="shared" si="75"/>
        <v/>
      </c>
      <c r="L456" t="str">
        <f t="shared" si="76"/>
        <v/>
      </c>
      <c r="M456" t="str">
        <f t="shared" si="77"/>
        <v/>
      </c>
      <c r="N456" t="str">
        <f t="shared" si="78"/>
        <v/>
      </c>
      <c r="O456" t="str">
        <f t="shared" si="79"/>
        <v/>
      </c>
      <c r="P456" t="str">
        <f>IF(OR(H456="",NOT(OR(LEFT(H456,1)="G",LEFT(H456,1)="R"))),"",IFERROR(VLOOKUP(MID(H456,3,1),Map!$G$2:$H$10,2,FALSE),""))</f>
        <v/>
      </c>
      <c r="Q456" t="str">
        <f>IF(A456="","",IFERROR(VLOOKUP(MID(A456,4,1),Map!$O$2:$P$10,2,FALSE),""))</f>
        <v/>
      </c>
    </row>
    <row r="457" spans="2:17" x14ac:dyDescent="0.25">
      <c r="B457" t="str">
        <f t="shared" si="70"/>
        <v/>
      </c>
      <c r="C457" t="str">
        <f t="shared" si="71"/>
        <v>**</v>
      </c>
      <c r="D457" t="str">
        <f t="shared" si="72"/>
        <v/>
      </c>
      <c r="E457" t="str">
        <f>IFERROR(VLOOKUP(MID(A457,7,2),Map!$A$2:$B$20,2,FALSE),"")</f>
        <v/>
      </c>
      <c r="F457" t="str">
        <f>IF(A457="","",IFERROR(VLOOKUP(MID(A457,9,2),Map!$R$2:$S$14,2,FALSE),""))</f>
        <v/>
      </c>
      <c r="G457" t="str">
        <f t="shared" si="73"/>
        <v/>
      </c>
      <c r="H457" t="str">
        <f t="shared" si="74"/>
        <v/>
      </c>
      <c r="I457" t="str">
        <f>IF(A457="","",IFERROR(VLOOKUP(LEFT(A457,1),Map!$D$2:$E$20,2,FALSE),""))</f>
        <v/>
      </c>
      <c r="J457" t="str">
        <f>IF(OR(H457="",NOT(OR(LEFT(H457,1)="G",LEFT(H457,1)="R"))),"",IFERROR(VLOOKUP(MID(H457,2,1),Map!$J$2:$M$10,2,FALSE),""))</f>
        <v/>
      </c>
      <c r="K457" t="str">
        <f t="shared" si="75"/>
        <v/>
      </c>
      <c r="L457" t="str">
        <f t="shared" si="76"/>
        <v/>
      </c>
      <c r="M457" t="str">
        <f t="shared" si="77"/>
        <v/>
      </c>
      <c r="N457" t="str">
        <f t="shared" si="78"/>
        <v/>
      </c>
      <c r="O457" t="str">
        <f t="shared" si="79"/>
        <v/>
      </c>
      <c r="P457" t="str">
        <f>IF(OR(H457="",NOT(OR(LEFT(H457,1)="G",LEFT(H457,1)="R"))),"",IFERROR(VLOOKUP(MID(H457,3,1),Map!$G$2:$H$10,2,FALSE),""))</f>
        <v/>
      </c>
      <c r="Q457" t="str">
        <f>IF(A457="","",IFERROR(VLOOKUP(MID(A457,4,1),Map!$O$2:$P$10,2,FALSE),""))</f>
        <v/>
      </c>
    </row>
    <row r="458" spans="2:17" x14ac:dyDescent="0.25">
      <c r="B458" t="str">
        <f t="shared" si="70"/>
        <v/>
      </c>
      <c r="C458" t="str">
        <f t="shared" si="71"/>
        <v>**</v>
      </c>
      <c r="D458" t="str">
        <f t="shared" si="72"/>
        <v/>
      </c>
      <c r="E458" t="str">
        <f>IFERROR(VLOOKUP(MID(A458,7,2),Map!$A$2:$B$20,2,FALSE),"")</f>
        <v/>
      </c>
      <c r="F458" t="str">
        <f>IF(A458="","",IFERROR(VLOOKUP(MID(A458,9,2),Map!$R$2:$S$14,2,FALSE),""))</f>
        <v/>
      </c>
      <c r="G458" t="str">
        <f t="shared" si="73"/>
        <v/>
      </c>
      <c r="H458" t="str">
        <f t="shared" si="74"/>
        <v/>
      </c>
      <c r="I458" t="str">
        <f>IF(A458="","",IFERROR(VLOOKUP(LEFT(A458,1),Map!$D$2:$E$20,2,FALSE),""))</f>
        <v/>
      </c>
      <c r="J458" t="str">
        <f>IF(OR(H458="",NOT(OR(LEFT(H458,1)="G",LEFT(H458,1)="R"))),"",IFERROR(VLOOKUP(MID(H458,2,1),Map!$J$2:$M$10,2,FALSE),""))</f>
        <v/>
      </c>
      <c r="K458" t="str">
        <f t="shared" si="75"/>
        <v/>
      </c>
      <c r="L458" t="str">
        <f t="shared" si="76"/>
        <v/>
      </c>
      <c r="M458" t="str">
        <f t="shared" si="77"/>
        <v/>
      </c>
      <c r="N458" t="str">
        <f t="shared" si="78"/>
        <v/>
      </c>
      <c r="O458" t="str">
        <f t="shared" si="79"/>
        <v/>
      </c>
      <c r="P458" t="str">
        <f>IF(OR(H458="",NOT(OR(LEFT(H458,1)="G",LEFT(H458,1)="R"))),"",IFERROR(VLOOKUP(MID(H458,3,1),Map!$G$2:$H$10,2,FALSE),""))</f>
        <v/>
      </c>
      <c r="Q458" t="str">
        <f>IF(A458="","",IFERROR(VLOOKUP(MID(A458,4,1),Map!$O$2:$P$10,2,FALSE),""))</f>
        <v/>
      </c>
    </row>
    <row r="459" spans="2:17" x14ac:dyDescent="0.25">
      <c r="B459" t="str">
        <f t="shared" si="70"/>
        <v/>
      </c>
      <c r="C459" t="str">
        <f t="shared" si="71"/>
        <v>**</v>
      </c>
      <c r="D459" t="str">
        <f t="shared" si="72"/>
        <v/>
      </c>
      <c r="E459" t="str">
        <f>IFERROR(VLOOKUP(MID(A459,7,2),Map!$A$2:$B$20,2,FALSE),"")</f>
        <v/>
      </c>
      <c r="F459" t="str">
        <f>IF(A459="","",IFERROR(VLOOKUP(MID(A459,9,2),Map!$R$2:$S$14,2,FALSE),""))</f>
        <v/>
      </c>
      <c r="G459" t="str">
        <f t="shared" si="73"/>
        <v/>
      </c>
      <c r="H459" t="str">
        <f t="shared" si="74"/>
        <v/>
      </c>
      <c r="I459" t="str">
        <f>IF(A459="","",IFERROR(VLOOKUP(LEFT(A459,1),Map!$D$2:$E$20,2,FALSE),""))</f>
        <v/>
      </c>
      <c r="J459" t="str">
        <f>IF(OR(H459="",NOT(OR(LEFT(H459,1)="G",LEFT(H459,1)="R"))),"",IFERROR(VLOOKUP(MID(H459,2,1),Map!$J$2:$M$10,2,FALSE),""))</f>
        <v/>
      </c>
      <c r="K459" t="str">
        <f t="shared" si="75"/>
        <v/>
      </c>
      <c r="L459" t="str">
        <f t="shared" si="76"/>
        <v/>
      </c>
      <c r="M459" t="str">
        <f t="shared" si="77"/>
        <v/>
      </c>
      <c r="N459" t="str">
        <f t="shared" si="78"/>
        <v/>
      </c>
      <c r="O459" t="str">
        <f t="shared" si="79"/>
        <v/>
      </c>
      <c r="P459" t="str">
        <f>IF(OR(H459="",NOT(OR(LEFT(H459,1)="G",LEFT(H459,1)="R"))),"",IFERROR(VLOOKUP(MID(H459,3,1),Map!$G$2:$H$10,2,FALSE),""))</f>
        <v/>
      </c>
      <c r="Q459" t="str">
        <f>IF(A459="","",IFERROR(VLOOKUP(MID(A459,4,1),Map!$O$2:$P$10,2,FALSE),""))</f>
        <v/>
      </c>
    </row>
    <row r="460" spans="2:17" x14ac:dyDescent="0.25">
      <c r="B460" t="str">
        <f t="shared" si="70"/>
        <v/>
      </c>
      <c r="C460" t="str">
        <f t="shared" si="71"/>
        <v>**</v>
      </c>
      <c r="D460" t="str">
        <f t="shared" si="72"/>
        <v/>
      </c>
      <c r="E460" t="str">
        <f>IFERROR(VLOOKUP(MID(A460,7,2),Map!$A$2:$B$20,2,FALSE),"")</f>
        <v/>
      </c>
      <c r="F460" t="str">
        <f>IF(A460="","",IFERROR(VLOOKUP(MID(A460,9,2),Map!$R$2:$S$14,2,FALSE),""))</f>
        <v/>
      </c>
      <c r="G460" t="str">
        <f t="shared" si="73"/>
        <v/>
      </c>
      <c r="H460" t="str">
        <f t="shared" si="74"/>
        <v/>
      </c>
      <c r="I460" t="str">
        <f>IF(A460="","",IFERROR(VLOOKUP(LEFT(A460,1),Map!$D$2:$E$20,2,FALSE),""))</f>
        <v/>
      </c>
      <c r="J460" t="str">
        <f>IF(OR(H460="",NOT(OR(LEFT(H460,1)="G",LEFT(H460,1)="R"))),"",IFERROR(VLOOKUP(MID(H460,2,1),Map!$J$2:$M$10,2,FALSE),""))</f>
        <v/>
      </c>
      <c r="K460" t="str">
        <f t="shared" si="75"/>
        <v/>
      </c>
      <c r="L460" t="str">
        <f t="shared" si="76"/>
        <v/>
      </c>
      <c r="M460" t="str">
        <f t="shared" si="77"/>
        <v/>
      </c>
      <c r="N460" t="str">
        <f t="shared" si="78"/>
        <v/>
      </c>
      <c r="O460" t="str">
        <f t="shared" si="79"/>
        <v/>
      </c>
      <c r="P460" t="str">
        <f>IF(OR(H460="",NOT(OR(LEFT(H460,1)="G",LEFT(H460,1)="R"))),"",IFERROR(VLOOKUP(MID(H460,3,1),Map!$G$2:$H$10,2,FALSE),""))</f>
        <v/>
      </c>
      <c r="Q460" t="str">
        <f>IF(A460="","",IFERROR(VLOOKUP(MID(A460,4,1),Map!$O$2:$P$10,2,FALSE),""))</f>
        <v/>
      </c>
    </row>
    <row r="461" spans="2:17" x14ac:dyDescent="0.25">
      <c r="B461" t="str">
        <f t="shared" si="70"/>
        <v/>
      </c>
      <c r="C461" t="str">
        <f t="shared" si="71"/>
        <v>**</v>
      </c>
      <c r="D461" t="str">
        <f t="shared" si="72"/>
        <v/>
      </c>
      <c r="E461" t="str">
        <f>IFERROR(VLOOKUP(MID(A461,7,2),Map!$A$2:$B$20,2,FALSE),"")</f>
        <v/>
      </c>
      <c r="F461" t="str">
        <f>IF(A461="","",IFERROR(VLOOKUP(MID(A461,9,2),Map!$R$2:$S$14,2,FALSE),""))</f>
        <v/>
      </c>
      <c r="G461" t="str">
        <f t="shared" si="73"/>
        <v/>
      </c>
      <c r="H461" t="str">
        <f t="shared" si="74"/>
        <v/>
      </c>
      <c r="I461" t="str">
        <f>IF(A461="","",IFERROR(VLOOKUP(LEFT(A461,1),Map!$D$2:$E$20,2,FALSE),""))</f>
        <v/>
      </c>
      <c r="J461" t="str">
        <f>IF(OR(H461="",NOT(OR(LEFT(H461,1)="G",LEFT(H461,1)="R"))),"",IFERROR(VLOOKUP(MID(H461,2,1),Map!$J$2:$M$10,2,FALSE),""))</f>
        <v/>
      </c>
      <c r="K461" t="str">
        <f t="shared" si="75"/>
        <v/>
      </c>
      <c r="L461" t="str">
        <f t="shared" si="76"/>
        <v/>
      </c>
      <c r="M461" t="str">
        <f t="shared" si="77"/>
        <v/>
      </c>
      <c r="N461" t="str">
        <f t="shared" si="78"/>
        <v/>
      </c>
      <c r="O461" t="str">
        <f t="shared" si="79"/>
        <v/>
      </c>
      <c r="P461" t="str">
        <f>IF(OR(H461="",NOT(OR(LEFT(H461,1)="G",LEFT(H461,1)="R"))),"",IFERROR(VLOOKUP(MID(H461,3,1),Map!$G$2:$H$10,2,FALSE),""))</f>
        <v/>
      </c>
      <c r="Q461" t="str">
        <f>IF(A461="","",IFERROR(VLOOKUP(MID(A461,4,1),Map!$O$2:$P$10,2,FALSE),""))</f>
        <v/>
      </c>
    </row>
    <row r="462" spans="2:17" x14ac:dyDescent="0.25">
      <c r="B462" t="str">
        <f t="shared" si="70"/>
        <v/>
      </c>
      <c r="C462" t="str">
        <f t="shared" si="71"/>
        <v>**</v>
      </c>
      <c r="D462" t="str">
        <f t="shared" si="72"/>
        <v/>
      </c>
      <c r="E462" t="str">
        <f>IFERROR(VLOOKUP(MID(A462,7,2),Map!$A$2:$B$20,2,FALSE),"")</f>
        <v/>
      </c>
      <c r="F462" t="str">
        <f>IF(A462="","",IFERROR(VLOOKUP(MID(A462,9,2),Map!$R$2:$S$14,2,FALSE),""))</f>
        <v/>
      </c>
      <c r="G462" t="str">
        <f t="shared" si="73"/>
        <v/>
      </c>
      <c r="H462" t="str">
        <f t="shared" si="74"/>
        <v/>
      </c>
      <c r="I462" t="str">
        <f>IF(A462="","",IFERROR(VLOOKUP(LEFT(A462,1),Map!$D$2:$E$20,2,FALSE),""))</f>
        <v/>
      </c>
      <c r="J462" t="str">
        <f>IF(OR(H462="",NOT(OR(LEFT(H462,1)="G",LEFT(H462,1)="R"))),"",IFERROR(VLOOKUP(MID(H462,2,1),Map!$J$2:$M$10,2,FALSE),""))</f>
        <v/>
      </c>
      <c r="K462" t="str">
        <f t="shared" si="75"/>
        <v/>
      </c>
      <c r="L462" t="str">
        <f t="shared" si="76"/>
        <v/>
      </c>
      <c r="M462" t="str">
        <f t="shared" si="77"/>
        <v/>
      </c>
      <c r="N462" t="str">
        <f t="shared" si="78"/>
        <v/>
      </c>
      <c r="O462" t="str">
        <f t="shared" si="79"/>
        <v/>
      </c>
      <c r="P462" t="str">
        <f>IF(OR(H462="",NOT(OR(LEFT(H462,1)="G",LEFT(H462,1)="R"))),"",IFERROR(VLOOKUP(MID(H462,3,1),Map!$G$2:$H$10,2,FALSE),""))</f>
        <v/>
      </c>
      <c r="Q462" t="str">
        <f>IF(A462="","",IFERROR(VLOOKUP(MID(A462,4,1),Map!$O$2:$P$10,2,FALSE),""))</f>
        <v/>
      </c>
    </row>
    <row r="463" spans="2:17" x14ac:dyDescent="0.25">
      <c r="B463" t="str">
        <f t="shared" si="70"/>
        <v/>
      </c>
      <c r="C463" t="str">
        <f t="shared" si="71"/>
        <v>**</v>
      </c>
      <c r="D463" t="str">
        <f t="shared" si="72"/>
        <v/>
      </c>
      <c r="E463" t="str">
        <f>IFERROR(VLOOKUP(MID(A463,7,2),Map!$A$2:$B$20,2,FALSE),"")</f>
        <v/>
      </c>
      <c r="F463" t="str">
        <f>IF(A463="","",IFERROR(VLOOKUP(MID(A463,9,2),Map!$R$2:$S$14,2,FALSE),""))</f>
        <v/>
      </c>
      <c r="G463" t="str">
        <f t="shared" si="73"/>
        <v/>
      </c>
      <c r="H463" t="str">
        <f t="shared" si="74"/>
        <v/>
      </c>
      <c r="I463" t="str">
        <f>IF(A463="","",IFERROR(VLOOKUP(LEFT(A463,1),Map!$D$2:$E$20,2,FALSE),""))</f>
        <v/>
      </c>
      <c r="J463" t="str">
        <f>IF(OR(H463="",NOT(OR(LEFT(H463,1)="G",LEFT(H463,1)="R"))),"",IFERROR(VLOOKUP(MID(H463,2,1),Map!$J$2:$M$10,2,FALSE),""))</f>
        <v/>
      </c>
      <c r="K463" t="str">
        <f t="shared" si="75"/>
        <v/>
      </c>
      <c r="L463" t="str">
        <f t="shared" si="76"/>
        <v/>
      </c>
      <c r="M463" t="str">
        <f t="shared" si="77"/>
        <v/>
      </c>
      <c r="N463" t="str">
        <f t="shared" si="78"/>
        <v/>
      </c>
      <c r="O463" t="str">
        <f t="shared" si="79"/>
        <v/>
      </c>
      <c r="P463" t="str">
        <f>IF(OR(H463="",NOT(OR(LEFT(H463,1)="G",LEFT(H463,1)="R"))),"",IFERROR(VLOOKUP(MID(H463,3,1),Map!$G$2:$H$10,2,FALSE),""))</f>
        <v/>
      </c>
      <c r="Q463" t="str">
        <f>IF(A463="","",IFERROR(VLOOKUP(MID(A463,4,1),Map!$O$2:$P$10,2,FALSE),""))</f>
        <v/>
      </c>
    </row>
    <row r="464" spans="2:17" x14ac:dyDescent="0.25">
      <c r="B464" t="str">
        <f t="shared" si="70"/>
        <v/>
      </c>
      <c r="C464" t="str">
        <f t="shared" si="71"/>
        <v>**</v>
      </c>
      <c r="D464" t="str">
        <f t="shared" si="72"/>
        <v/>
      </c>
      <c r="E464" t="str">
        <f>IFERROR(VLOOKUP(MID(A464,7,2),Map!$A$2:$B$20,2,FALSE),"")</f>
        <v/>
      </c>
      <c r="F464" t="str">
        <f>IF(A464="","",IFERROR(VLOOKUP(MID(A464,9,2),Map!$R$2:$S$14,2,FALSE),""))</f>
        <v/>
      </c>
      <c r="G464" t="str">
        <f t="shared" si="73"/>
        <v/>
      </c>
      <c r="H464" t="str">
        <f t="shared" si="74"/>
        <v/>
      </c>
      <c r="I464" t="str">
        <f>IF(A464="","",IFERROR(VLOOKUP(LEFT(A464,1),Map!$D$2:$E$20,2,FALSE),""))</f>
        <v/>
      </c>
      <c r="J464" t="str">
        <f>IF(OR(H464="",NOT(OR(LEFT(H464,1)="G",LEFT(H464,1)="R"))),"",IFERROR(VLOOKUP(MID(H464,2,1),Map!$J$2:$M$10,2,FALSE),""))</f>
        <v/>
      </c>
      <c r="K464" t="str">
        <f t="shared" si="75"/>
        <v/>
      </c>
      <c r="L464" t="str">
        <f t="shared" si="76"/>
        <v/>
      </c>
      <c r="M464" t="str">
        <f t="shared" si="77"/>
        <v/>
      </c>
      <c r="N464" t="str">
        <f t="shared" si="78"/>
        <v/>
      </c>
      <c r="O464" t="str">
        <f t="shared" si="79"/>
        <v/>
      </c>
      <c r="P464" t="str">
        <f>IF(OR(H464="",NOT(OR(LEFT(H464,1)="G",LEFT(H464,1)="R"))),"",IFERROR(VLOOKUP(MID(H464,3,1),Map!$G$2:$H$10,2,FALSE),""))</f>
        <v/>
      </c>
      <c r="Q464" t="str">
        <f>IF(A464="","",IFERROR(VLOOKUP(MID(A464,4,1),Map!$O$2:$P$10,2,FALSE),""))</f>
        <v/>
      </c>
    </row>
    <row r="465" spans="2:17" x14ac:dyDescent="0.25">
      <c r="B465" t="str">
        <f t="shared" si="70"/>
        <v/>
      </c>
      <c r="C465" t="str">
        <f t="shared" si="71"/>
        <v>**</v>
      </c>
      <c r="D465" t="str">
        <f t="shared" si="72"/>
        <v/>
      </c>
      <c r="E465" t="str">
        <f>IFERROR(VLOOKUP(MID(A465,7,2),Map!$A$2:$B$20,2,FALSE),"")</f>
        <v/>
      </c>
      <c r="F465" t="str">
        <f>IF(A465="","",IFERROR(VLOOKUP(MID(A465,9,2),Map!$R$2:$S$14,2,FALSE),""))</f>
        <v/>
      </c>
      <c r="G465" t="str">
        <f t="shared" si="73"/>
        <v/>
      </c>
      <c r="H465" t="str">
        <f t="shared" si="74"/>
        <v/>
      </c>
      <c r="I465" t="str">
        <f>IF(A465="","",IFERROR(VLOOKUP(LEFT(A465,1),Map!$D$2:$E$20,2,FALSE),""))</f>
        <v/>
      </c>
      <c r="J465" t="str">
        <f>IF(OR(H465="",NOT(OR(LEFT(H465,1)="G",LEFT(H465,1)="R"))),"",IFERROR(VLOOKUP(MID(H465,2,1),Map!$J$2:$M$10,2,FALSE),""))</f>
        <v/>
      </c>
      <c r="K465" t="str">
        <f t="shared" si="75"/>
        <v/>
      </c>
      <c r="L465" t="str">
        <f t="shared" si="76"/>
        <v/>
      </c>
      <c r="M465" t="str">
        <f t="shared" si="77"/>
        <v/>
      </c>
      <c r="N465" t="str">
        <f t="shared" si="78"/>
        <v/>
      </c>
      <c r="O465" t="str">
        <f t="shared" si="79"/>
        <v/>
      </c>
      <c r="P465" t="str">
        <f>IF(OR(H465="",NOT(OR(LEFT(H465,1)="G",LEFT(H465,1)="R"))),"",IFERROR(VLOOKUP(MID(H465,3,1),Map!$G$2:$H$10,2,FALSE),""))</f>
        <v/>
      </c>
      <c r="Q465" t="str">
        <f>IF(A465="","",IFERROR(VLOOKUP(MID(A465,4,1),Map!$O$2:$P$10,2,FALSE),""))</f>
        <v/>
      </c>
    </row>
    <row r="466" spans="2:17" x14ac:dyDescent="0.25">
      <c r="B466" t="str">
        <f t="shared" si="70"/>
        <v/>
      </c>
      <c r="C466" t="str">
        <f t="shared" si="71"/>
        <v>**</v>
      </c>
      <c r="D466" t="str">
        <f t="shared" si="72"/>
        <v/>
      </c>
      <c r="E466" t="str">
        <f>IFERROR(VLOOKUP(MID(A466,7,2),Map!$A$2:$B$20,2,FALSE),"")</f>
        <v/>
      </c>
      <c r="F466" t="str">
        <f>IF(A466="","",IFERROR(VLOOKUP(MID(A466,9,2),Map!$R$2:$S$14,2,FALSE),""))</f>
        <v/>
      </c>
      <c r="G466" t="str">
        <f t="shared" si="73"/>
        <v/>
      </c>
      <c r="H466" t="str">
        <f t="shared" si="74"/>
        <v/>
      </c>
      <c r="I466" t="str">
        <f>IF(A466="","",IFERROR(VLOOKUP(LEFT(A466,1),Map!$D$2:$E$20,2,FALSE),""))</f>
        <v/>
      </c>
      <c r="J466" t="str">
        <f>IF(OR(H466="",NOT(OR(LEFT(H466,1)="G",LEFT(H466,1)="R"))),"",IFERROR(VLOOKUP(MID(H466,2,1),Map!$J$2:$M$10,2,FALSE),""))</f>
        <v/>
      </c>
      <c r="K466" t="str">
        <f t="shared" si="75"/>
        <v/>
      </c>
      <c r="L466" t="str">
        <f t="shared" si="76"/>
        <v/>
      </c>
      <c r="M466" t="str">
        <f t="shared" si="77"/>
        <v/>
      </c>
      <c r="N466" t="str">
        <f t="shared" si="78"/>
        <v/>
      </c>
      <c r="O466" t="str">
        <f t="shared" si="79"/>
        <v/>
      </c>
      <c r="P466" t="str">
        <f>IF(OR(H466="",NOT(OR(LEFT(H466,1)="G",LEFT(H466,1)="R"))),"",IFERROR(VLOOKUP(MID(H466,3,1),Map!$G$2:$H$10,2,FALSE),""))</f>
        <v/>
      </c>
      <c r="Q466" t="str">
        <f>IF(A466="","",IFERROR(VLOOKUP(MID(A466,4,1),Map!$O$2:$P$10,2,FALSE),""))</f>
        <v/>
      </c>
    </row>
    <row r="467" spans="2:17" x14ac:dyDescent="0.25">
      <c r="B467" t="str">
        <f t="shared" si="70"/>
        <v/>
      </c>
      <c r="C467" t="str">
        <f t="shared" si="71"/>
        <v>**</v>
      </c>
      <c r="D467" t="str">
        <f t="shared" si="72"/>
        <v/>
      </c>
      <c r="E467" t="str">
        <f>IFERROR(VLOOKUP(MID(A467,7,2),Map!$A$2:$B$20,2,FALSE),"")</f>
        <v/>
      </c>
      <c r="F467" t="str">
        <f>IF(A467="","",IFERROR(VLOOKUP(MID(A467,9,2),Map!$R$2:$S$14,2,FALSE),""))</f>
        <v/>
      </c>
      <c r="G467" t="str">
        <f t="shared" si="73"/>
        <v/>
      </c>
      <c r="H467" t="str">
        <f t="shared" si="74"/>
        <v/>
      </c>
      <c r="I467" t="str">
        <f>IF(A467="","",IFERROR(VLOOKUP(LEFT(A467,1),Map!$D$2:$E$20,2,FALSE),""))</f>
        <v/>
      </c>
      <c r="J467" t="str">
        <f>IF(OR(H467="",NOT(OR(LEFT(H467,1)="G",LEFT(H467,1)="R"))),"",IFERROR(VLOOKUP(MID(H467,2,1),Map!$J$2:$M$10,2,FALSE),""))</f>
        <v/>
      </c>
      <c r="K467" t="str">
        <f t="shared" si="75"/>
        <v/>
      </c>
      <c r="L467" t="str">
        <f t="shared" si="76"/>
        <v/>
      </c>
      <c r="M467" t="str">
        <f t="shared" si="77"/>
        <v/>
      </c>
      <c r="N467" t="str">
        <f t="shared" si="78"/>
        <v/>
      </c>
      <c r="O467" t="str">
        <f t="shared" si="79"/>
        <v/>
      </c>
      <c r="P467" t="str">
        <f>IF(OR(H467="",NOT(OR(LEFT(H467,1)="G",LEFT(H467,1)="R"))),"",IFERROR(VLOOKUP(MID(H467,3,1),Map!$G$2:$H$10,2,FALSE),""))</f>
        <v/>
      </c>
      <c r="Q467" t="str">
        <f>IF(A467="","",IFERROR(VLOOKUP(MID(A467,4,1),Map!$O$2:$P$10,2,FALSE),""))</f>
        <v/>
      </c>
    </row>
    <row r="468" spans="2:17" x14ac:dyDescent="0.25">
      <c r="B468" t="str">
        <f t="shared" si="70"/>
        <v/>
      </c>
      <c r="C468" t="str">
        <f t="shared" si="71"/>
        <v>**</v>
      </c>
      <c r="D468" t="str">
        <f t="shared" si="72"/>
        <v/>
      </c>
      <c r="E468" t="str">
        <f>IFERROR(VLOOKUP(MID(A468,7,2),Map!$A$2:$B$20,2,FALSE),"")</f>
        <v/>
      </c>
      <c r="F468" t="str">
        <f>IF(A468="","",IFERROR(VLOOKUP(MID(A468,9,2),Map!$R$2:$S$14,2,FALSE),""))</f>
        <v/>
      </c>
      <c r="G468" t="str">
        <f t="shared" si="73"/>
        <v/>
      </c>
      <c r="H468" t="str">
        <f t="shared" si="74"/>
        <v/>
      </c>
      <c r="I468" t="str">
        <f>IF(A468="","",IFERROR(VLOOKUP(LEFT(A468,1),Map!$D$2:$E$20,2,FALSE),""))</f>
        <v/>
      </c>
      <c r="J468" t="str">
        <f>IF(OR(H468="",NOT(OR(LEFT(H468,1)="G",LEFT(H468,1)="R"))),"",IFERROR(VLOOKUP(MID(H468,2,1),Map!$J$2:$M$10,2,FALSE),""))</f>
        <v/>
      </c>
      <c r="K468" t="str">
        <f t="shared" si="75"/>
        <v/>
      </c>
      <c r="L468" t="str">
        <f t="shared" si="76"/>
        <v/>
      </c>
      <c r="M468" t="str">
        <f t="shared" si="77"/>
        <v/>
      </c>
      <c r="N468" t="str">
        <f t="shared" si="78"/>
        <v/>
      </c>
      <c r="O468" t="str">
        <f t="shared" si="79"/>
        <v/>
      </c>
      <c r="P468" t="str">
        <f>IF(OR(H468="",NOT(OR(LEFT(H468,1)="G",LEFT(H468,1)="R"))),"",IFERROR(VLOOKUP(MID(H468,3,1),Map!$G$2:$H$10,2,FALSE),""))</f>
        <v/>
      </c>
      <c r="Q468" t="str">
        <f>IF(A468="","",IFERROR(VLOOKUP(MID(A468,4,1),Map!$O$2:$P$10,2,FALSE),""))</f>
        <v/>
      </c>
    </row>
    <row r="469" spans="2:17" x14ac:dyDescent="0.25">
      <c r="B469" t="str">
        <f t="shared" si="70"/>
        <v/>
      </c>
      <c r="C469" t="str">
        <f t="shared" si="71"/>
        <v>**</v>
      </c>
      <c r="D469" t="str">
        <f t="shared" si="72"/>
        <v/>
      </c>
      <c r="E469" t="str">
        <f>IFERROR(VLOOKUP(MID(A469,7,2),Map!$A$2:$B$20,2,FALSE),"")</f>
        <v/>
      </c>
      <c r="F469" t="str">
        <f>IF(A469="","",IFERROR(VLOOKUP(MID(A469,9,2),Map!$R$2:$S$14,2,FALSE),""))</f>
        <v/>
      </c>
      <c r="G469" t="str">
        <f t="shared" si="73"/>
        <v/>
      </c>
      <c r="H469" t="str">
        <f t="shared" si="74"/>
        <v/>
      </c>
      <c r="I469" t="str">
        <f>IF(A469="","",IFERROR(VLOOKUP(LEFT(A469,1),Map!$D$2:$E$20,2,FALSE),""))</f>
        <v/>
      </c>
      <c r="J469" t="str">
        <f>IF(OR(H469="",NOT(OR(LEFT(H469,1)="G",LEFT(H469,1)="R"))),"",IFERROR(VLOOKUP(MID(H469,2,1),Map!$J$2:$M$10,2,FALSE),""))</f>
        <v/>
      </c>
      <c r="K469" t="str">
        <f t="shared" si="75"/>
        <v/>
      </c>
      <c r="L469" t="str">
        <f t="shared" si="76"/>
        <v/>
      </c>
      <c r="M469" t="str">
        <f t="shared" si="77"/>
        <v/>
      </c>
      <c r="N469" t="str">
        <f t="shared" si="78"/>
        <v/>
      </c>
      <c r="O469" t="str">
        <f t="shared" si="79"/>
        <v/>
      </c>
      <c r="P469" t="str">
        <f>IF(OR(H469="",NOT(OR(LEFT(H469,1)="G",LEFT(H469,1)="R"))),"",IFERROR(VLOOKUP(MID(H469,3,1),Map!$G$2:$H$10,2,FALSE),""))</f>
        <v/>
      </c>
      <c r="Q469" t="str">
        <f>IF(A469="","",IFERROR(VLOOKUP(MID(A469,4,1),Map!$O$2:$P$10,2,FALSE),""))</f>
        <v/>
      </c>
    </row>
    <row r="470" spans="2:17" x14ac:dyDescent="0.25">
      <c r="B470" t="str">
        <f t="shared" si="70"/>
        <v/>
      </c>
      <c r="C470" t="str">
        <f t="shared" si="71"/>
        <v>**</v>
      </c>
      <c r="D470" t="str">
        <f t="shared" si="72"/>
        <v/>
      </c>
      <c r="E470" t="str">
        <f>IFERROR(VLOOKUP(MID(A470,7,2),Map!$A$2:$B$20,2,FALSE),"")</f>
        <v/>
      </c>
      <c r="F470" t="str">
        <f>IF(A470="","",IFERROR(VLOOKUP(MID(A470,9,2),Map!$R$2:$S$14,2,FALSE),""))</f>
        <v/>
      </c>
      <c r="G470" t="str">
        <f t="shared" si="73"/>
        <v/>
      </c>
      <c r="H470" t="str">
        <f t="shared" si="74"/>
        <v/>
      </c>
      <c r="I470" t="str">
        <f>IF(A470="","",IFERROR(VLOOKUP(LEFT(A470,1),Map!$D$2:$E$20,2,FALSE),""))</f>
        <v/>
      </c>
      <c r="J470" t="str">
        <f>IF(OR(H470="",NOT(OR(LEFT(H470,1)="G",LEFT(H470,1)="R"))),"",IFERROR(VLOOKUP(MID(H470,2,1),Map!$J$2:$M$10,2,FALSE),""))</f>
        <v/>
      </c>
      <c r="K470" t="str">
        <f t="shared" si="75"/>
        <v/>
      </c>
      <c r="L470" t="str">
        <f t="shared" si="76"/>
        <v/>
      </c>
      <c r="M470" t="str">
        <f t="shared" si="77"/>
        <v/>
      </c>
      <c r="N470" t="str">
        <f t="shared" si="78"/>
        <v/>
      </c>
      <c r="O470" t="str">
        <f t="shared" si="79"/>
        <v/>
      </c>
      <c r="P470" t="str">
        <f>IF(OR(H470="",NOT(OR(LEFT(H470,1)="G",LEFT(H470,1)="R"))),"",IFERROR(VLOOKUP(MID(H470,3,1),Map!$G$2:$H$10,2,FALSE),""))</f>
        <v/>
      </c>
      <c r="Q470" t="str">
        <f>IF(A470="","",IFERROR(VLOOKUP(MID(A470,4,1),Map!$O$2:$P$10,2,FALSE),""))</f>
        <v/>
      </c>
    </row>
    <row r="471" spans="2:17" x14ac:dyDescent="0.25">
      <c r="B471" t="str">
        <f t="shared" si="70"/>
        <v/>
      </c>
      <c r="C471" t="str">
        <f t="shared" si="71"/>
        <v>**</v>
      </c>
      <c r="D471" t="str">
        <f t="shared" si="72"/>
        <v/>
      </c>
      <c r="E471" t="str">
        <f>IFERROR(VLOOKUP(MID(A471,7,2),Map!$A$2:$B$20,2,FALSE),"")</f>
        <v/>
      </c>
      <c r="F471" t="str">
        <f>IF(A471="","",IFERROR(VLOOKUP(MID(A471,9,2),Map!$R$2:$S$14,2,FALSE),""))</f>
        <v/>
      </c>
      <c r="G471" t="str">
        <f t="shared" si="73"/>
        <v/>
      </c>
      <c r="H471" t="str">
        <f t="shared" si="74"/>
        <v/>
      </c>
      <c r="I471" t="str">
        <f>IF(A471="","",IFERROR(VLOOKUP(LEFT(A471,1),Map!$D$2:$E$20,2,FALSE),""))</f>
        <v/>
      </c>
      <c r="J471" t="str">
        <f>IF(OR(H471="",NOT(OR(LEFT(H471,1)="G",LEFT(H471,1)="R"))),"",IFERROR(VLOOKUP(MID(H471,2,1),Map!$J$2:$M$10,2,FALSE),""))</f>
        <v/>
      </c>
      <c r="K471" t="str">
        <f t="shared" si="75"/>
        <v/>
      </c>
      <c r="L471" t="str">
        <f t="shared" si="76"/>
        <v/>
      </c>
      <c r="M471" t="str">
        <f t="shared" si="77"/>
        <v/>
      </c>
      <c r="N471" t="str">
        <f t="shared" si="78"/>
        <v/>
      </c>
      <c r="O471" t="str">
        <f t="shared" si="79"/>
        <v/>
      </c>
      <c r="P471" t="str">
        <f>IF(OR(H471="",NOT(OR(LEFT(H471,1)="G",LEFT(H471,1)="R"))),"",IFERROR(VLOOKUP(MID(H471,3,1),Map!$G$2:$H$10,2,FALSE),""))</f>
        <v/>
      </c>
      <c r="Q471" t="str">
        <f>IF(A471="","",IFERROR(VLOOKUP(MID(A471,4,1),Map!$O$2:$P$10,2,FALSE),""))</f>
        <v/>
      </c>
    </row>
    <row r="472" spans="2:17" x14ac:dyDescent="0.25">
      <c r="B472" t="str">
        <f t="shared" si="70"/>
        <v/>
      </c>
      <c r="C472" t="str">
        <f t="shared" si="71"/>
        <v>**</v>
      </c>
      <c r="D472" t="str">
        <f t="shared" si="72"/>
        <v/>
      </c>
      <c r="E472" t="str">
        <f>IFERROR(VLOOKUP(MID(A472,7,2),Map!$A$2:$B$20,2,FALSE),"")</f>
        <v/>
      </c>
      <c r="F472" t="str">
        <f>IF(A472="","",IFERROR(VLOOKUP(MID(A472,9,2),Map!$R$2:$S$14,2,FALSE),""))</f>
        <v/>
      </c>
      <c r="G472" t="str">
        <f t="shared" si="73"/>
        <v/>
      </c>
      <c r="H472" t="str">
        <f t="shared" si="74"/>
        <v/>
      </c>
      <c r="I472" t="str">
        <f>IF(A472="","",IFERROR(VLOOKUP(LEFT(A472,1),Map!$D$2:$E$20,2,FALSE),""))</f>
        <v/>
      </c>
      <c r="J472" t="str">
        <f>IF(OR(H472="",NOT(OR(LEFT(H472,1)="G",LEFT(H472,1)="R"))),"",IFERROR(VLOOKUP(MID(H472,2,1),Map!$J$2:$M$10,2,FALSE),""))</f>
        <v/>
      </c>
      <c r="K472" t="str">
        <f t="shared" si="75"/>
        <v/>
      </c>
      <c r="L472" t="str">
        <f t="shared" si="76"/>
        <v/>
      </c>
      <c r="M472" t="str">
        <f t="shared" si="77"/>
        <v/>
      </c>
      <c r="N472" t="str">
        <f t="shared" si="78"/>
        <v/>
      </c>
      <c r="O472" t="str">
        <f t="shared" si="79"/>
        <v/>
      </c>
      <c r="P472" t="str">
        <f>IF(OR(H472="",NOT(OR(LEFT(H472,1)="G",LEFT(H472,1)="R"))),"",IFERROR(VLOOKUP(MID(H472,3,1),Map!$G$2:$H$10,2,FALSE),""))</f>
        <v/>
      </c>
      <c r="Q472" t="str">
        <f>IF(A472="","",IFERROR(VLOOKUP(MID(A472,4,1),Map!$O$2:$P$10,2,FALSE),""))</f>
        <v/>
      </c>
    </row>
    <row r="473" spans="2:17" x14ac:dyDescent="0.25">
      <c r="B473" t="str">
        <f t="shared" si="70"/>
        <v/>
      </c>
      <c r="C473" t="str">
        <f t="shared" si="71"/>
        <v>**</v>
      </c>
      <c r="D473" t="str">
        <f t="shared" si="72"/>
        <v/>
      </c>
      <c r="E473" t="str">
        <f>IFERROR(VLOOKUP(MID(A473,7,2),Map!$A$2:$B$20,2,FALSE),"")</f>
        <v/>
      </c>
      <c r="F473" t="str">
        <f>IF(A473="","",IFERROR(VLOOKUP(MID(A473,9,2),Map!$R$2:$S$14,2,FALSE),""))</f>
        <v/>
      </c>
      <c r="G473" t="str">
        <f t="shared" si="73"/>
        <v/>
      </c>
      <c r="H473" t="str">
        <f t="shared" si="74"/>
        <v/>
      </c>
      <c r="I473" t="str">
        <f>IF(A473="","",IFERROR(VLOOKUP(LEFT(A473,1),Map!$D$2:$E$20,2,FALSE),""))</f>
        <v/>
      </c>
      <c r="J473" t="str">
        <f>IF(OR(H473="",NOT(OR(LEFT(H473,1)="G",LEFT(H473,1)="R"))),"",IFERROR(VLOOKUP(MID(H473,2,1),Map!$J$2:$M$10,2,FALSE),""))</f>
        <v/>
      </c>
      <c r="K473" t="str">
        <f t="shared" si="75"/>
        <v/>
      </c>
      <c r="L473" t="str">
        <f t="shared" si="76"/>
        <v/>
      </c>
      <c r="M473" t="str">
        <f t="shared" si="77"/>
        <v/>
      </c>
      <c r="N473" t="str">
        <f t="shared" si="78"/>
        <v/>
      </c>
      <c r="O473" t="str">
        <f t="shared" si="79"/>
        <v/>
      </c>
      <c r="P473" t="str">
        <f>IF(OR(H473="",NOT(OR(LEFT(H473,1)="G",LEFT(H473,1)="R"))),"",IFERROR(VLOOKUP(MID(H473,3,1),Map!$G$2:$H$10,2,FALSE),""))</f>
        <v/>
      </c>
      <c r="Q473" t="str">
        <f>IF(A473="","",IFERROR(VLOOKUP(MID(A473,4,1),Map!$O$2:$P$10,2,FALSE),""))</f>
        <v/>
      </c>
    </row>
    <row r="474" spans="2:17" x14ac:dyDescent="0.25">
      <c r="B474" t="str">
        <f t="shared" si="70"/>
        <v/>
      </c>
      <c r="C474" t="str">
        <f t="shared" si="71"/>
        <v>**</v>
      </c>
      <c r="D474" t="str">
        <f t="shared" si="72"/>
        <v/>
      </c>
      <c r="E474" t="str">
        <f>IFERROR(VLOOKUP(MID(A474,7,2),Map!$A$2:$B$20,2,FALSE),"")</f>
        <v/>
      </c>
      <c r="F474" t="str">
        <f>IF(A474="","",IFERROR(VLOOKUP(MID(A474,9,2),Map!$R$2:$S$14,2,FALSE),""))</f>
        <v/>
      </c>
      <c r="G474" t="str">
        <f t="shared" si="73"/>
        <v/>
      </c>
      <c r="H474" t="str">
        <f t="shared" si="74"/>
        <v/>
      </c>
      <c r="I474" t="str">
        <f>IF(A474="","",IFERROR(VLOOKUP(LEFT(A474,1),Map!$D$2:$E$20,2,FALSE),""))</f>
        <v/>
      </c>
      <c r="J474" t="str">
        <f>IF(OR(H474="",NOT(OR(LEFT(H474,1)="G",LEFT(H474,1)="R"))),"",IFERROR(VLOOKUP(MID(H474,2,1),Map!$J$2:$M$10,2,FALSE),""))</f>
        <v/>
      </c>
      <c r="K474" t="str">
        <f t="shared" si="75"/>
        <v/>
      </c>
      <c r="L474" t="str">
        <f t="shared" si="76"/>
        <v/>
      </c>
      <c r="M474" t="str">
        <f t="shared" si="77"/>
        <v/>
      </c>
      <c r="N474" t="str">
        <f t="shared" si="78"/>
        <v/>
      </c>
      <c r="O474" t="str">
        <f t="shared" si="79"/>
        <v/>
      </c>
      <c r="P474" t="str">
        <f>IF(OR(H474="",NOT(OR(LEFT(H474,1)="G",LEFT(H474,1)="R"))),"",IFERROR(VLOOKUP(MID(H474,3,1),Map!$G$2:$H$10,2,FALSE),""))</f>
        <v/>
      </c>
      <c r="Q474" t="str">
        <f>IF(A474="","",IFERROR(VLOOKUP(MID(A474,4,1),Map!$O$2:$P$10,2,FALSE),""))</f>
        <v/>
      </c>
    </row>
    <row r="475" spans="2:17" x14ac:dyDescent="0.25">
      <c r="B475" t="str">
        <f t="shared" si="70"/>
        <v/>
      </c>
      <c r="C475" t="str">
        <f t="shared" si="71"/>
        <v>**</v>
      </c>
      <c r="D475" t="str">
        <f t="shared" si="72"/>
        <v/>
      </c>
      <c r="E475" t="str">
        <f>IFERROR(VLOOKUP(MID(A475,7,2),Map!$A$2:$B$20,2,FALSE),"")</f>
        <v/>
      </c>
      <c r="F475" t="str">
        <f>IF(A475="","",IFERROR(VLOOKUP(MID(A475,9,2),Map!$R$2:$S$14,2,FALSE),""))</f>
        <v/>
      </c>
      <c r="G475" t="str">
        <f t="shared" si="73"/>
        <v/>
      </c>
      <c r="H475" t="str">
        <f t="shared" si="74"/>
        <v/>
      </c>
      <c r="I475" t="str">
        <f>IF(A475="","",IFERROR(VLOOKUP(LEFT(A475,1),Map!$D$2:$E$20,2,FALSE),""))</f>
        <v/>
      </c>
      <c r="J475" t="str">
        <f>IF(OR(H475="",NOT(OR(LEFT(H475,1)="G",LEFT(H475,1)="R"))),"",IFERROR(VLOOKUP(MID(H475,2,1),Map!$J$2:$M$10,2,FALSE),""))</f>
        <v/>
      </c>
      <c r="K475" t="str">
        <f t="shared" si="75"/>
        <v/>
      </c>
      <c r="L475" t="str">
        <f t="shared" si="76"/>
        <v/>
      </c>
      <c r="M475" t="str">
        <f t="shared" si="77"/>
        <v/>
      </c>
      <c r="N475" t="str">
        <f t="shared" si="78"/>
        <v/>
      </c>
      <c r="O475" t="str">
        <f t="shared" si="79"/>
        <v/>
      </c>
      <c r="P475" t="str">
        <f>IF(OR(H475="",NOT(OR(LEFT(H475,1)="G",LEFT(H475,1)="R"))),"",IFERROR(VLOOKUP(MID(H475,3,1),Map!$G$2:$H$10,2,FALSE),""))</f>
        <v/>
      </c>
      <c r="Q475" t="str">
        <f>IF(A475="","",IFERROR(VLOOKUP(MID(A475,4,1),Map!$O$2:$P$10,2,FALSE),""))</f>
        <v/>
      </c>
    </row>
    <row r="476" spans="2:17" x14ac:dyDescent="0.25">
      <c r="B476" t="str">
        <f t="shared" si="70"/>
        <v/>
      </c>
      <c r="C476" t="str">
        <f t="shared" si="71"/>
        <v>**</v>
      </c>
      <c r="D476" t="str">
        <f t="shared" si="72"/>
        <v/>
      </c>
      <c r="E476" t="str">
        <f>IFERROR(VLOOKUP(MID(A476,7,2),Map!$A$2:$B$20,2,FALSE),"")</f>
        <v/>
      </c>
      <c r="F476" t="str">
        <f>IF(A476="","",IFERROR(VLOOKUP(MID(A476,9,2),Map!$R$2:$S$14,2,FALSE),""))</f>
        <v/>
      </c>
      <c r="G476" t="str">
        <f t="shared" si="73"/>
        <v/>
      </c>
      <c r="H476" t="str">
        <f t="shared" si="74"/>
        <v/>
      </c>
      <c r="I476" t="str">
        <f>IF(A476="","",IFERROR(VLOOKUP(LEFT(A476,1),Map!$D$2:$E$20,2,FALSE),""))</f>
        <v/>
      </c>
      <c r="J476" t="str">
        <f>IF(OR(H476="",NOT(OR(LEFT(H476,1)="G",LEFT(H476,1)="R"))),"",IFERROR(VLOOKUP(MID(H476,2,1),Map!$J$2:$M$10,2,FALSE),""))</f>
        <v/>
      </c>
      <c r="K476" t="str">
        <f t="shared" si="75"/>
        <v/>
      </c>
      <c r="L476" t="str">
        <f t="shared" si="76"/>
        <v/>
      </c>
      <c r="M476" t="str">
        <f t="shared" si="77"/>
        <v/>
      </c>
      <c r="N476" t="str">
        <f t="shared" si="78"/>
        <v/>
      </c>
      <c r="O476" t="str">
        <f t="shared" si="79"/>
        <v/>
      </c>
      <c r="P476" t="str">
        <f>IF(OR(H476="",NOT(OR(LEFT(H476,1)="G",LEFT(H476,1)="R"))),"",IFERROR(VLOOKUP(MID(H476,3,1),Map!$G$2:$H$10,2,FALSE),""))</f>
        <v/>
      </c>
      <c r="Q476" t="str">
        <f>IF(A476="","",IFERROR(VLOOKUP(MID(A476,4,1),Map!$O$2:$P$10,2,FALSE),""))</f>
        <v/>
      </c>
    </row>
    <row r="477" spans="2:17" x14ac:dyDescent="0.25">
      <c r="B477" t="str">
        <f t="shared" si="70"/>
        <v/>
      </c>
      <c r="C477" t="str">
        <f t="shared" si="71"/>
        <v>**</v>
      </c>
      <c r="D477" t="str">
        <f t="shared" si="72"/>
        <v/>
      </c>
      <c r="E477" t="str">
        <f>IFERROR(VLOOKUP(MID(A477,7,2),Map!$A$2:$B$20,2,FALSE),"")</f>
        <v/>
      </c>
      <c r="F477" t="str">
        <f>IF(A477="","",IFERROR(VLOOKUP(MID(A477,9,2),Map!$R$2:$S$14,2,FALSE),""))</f>
        <v/>
      </c>
      <c r="G477" t="str">
        <f t="shared" si="73"/>
        <v/>
      </c>
      <c r="H477" t="str">
        <f t="shared" si="74"/>
        <v/>
      </c>
      <c r="I477" t="str">
        <f>IF(A477="","",IFERROR(VLOOKUP(LEFT(A477,1),Map!$D$2:$E$20,2,FALSE),""))</f>
        <v/>
      </c>
      <c r="J477" t="str">
        <f>IF(OR(H477="",NOT(OR(LEFT(H477,1)="G",LEFT(H477,1)="R"))),"",IFERROR(VLOOKUP(MID(H477,2,1),Map!$J$2:$M$10,2,FALSE),""))</f>
        <v/>
      </c>
      <c r="K477" t="str">
        <f t="shared" si="75"/>
        <v/>
      </c>
      <c r="L477" t="str">
        <f t="shared" si="76"/>
        <v/>
      </c>
      <c r="M477" t="str">
        <f t="shared" si="77"/>
        <v/>
      </c>
      <c r="N477" t="str">
        <f t="shared" si="78"/>
        <v/>
      </c>
      <c r="O477" t="str">
        <f t="shared" si="79"/>
        <v/>
      </c>
      <c r="P477" t="str">
        <f>IF(OR(H477="",NOT(OR(LEFT(H477,1)="G",LEFT(H477,1)="R"))),"",IFERROR(VLOOKUP(MID(H477,3,1),Map!$G$2:$H$10,2,FALSE),""))</f>
        <v/>
      </c>
      <c r="Q477" t="str">
        <f>IF(A477="","",IFERROR(VLOOKUP(MID(A477,4,1),Map!$O$2:$P$10,2,FALSE),""))</f>
        <v/>
      </c>
    </row>
    <row r="478" spans="2:17" x14ac:dyDescent="0.25">
      <c r="B478" t="str">
        <f t="shared" si="70"/>
        <v/>
      </c>
      <c r="C478" t="str">
        <f t="shared" si="71"/>
        <v>**</v>
      </c>
      <c r="D478" t="str">
        <f t="shared" si="72"/>
        <v/>
      </c>
      <c r="E478" t="str">
        <f>IFERROR(VLOOKUP(MID(A478,7,2),Map!$A$2:$B$20,2,FALSE),"")</f>
        <v/>
      </c>
      <c r="F478" t="str">
        <f>IF(A478="","",IFERROR(VLOOKUP(MID(A478,9,2),Map!$R$2:$S$14,2,FALSE),""))</f>
        <v/>
      </c>
      <c r="G478" t="str">
        <f t="shared" si="73"/>
        <v/>
      </c>
      <c r="H478" t="str">
        <f t="shared" si="74"/>
        <v/>
      </c>
      <c r="I478" t="str">
        <f>IF(A478="","",IFERROR(VLOOKUP(LEFT(A478,1),Map!$D$2:$E$20,2,FALSE),""))</f>
        <v/>
      </c>
      <c r="J478" t="str">
        <f>IF(OR(H478="",NOT(OR(LEFT(H478,1)="G",LEFT(H478,1)="R"))),"",IFERROR(VLOOKUP(MID(H478,2,1),Map!$J$2:$M$10,2,FALSE),""))</f>
        <v/>
      </c>
      <c r="K478" t="str">
        <f t="shared" si="75"/>
        <v/>
      </c>
      <c r="L478" t="str">
        <f t="shared" si="76"/>
        <v/>
      </c>
      <c r="M478" t="str">
        <f t="shared" si="77"/>
        <v/>
      </c>
      <c r="N478" t="str">
        <f t="shared" si="78"/>
        <v/>
      </c>
      <c r="O478" t="str">
        <f t="shared" si="79"/>
        <v/>
      </c>
      <c r="P478" t="str">
        <f>IF(OR(H478="",NOT(OR(LEFT(H478,1)="G",LEFT(H478,1)="R"))),"",IFERROR(VLOOKUP(MID(H478,3,1),Map!$G$2:$H$10,2,FALSE),""))</f>
        <v/>
      </c>
      <c r="Q478" t="str">
        <f>IF(A478="","",IFERROR(VLOOKUP(MID(A478,4,1),Map!$O$2:$P$10,2,FALSE),""))</f>
        <v/>
      </c>
    </row>
    <row r="479" spans="2:17" x14ac:dyDescent="0.25">
      <c r="B479" t="str">
        <f t="shared" si="70"/>
        <v/>
      </c>
      <c r="C479" t="str">
        <f t="shared" si="71"/>
        <v>**</v>
      </c>
      <c r="D479" t="str">
        <f t="shared" si="72"/>
        <v/>
      </c>
      <c r="E479" t="str">
        <f>IFERROR(VLOOKUP(MID(A479,7,2),Map!$A$2:$B$20,2,FALSE),"")</f>
        <v/>
      </c>
      <c r="F479" t="str">
        <f>IF(A479="","",IFERROR(VLOOKUP(MID(A479,9,2),Map!$R$2:$S$14,2,FALSE),""))</f>
        <v/>
      </c>
      <c r="G479" t="str">
        <f t="shared" si="73"/>
        <v/>
      </c>
      <c r="H479" t="str">
        <f t="shared" si="74"/>
        <v/>
      </c>
      <c r="I479" t="str">
        <f>IF(A479="","",IFERROR(VLOOKUP(LEFT(A479,1),Map!$D$2:$E$20,2,FALSE),""))</f>
        <v/>
      </c>
      <c r="J479" t="str">
        <f>IF(OR(H479="",NOT(OR(LEFT(H479,1)="G",LEFT(H479,1)="R"))),"",IFERROR(VLOOKUP(MID(H479,2,1),Map!$J$2:$M$10,2,FALSE),""))</f>
        <v/>
      </c>
      <c r="K479" t="str">
        <f t="shared" si="75"/>
        <v/>
      </c>
      <c r="L479" t="str">
        <f t="shared" si="76"/>
        <v/>
      </c>
      <c r="M479" t="str">
        <f t="shared" si="77"/>
        <v/>
      </c>
      <c r="N479" t="str">
        <f t="shared" si="78"/>
        <v/>
      </c>
      <c r="O479" t="str">
        <f t="shared" si="79"/>
        <v/>
      </c>
      <c r="P479" t="str">
        <f>IF(OR(H479="",NOT(OR(LEFT(H479,1)="G",LEFT(H479,1)="R"))),"",IFERROR(VLOOKUP(MID(H479,3,1),Map!$G$2:$H$10,2,FALSE),""))</f>
        <v/>
      </c>
      <c r="Q479" t="str">
        <f>IF(A479="","",IFERROR(VLOOKUP(MID(A479,4,1),Map!$O$2:$P$10,2,FALSE),""))</f>
        <v/>
      </c>
    </row>
    <row r="480" spans="2:17" x14ac:dyDescent="0.25">
      <c r="B480" t="str">
        <f t="shared" si="70"/>
        <v/>
      </c>
      <c r="C480" t="str">
        <f t="shared" si="71"/>
        <v>**</v>
      </c>
      <c r="D480" t="str">
        <f t="shared" si="72"/>
        <v/>
      </c>
      <c r="E480" t="str">
        <f>IFERROR(VLOOKUP(MID(A480,7,2),Map!$A$2:$B$20,2,FALSE),"")</f>
        <v/>
      </c>
      <c r="F480" t="str">
        <f>IF(A480="","",IFERROR(VLOOKUP(MID(A480,9,2),Map!$R$2:$S$14,2,FALSE),""))</f>
        <v/>
      </c>
      <c r="G480" t="str">
        <f t="shared" si="73"/>
        <v/>
      </c>
      <c r="H480" t="str">
        <f t="shared" si="74"/>
        <v/>
      </c>
      <c r="I480" t="str">
        <f>IF(A480="","",IFERROR(VLOOKUP(LEFT(A480,1),Map!$D$2:$E$20,2,FALSE),""))</f>
        <v/>
      </c>
      <c r="J480" t="str">
        <f>IF(OR(H480="",NOT(OR(LEFT(H480,1)="G",LEFT(H480,1)="R"))),"",IFERROR(VLOOKUP(MID(H480,2,1),Map!$J$2:$M$10,2,FALSE),""))</f>
        <v/>
      </c>
      <c r="K480" t="str">
        <f t="shared" si="75"/>
        <v/>
      </c>
      <c r="L480" t="str">
        <f t="shared" si="76"/>
        <v/>
      </c>
      <c r="M480" t="str">
        <f t="shared" si="77"/>
        <v/>
      </c>
      <c r="N480" t="str">
        <f t="shared" si="78"/>
        <v/>
      </c>
      <c r="O480" t="str">
        <f t="shared" si="79"/>
        <v/>
      </c>
      <c r="P480" t="str">
        <f>IF(OR(H480="",NOT(OR(LEFT(H480,1)="G",LEFT(H480,1)="R"))),"",IFERROR(VLOOKUP(MID(H480,3,1),Map!$G$2:$H$10,2,FALSE),""))</f>
        <v/>
      </c>
      <c r="Q480" t="str">
        <f>IF(A480="","",IFERROR(VLOOKUP(MID(A480,4,1),Map!$O$2:$P$10,2,FALSE),""))</f>
        <v/>
      </c>
    </row>
    <row r="481" spans="2:17" x14ac:dyDescent="0.25">
      <c r="B481" t="str">
        <f t="shared" si="70"/>
        <v/>
      </c>
      <c r="C481" t="str">
        <f t="shared" si="71"/>
        <v>**</v>
      </c>
      <c r="D481" t="str">
        <f t="shared" si="72"/>
        <v/>
      </c>
      <c r="E481" t="str">
        <f>IFERROR(VLOOKUP(MID(A481,7,2),Map!$A$2:$B$20,2,FALSE),"")</f>
        <v/>
      </c>
      <c r="F481" t="str">
        <f>IF(A481="","",IFERROR(VLOOKUP(MID(A481,9,2),Map!$R$2:$S$14,2,FALSE),""))</f>
        <v/>
      </c>
      <c r="G481" t="str">
        <f t="shared" si="73"/>
        <v/>
      </c>
      <c r="H481" t="str">
        <f t="shared" si="74"/>
        <v/>
      </c>
      <c r="I481" t="str">
        <f>IF(A481="","",IFERROR(VLOOKUP(LEFT(A481,1),Map!$D$2:$E$20,2,FALSE),""))</f>
        <v/>
      </c>
      <c r="J481" t="str">
        <f>IF(OR(H481="",NOT(OR(LEFT(H481,1)="G",LEFT(H481,1)="R"))),"",IFERROR(VLOOKUP(MID(H481,2,1),Map!$J$2:$M$10,2,FALSE),""))</f>
        <v/>
      </c>
      <c r="K481" t="str">
        <f t="shared" si="75"/>
        <v/>
      </c>
      <c r="L481" t="str">
        <f t="shared" si="76"/>
        <v/>
      </c>
      <c r="M481" t="str">
        <f t="shared" si="77"/>
        <v/>
      </c>
      <c r="N481" t="str">
        <f t="shared" si="78"/>
        <v/>
      </c>
      <c r="O481" t="str">
        <f t="shared" si="79"/>
        <v/>
      </c>
      <c r="P481" t="str">
        <f>IF(OR(H481="",NOT(OR(LEFT(H481,1)="G",LEFT(H481,1)="R"))),"",IFERROR(VLOOKUP(MID(H481,3,1),Map!$G$2:$H$10,2,FALSE),""))</f>
        <v/>
      </c>
      <c r="Q481" t="str">
        <f>IF(A481="","",IFERROR(VLOOKUP(MID(A481,4,1),Map!$O$2:$P$10,2,FALSE),""))</f>
        <v/>
      </c>
    </row>
    <row r="482" spans="2:17" x14ac:dyDescent="0.25">
      <c r="B482" t="str">
        <f t="shared" si="70"/>
        <v/>
      </c>
      <c r="C482" t="str">
        <f t="shared" si="71"/>
        <v>**</v>
      </c>
      <c r="D482" t="str">
        <f t="shared" si="72"/>
        <v/>
      </c>
      <c r="E482" t="str">
        <f>IFERROR(VLOOKUP(MID(A482,7,2),Map!$A$2:$B$20,2,FALSE),"")</f>
        <v/>
      </c>
      <c r="F482" t="str">
        <f>IF(A482="","",IFERROR(VLOOKUP(MID(A482,9,2),Map!$R$2:$S$14,2,FALSE),""))</f>
        <v/>
      </c>
      <c r="G482" t="str">
        <f t="shared" si="73"/>
        <v/>
      </c>
      <c r="H482" t="str">
        <f t="shared" si="74"/>
        <v/>
      </c>
      <c r="I482" t="str">
        <f>IF(A482="","",IFERROR(VLOOKUP(LEFT(A482,1),Map!$D$2:$E$20,2,FALSE),""))</f>
        <v/>
      </c>
      <c r="J482" t="str">
        <f>IF(OR(H482="",NOT(OR(LEFT(H482,1)="G",LEFT(H482,1)="R"))),"",IFERROR(VLOOKUP(MID(H482,2,1),Map!$J$2:$M$10,2,FALSE),""))</f>
        <v/>
      </c>
      <c r="K482" t="str">
        <f t="shared" si="75"/>
        <v/>
      </c>
      <c r="L482" t="str">
        <f t="shared" si="76"/>
        <v/>
      </c>
      <c r="M482" t="str">
        <f t="shared" si="77"/>
        <v/>
      </c>
      <c r="N482" t="str">
        <f t="shared" si="78"/>
        <v/>
      </c>
      <c r="O482" t="str">
        <f t="shared" si="79"/>
        <v/>
      </c>
      <c r="P482" t="str">
        <f>IF(OR(H482="",NOT(OR(LEFT(H482,1)="G",LEFT(H482,1)="R"))),"",IFERROR(VLOOKUP(MID(H482,3,1),Map!$G$2:$H$10,2,FALSE),""))</f>
        <v/>
      </c>
      <c r="Q482" t="str">
        <f>IF(A482="","",IFERROR(VLOOKUP(MID(A482,4,1),Map!$O$2:$P$10,2,FALSE),""))</f>
        <v/>
      </c>
    </row>
    <row r="483" spans="2:17" x14ac:dyDescent="0.25">
      <c r="B483" t="str">
        <f t="shared" si="70"/>
        <v/>
      </c>
      <c r="C483" t="str">
        <f t="shared" si="71"/>
        <v>**</v>
      </c>
      <c r="D483" t="str">
        <f t="shared" si="72"/>
        <v/>
      </c>
      <c r="E483" t="str">
        <f>IFERROR(VLOOKUP(MID(A483,7,2),Map!$A$2:$B$20,2,FALSE),"")</f>
        <v/>
      </c>
      <c r="F483" t="str">
        <f>IF(A483="","",IFERROR(VLOOKUP(MID(A483,9,2),Map!$R$2:$S$14,2,FALSE),""))</f>
        <v/>
      </c>
      <c r="G483" t="str">
        <f t="shared" si="73"/>
        <v/>
      </c>
      <c r="H483" t="str">
        <f t="shared" si="74"/>
        <v/>
      </c>
      <c r="I483" t="str">
        <f>IF(A483="","",IFERROR(VLOOKUP(LEFT(A483,1),Map!$D$2:$E$20,2,FALSE),""))</f>
        <v/>
      </c>
      <c r="J483" t="str">
        <f>IF(OR(H483="",NOT(OR(LEFT(H483,1)="G",LEFT(H483,1)="R"))),"",IFERROR(VLOOKUP(MID(H483,2,1),Map!$J$2:$M$10,2,FALSE),""))</f>
        <v/>
      </c>
      <c r="K483" t="str">
        <f t="shared" si="75"/>
        <v/>
      </c>
      <c r="L483" t="str">
        <f t="shared" si="76"/>
        <v/>
      </c>
      <c r="M483" t="str">
        <f t="shared" si="77"/>
        <v/>
      </c>
      <c r="N483" t="str">
        <f t="shared" si="78"/>
        <v/>
      </c>
      <c r="O483" t="str">
        <f t="shared" si="79"/>
        <v/>
      </c>
      <c r="P483" t="str">
        <f>IF(OR(H483="",NOT(OR(LEFT(H483,1)="G",LEFT(H483,1)="R"))),"",IFERROR(VLOOKUP(MID(H483,3,1),Map!$G$2:$H$10,2,FALSE),""))</f>
        <v/>
      </c>
      <c r="Q483" t="str">
        <f>IF(A483="","",IFERROR(VLOOKUP(MID(A483,4,1),Map!$O$2:$P$10,2,FALSE),""))</f>
        <v/>
      </c>
    </row>
    <row r="484" spans="2:17" x14ac:dyDescent="0.25">
      <c r="B484" t="str">
        <f t="shared" si="70"/>
        <v/>
      </c>
      <c r="C484" t="str">
        <f t="shared" si="71"/>
        <v>**</v>
      </c>
      <c r="D484" t="str">
        <f t="shared" si="72"/>
        <v/>
      </c>
      <c r="E484" t="str">
        <f>IFERROR(VLOOKUP(MID(A484,7,2),Map!$A$2:$B$20,2,FALSE),"")</f>
        <v/>
      </c>
      <c r="F484" t="str">
        <f>IF(A484="","",IFERROR(VLOOKUP(MID(A484,9,2),Map!$R$2:$S$14,2,FALSE),""))</f>
        <v/>
      </c>
      <c r="G484" t="str">
        <f t="shared" si="73"/>
        <v/>
      </c>
      <c r="H484" t="str">
        <f t="shared" si="74"/>
        <v/>
      </c>
      <c r="I484" t="str">
        <f>IF(A484="","",IFERROR(VLOOKUP(LEFT(A484,1),Map!$D$2:$E$20,2,FALSE),""))</f>
        <v/>
      </c>
      <c r="J484" t="str">
        <f>IF(OR(H484="",NOT(OR(LEFT(H484,1)="G",LEFT(H484,1)="R"))),"",IFERROR(VLOOKUP(MID(H484,2,1),Map!$J$2:$M$10,2,FALSE),""))</f>
        <v/>
      </c>
      <c r="K484" t="str">
        <f t="shared" si="75"/>
        <v/>
      </c>
      <c r="L484" t="str">
        <f t="shared" si="76"/>
        <v/>
      </c>
      <c r="M484" t="str">
        <f t="shared" si="77"/>
        <v/>
      </c>
      <c r="N484" t="str">
        <f t="shared" si="78"/>
        <v/>
      </c>
      <c r="O484" t="str">
        <f t="shared" si="79"/>
        <v/>
      </c>
      <c r="P484" t="str">
        <f>IF(OR(H484="",NOT(OR(LEFT(H484,1)="G",LEFT(H484,1)="R"))),"",IFERROR(VLOOKUP(MID(H484,3,1),Map!$G$2:$H$10,2,FALSE),""))</f>
        <v/>
      </c>
      <c r="Q484" t="str">
        <f>IF(A484="","",IFERROR(VLOOKUP(MID(A484,4,1),Map!$O$2:$P$10,2,FALSE),""))</f>
        <v/>
      </c>
    </row>
    <row r="485" spans="2:17" x14ac:dyDescent="0.25">
      <c r="B485" t="str">
        <f t="shared" si="70"/>
        <v/>
      </c>
      <c r="C485" t="str">
        <f t="shared" si="71"/>
        <v>**</v>
      </c>
      <c r="D485" t="str">
        <f t="shared" si="72"/>
        <v/>
      </c>
      <c r="E485" t="str">
        <f>IFERROR(VLOOKUP(MID(A485,7,2),Map!$A$2:$B$20,2,FALSE),"")</f>
        <v/>
      </c>
      <c r="F485" t="str">
        <f>IF(A485="","",IFERROR(VLOOKUP(MID(A485,9,2),Map!$R$2:$S$14,2,FALSE),""))</f>
        <v/>
      </c>
      <c r="G485" t="str">
        <f t="shared" si="73"/>
        <v/>
      </c>
      <c r="H485" t="str">
        <f t="shared" si="74"/>
        <v/>
      </c>
      <c r="I485" t="str">
        <f>IF(A485="","",IFERROR(VLOOKUP(LEFT(A485,1),Map!$D$2:$E$20,2,FALSE),""))</f>
        <v/>
      </c>
      <c r="J485" t="str">
        <f>IF(OR(H485="",NOT(OR(LEFT(H485,1)="G",LEFT(H485,1)="R"))),"",IFERROR(VLOOKUP(MID(H485,2,1),Map!$J$2:$M$10,2,FALSE),""))</f>
        <v/>
      </c>
      <c r="K485" t="str">
        <f t="shared" si="75"/>
        <v/>
      </c>
      <c r="L485" t="str">
        <f t="shared" si="76"/>
        <v/>
      </c>
      <c r="M485" t="str">
        <f t="shared" si="77"/>
        <v/>
      </c>
      <c r="N485" t="str">
        <f t="shared" si="78"/>
        <v/>
      </c>
      <c r="O485" t="str">
        <f t="shared" si="79"/>
        <v/>
      </c>
      <c r="P485" t="str">
        <f>IF(OR(H485="",NOT(OR(LEFT(H485,1)="G",LEFT(H485,1)="R"))),"",IFERROR(VLOOKUP(MID(H485,3,1),Map!$G$2:$H$10,2,FALSE),""))</f>
        <v/>
      </c>
      <c r="Q485" t="str">
        <f>IF(A485="","",IFERROR(VLOOKUP(MID(A485,4,1),Map!$O$2:$P$10,2,FALSE),""))</f>
        <v/>
      </c>
    </row>
    <row r="486" spans="2:17" x14ac:dyDescent="0.25">
      <c r="B486" t="str">
        <f t="shared" si="70"/>
        <v/>
      </c>
      <c r="C486" t="str">
        <f t="shared" si="71"/>
        <v>**</v>
      </c>
      <c r="D486" t="str">
        <f t="shared" si="72"/>
        <v/>
      </c>
      <c r="E486" t="str">
        <f>IFERROR(VLOOKUP(MID(A486,7,2),Map!$A$2:$B$20,2,FALSE),"")</f>
        <v/>
      </c>
      <c r="F486" t="str">
        <f>IF(A486="","",IFERROR(VLOOKUP(MID(A486,9,2),Map!$R$2:$S$14,2,FALSE),""))</f>
        <v/>
      </c>
      <c r="G486" t="str">
        <f t="shared" si="73"/>
        <v/>
      </c>
      <c r="H486" t="str">
        <f t="shared" si="74"/>
        <v/>
      </c>
      <c r="I486" t="str">
        <f>IF(A486="","",IFERROR(VLOOKUP(LEFT(A486,1),Map!$D$2:$E$20,2,FALSE),""))</f>
        <v/>
      </c>
      <c r="J486" t="str">
        <f>IF(OR(H486="",NOT(OR(LEFT(H486,1)="G",LEFT(H486,1)="R"))),"",IFERROR(VLOOKUP(MID(H486,2,1),Map!$J$2:$M$10,2,FALSE),""))</f>
        <v/>
      </c>
      <c r="K486" t="str">
        <f t="shared" si="75"/>
        <v/>
      </c>
      <c r="L486" t="str">
        <f t="shared" si="76"/>
        <v/>
      </c>
      <c r="M486" t="str">
        <f t="shared" si="77"/>
        <v/>
      </c>
      <c r="N486" t="str">
        <f t="shared" si="78"/>
        <v/>
      </c>
      <c r="O486" t="str">
        <f t="shared" si="79"/>
        <v/>
      </c>
      <c r="P486" t="str">
        <f>IF(OR(H486="",NOT(OR(LEFT(H486,1)="G",LEFT(H486,1)="R"))),"",IFERROR(VLOOKUP(MID(H486,3,1),Map!$G$2:$H$10,2,FALSE),""))</f>
        <v/>
      </c>
      <c r="Q486" t="str">
        <f>IF(A486="","",IFERROR(VLOOKUP(MID(A486,4,1),Map!$O$2:$P$10,2,FALSE),""))</f>
        <v/>
      </c>
    </row>
    <row r="487" spans="2:17" x14ac:dyDescent="0.25">
      <c r="B487" t="str">
        <f t="shared" si="70"/>
        <v/>
      </c>
      <c r="C487" t="str">
        <f t="shared" si="71"/>
        <v>**</v>
      </c>
      <c r="D487" t="str">
        <f t="shared" si="72"/>
        <v/>
      </c>
      <c r="E487" t="str">
        <f>IFERROR(VLOOKUP(MID(A487,7,2),Map!$A$2:$B$20,2,FALSE),"")</f>
        <v/>
      </c>
      <c r="F487" t="str">
        <f>IF(A487="","",IFERROR(VLOOKUP(MID(A487,9,2),Map!$R$2:$S$14,2,FALSE),""))</f>
        <v/>
      </c>
      <c r="G487" t="str">
        <f t="shared" si="73"/>
        <v/>
      </c>
      <c r="H487" t="str">
        <f t="shared" si="74"/>
        <v/>
      </c>
      <c r="I487" t="str">
        <f>IF(A487="","",IFERROR(VLOOKUP(LEFT(A487,1),Map!$D$2:$E$20,2,FALSE),""))</f>
        <v/>
      </c>
      <c r="J487" t="str">
        <f>IF(OR(H487="",NOT(OR(LEFT(H487,1)="G",LEFT(H487,1)="R"))),"",IFERROR(VLOOKUP(MID(H487,2,1),Map!$J$2:$M$10,2,FALSE),""))</f>
        <v/>
      </c>
      <c r="K487" t="str">
        <f t="shared" si="75"/>
        <v/>
      </c>
      <c r="L487" t="str">
        <f t="shared" si="76"/>
        <v/>
      </c>
      <c r="M487" t="str">
        <f t="shared" si="77"/>
        <v/>
      </c>
      <c r="N487" t="str">
        <f t="shared" si="78"/>
        <v/>
      </c>
      <c r="O487" t="str">
        <f t="shared" si="79"/>
        <v/>
      </c>
      <c r="P487" t="str">
        <f>IF(OR(H487="",NOT(OR(LEFT(H487,1)="G",LEFT(H487,1)="R"))),"",IFERROR(VLOOKUP(MID(H487,3,1),Map!$G$2:$H$10,2,FALSE),""))</f>
        <v/>
      </c>
      <c r="Q487" t="str">
        <f>IF(A487="","",IFERROR(VLOOKUP(MID(A487,4,1),Map!$O$2:$P$10,2,FALSE),""))</f>
        <v/>
      </c>
    </row>
    <row r="488" spans="2:17" x14ac:dyDescent="0.25">
      <c r="B488" t="str">
        <f t="shared" si="70"/>
        <v/>
      </c>
      <c r="C488" t="str">
        <f t="shared" si="71"/>
        <v>**</v>
      </c>
      <c r="D488" t="str">
        <f t="shared" si="72"/>
        <v/>
      </c>
      <c r="E488" t="str">
        <f>IFERROR(VLOOKUP(MID(A488,7,2),Map!$A$2:$B$20,2,FALSE),"")</f>
        <v/>
      </c>
      <c r="F488" t="str">
        <f>IF(A488="","",IFERROR(VLOOKUP(MID(A488,9,2),Map!$R$2:$S$14,2,FALSE),""))</f>
        <v/>
      </c>
      <c r="G488" t="str">
        <f t="shared" si="73"/>
        <v/>
      </c>
      <c r="H488" t="str">
        <f t="shared" si="74"/>
        <v/>
      </c>
      <c r="I488" t="str">
        <f>IF(A488="","",IFERROR(VLOOKUP(LEFT(A488,1),Map!$D$2:$E$20,2,FALSE),""))</f>
        <v/>
      </c>
      <c r="J488" t="str">
        <f>IF(OR(H488="",NOT(OR(LEFT(H488,1)="G",LEFT(H488,1)="R"))),"",IFERROR(VLOOKUP(MID(H488,2,1),Map!$J$2:$M$10,2,FALSE),""))</f>
        <v/>
      </c>
      <c r="K488" t="str">
        <f t="shared" si="75"/>
        <v/>
      </c>
      <c r="L488" t="str">
        <f t="shared" si="76"/>
        <v/>
      </c>
      <c r="M488" t="str">
        <f t="shared" si="77"/>
        <v/>
      </c>
      <c r="N488" t="str">
        <f t="shared" si="78"/>
        <v/>
      </c>
      <c r="O488" t="str">
        <f t="shared" si="79"/>
        <v/>
      </c>
      <c r="P488" t="str">
        <f>IF(OR(H488="",NOT(OR(LEFT(H488,1)="G",LEFT(H488,1)="R"))),"",IFERROR(VLOOKUP(MID(H488,3,1),Map!$G$2:$H$10,2,FALSE),""))</f>
        <v/>
      </c>
      <c r="Q488" t="str">
        <f>IF(A488="","",IFERROR(VLOOKUP(MID(A488,4,1),Map!$O$2:$P$10,2,FALSE),""))</f>
        <v/>
      </c>
    </row>
    <row r="489" spans="2:17" x14ac:dyDescent="0.25">
      <c r="B489" t="str">
        <f t="shared" si="70"/>
        <v/>
      </c>
      <c r="C489" t="str">
        <f t="shared" si="71"/>
        <v>**</v>
      </c>
      <c r="D489" t="str">
        <f t="shared" si="72"/>
        <v/>
      </c>
      <c r="E489" t="str">
        <f>IFERROR(VLOOKUP(MID(A489,7,2),Map!$A$2:$B$20,2,FALSE),"")</f>
        <v/>
      </c>
      <c r="F489" t="str">
        <f>IF(A489="","",IFERROR(VLOOKUP(MID(A489,9,2),Map!$R$2:$S$14,2,FALSE),""))</f>
        <v/>
      </c>
      <c r="G489" t="str">
        <f t="shared" si="73"/>
        <v/>
      </c>
      <c r="H489" t="str">
        <f t="shared" si="74"/>
        <v/>
      </c>
      <c r="I489" t="str">
        <f>IF(A489="","",IFERROR(VLOOKUP(LEFT(A489,1),Map!$D$2:$E$20,2,FALSE),""))</f>
        <v/>
      </c>
      <c r="J489" t="str">
        <f>IF(OR(H489="",NOT(OR(LEFT(H489,1)="G",LEFT(H489,1)="R"))),"",IFERROR(VLOOKUP(MID(H489,2,1),Map!$J$2:$M$10,2,FALSE),""))</f>
        <v/>
      </c>
      <c r="K489" t="str">
        <f t="shared" si="75"/>
        <v/>
      </c>
      <c r="L489" t="str">
        <f t="shared" si="76"/>
        <v/>
      </c>
      <c r="M489" t="str">
        <f t="shared" si="77"/>
        <v/>
      </c>
      <c r="N489" t="str">
        <f t="shared" si="78"/>
        <v/>
      </c>
      <c r="O489" t="str">
        <f t="shared" si="79"/>
        <v/>
      </c>
      <c r="P489" t="str">
        <f>IF(OR(H489="",NOT(OR(LEFT(H489,1)="G",LEFT(H489,1)="R"))),"",IFERROR(VLOOKUP(MID(H489,3,1),Map!$G$2:$H$10,2,FALSE),""))</f>
        <v/>
      </c>
      <c r="Q489" t="str">
        <f>IF(A489="","",IFERROR(VLOOKUP(MID(A489,4,1),Map!$O$2:$P$10,2,FALSE),""))</f>
        <v/>
      </c>
    </row>
    <row r="490" spans="2:17" x14ac:dyDescent="0.25">
      <c r="B490" t="str">
        <f t="shared" si="70"/>
        <v/>
      </c>
      <c r="C490" t="str">
        <f t="shared" si="71"/>
        <v>**</v>
      </c>
      <c r="D490" t="str">
        <f t="shared" si="72"/>
        <v/>
      </c>
      <c r="E490" t="str">
        <f>IFERROR(VLOOKUP(MID(A490,7,2),Map!$A$2:$B$20,2,FALSE),"")</f>
        <v/>
      </c>
      <c r="F490" t="str">
        <f>IF(A490="","",IFERROR(VLOOKUP(MID(A490,9,2),Map!$R$2:$S$14,2,FALSE),""))</f>
        <v/>
      </c>
      <c r="G490" t="str">
        <f t="shared" si="73"/>
        <v/>
      </c>
      <c r="H490" t="str">
        <f t="shared" si="74"/>
        <v/>
      </c>
      <c r="I490" t="str">
        <f>IF(A490="","",IFERROR(VLOOKUP(LEFT(A490,1),Map!$D$2:$E$20,2,FALSE),""))</f>
        <v/>
      </c>
      <c r="J490" t="str">
        <f>IF(OR(H490="",NOT(OR(LEFT(H490,1)="G",LEFT(H490,1)="R"))),"",IFERROR(VLOOKUP(MID(H490,2,1),Map!$J$2:$M$10,2,FALSE),""))</f>
        <v/>
      </c>
      <c r="K490" t="str">
        <f t="shared" si="75"/>
        <v/>
      </c>
      <c r="L490" t="str">
        <f t="shared" si="76"/>
        <v/>
      </c>
      <c r="M490" t="str">
        <f t="shared" si="77"/>
        <v/>
      </c>
      <c r="N490" t="str">
        <f t="shared" si="78"/>
        <v/>
      </c>
      <c r="O490" t="str">
        <f t="shared" si="79"/>
        <v/>
      </c>
      <c r="P490" t="str">
        <f>IF(OR(H490="",NOT(OR(LEFT(H490,1)="G",LEFT(H490,1)="R"))),"",IFERROR(VLOOKUP(MID(H490,3,1),Map!$G$2:$H$10,2,FALSE),""))</f>
        <v/>
      </c>
      <c r="Q490" t="str">
        <f>IF(A490="","",IFERROR(VLOOKUP(MID(A490,4,1),Map!$O$2:$P$10,2,FALSE),""))</f>
        <v/>
      </c>
    </row>
    <row r="491" spans="2:17" x14ac:dyDescent="0.25">
      <c r="B491" t="str">
        <f t="shared" si="70"/>
        <v/>
      </c>
      <c r="C491" t="str">
        <f t="shared" si="71"/>
        <v>**</v>
      </c>
      <c r="D491" t="str">
        <f t="shared" si="72"/>
        <v/>
      </c>
      <c r="E491" t="str">
        <f>IFERROR(VLOOKUP(MID(A491,7,2),Map!$A$2:$B$20,2,FALSE),"")</f>
        <v/>
      </c>
      <c r="F491" t="str">
        <f>IF(A491="","",IFERROR(VLOOKUP(MID(A491,9,2),Map!$R$2:$S$14,2,FALSE),""))</f>
        <v/>
      </c>
      <c r="G491" t="str">
        <f t="shared" si="73"/>
        <v/>
      </c>
      <c r="H491" t="str">
        <f t="shared" si="74"/>
        <v/>
      </c>
      <c r="I491" t="str">
        <f>IF(A491="","",IFERROR(VLOOKUP(LEFT(A491,1),Map!$D$2:$E$20,2,FALSE),""))</f>
        <v/>
      </c>
      <c r="J491" t="str">
        <f>IF(OR(H491="",NOT(OR(LEFT(H491,1)="G",LEFT(H491,1)="R"))),"",IFERROR(VLOOKUP(MID(H491,2,1),Map!$J$2:$M$10,2,FALSE),""))</f>
        <v/>
      </c>
      <c r="K491" t="str">
        <f t="shared" si="75"/>
        <v/>
      </c>
      <c r="L491" t="str">
        <f t="shared" si="76"/>
        <v/>
      </c>
      <c r="M491" t="str">
        <f t="shared" si="77"/>
        <v/>
      </c>
      <c r="N491" t="str">
        <f t="shared" si="78"/>
        <v/>
      </c>
      <c r="O491" t="str">
        <f t="shared" si="79"/>
        <v/>
      </c>
      <c r="P491" t="str">
        <f>IF(OR(H491="",NOT(OR(LEFT(H491,1)="G",LEFT(H491,1)="R"))),"",IFERROR(VLOOKUP(MID(H491,3,1),Map!$G$2:$H$10,2,FALSE),""))</f>
        <v/>
      </c>
      <c r="Q491" t="str">
        <f>IF(A491="","",IFERROR(VLOOKUP(MID(A491,4,1),Map!$O$2:$P$10,2,FALSE),""))</f>
        <v/>
      </c>
    </row>
    <row r="492" spans="2:17" x14ac:dyDescent="0.25">
      <c r="B492" t="str">
        <f t="shared" si="70"/>
        <v/>
      </c>
      <c r="C492" t="str">
        <f t="shared" si="71"/>
        <v>**</v>
      </c>
      <c r="D492" t="str">
        <f t="shared" si="72"/>
        <v/>
      </c>
      <c r="E492" t="str">
        <f>IFERROR(VLOOKUP(MID(A492,7,2),Map!$A$2:$B$20,2,FALSE),"")</f>
        <v/>
      </c>
      <c r="F492" t="str">
        <f>IF(A492="","",IFERROR(VLOOKUP(MID(A492,9,2),Map!$R$2:$S$14,2,FALSE),""))</f>
        <v/>
      </c>
      <c r="G492" t="str">
        <f t="shared" si="73"/>
        <v/>
      </c>
      <c r="H492" t="str">
        <f t="shared" si="74"/>
        <v/>
      </c>
      <c r="I492" t="str">
        <f>IF(A492="","",IFERROR(VLOOKUP(LEFT(A492,1),Map!$D$2:$E$20,2,FALSE),""))</f>
        <v/>
      </c>
      <c r="J492" t="str">
        <f>IF(OR(H492="",NOT(OR(LEFT(H492,1)="G",LEFT(H492,1)="R"))),"",IFERROR(VLOOKUP(MID(H492,2,1),Map!$J$2:$M$10,2,FALSE),""))</f>
        <v/>
      </c>
      <c r="K492" t="str">
        <f t="shared" si="75"/>
        <v/>
      </c>
      <c r="L492" t="str">
        <f t="shared" si="76"/>
        <v/>
      </c>
      <c r="M492" t="str">
        <f t="shared" si="77"/>
        <v/>
      </c>
      <c r="N492" t="str">
        <f t="shared" si="78"/>
        <v/>
      </c>
      <c r="O492" t="str">
        <f t="shared" si="79"/>
        <v/>
      </c>
      <c r="P492" t="str">
        <f>IF(OR(H492="",NOT(OR(LEFT(H492,1)="G",LEFT(H492,1)="R"))),"",IFERROR(VLOOKUP(MID(H492,3,1),Map!$G$2:$H$10,2,FALSE),""))</f>
        <v/>
      </c>
      <c r="Q492" t="str">
        <f>IF(A492="","",IFERROR(VLOOKUP(MID(A492,4,1),Map!$O$2:$P$10,2,FALSE),""))</f>
        <v/>
      </c>
    </row>
    <row r="493" spans="2:17" x14ac:dyDescent="0.25">
      <c r="B493" t="str">
        <f t="shared" si="70"/>
        <v/>
      </c>
      <c r="C493" t="str">
        <f t="shared" si="71"/>
        <v>**</v>
      </c>
      <c r="D493" t="str">
        <f t="shared" si="72"/>
        <v/>
      </c>
      <c r="E493" t="str">
        <f>IFERROR(VLOOKUP(MID(A493,7,2),Map!$A$2:$B$20,2,FALSE),"")</f>
        <v/>
      </c>
      <c r="F493" t="str">
        <f>IF(A493="","",IFERROR(VLOOKUP(MID(A493,9,2),Map!$R$2:$S$14,2,FALSE),""))</f>
        <v/>
      </c>
      <c r="G493" t="str">
        <f t="shared" si="73"/>
        <v/>
      </c>
      <c r="H493" t="str">
        <f t="shared" si="74"/>
        <v/>
      </c>
      <c r="I493" t="str">
        <f>IF(A493="","",IFERROR(VLOOKUP(LEFT(A493,1),Map!$D$2:$E$20,2,FALSE),""))</f>
        <v/>
      </c>
      <c r="J493" t="str">
        <f>IF(OR(H493="",NOT(OR(LEFT(H493,1)="G",LEFT(H493,1)="R"))),"",IFERROR(VLOOKUP(MID(H493,2,1),Map!$J$2:$M$10,2,FALSE),""))</f>
        <v/>
      </c>
      <c r="K493" t="str">
        <f t="shared" si="75"/>
        <v/>
      </c>
      <c r="L493" t="str">
        <f t="shared" si="76"/>
        <v/>
      </c>
      <c r="M493" t="str">
        <f t="shared" si="77"/>
        <v/>
      </c>
      <c r="N493" t="str">
        <f t="shared" si="78"/>
        <v/>
      </c>
      <c r="O493" t="str">
        <f t="shared" si="79"/>
        <v/>
      </c>
      <c r="P493" t="str">
        <f>IF(OR(H493="",NOT(OR(LEFT(H493,1)="G",LEFT(H493,1)="R"))),"",IFERROR(VLOOKUP(MID(H493,3,1),Map!$G$2:$H$10,2,FALSE),""))</f>
        <v/>
      </c>
      <c r="Q493" t="str">
        <f>IF(A493="","",IFERROR(VLOOKUP(MID(A493,4,1),Map!$O$2:$P$10,2,FALSE),""))</f>
        <v/>
      </c>
    </row>
    <row r="494" spans="2:17" x14ac:dyDescent="0.25">
      <c r="B494" t="str">
        <f t="shared" si="70"/>
        <v/>
      </c>
      <c r="C494" t="str">
        <f t="shared" si="71"/>
        <v>**</v>
      </c>
      <c r="D494" t="str">
        <f t="shared" si="72"/>
        <v/>
      </c>
      <c r="E494" t="str">
        <f>IFERROR(VLOOKUP(MID(A494,7,2),Map!$A$2:$B$20,2,FALSE),"")</f>
        <v/>
      </c>
      <c r="F494" t="str">
        <f>IF(A494="","",IFERROR(VLOOKUP(MID(A494,9,2),Map!$R$2:$S$14,2,FALSE),""))</f>
        <v/>
      </c>
      <c r="G494" t="str">
        <f t="shared" si="73"/>
        <v/>
      </c>
      <c r="H494" t="str">
        <f t="shared" si="74"/>
        <v/>
      </c>
      <c r="I494" t="str">
        <f>IF(A494="","",IFERROR(VLOOKUP(LEFT(A494,1),Map!$D$2:$E$20,2,FALSE),""))</f>
        <v/>
      </c>
      <c r="J494" t="str">
        <f>IF(OR(H494="",NOT(OR(LEFT(H494,1)="G",LEFT(H494,1)="R"))),"",IFERROR(VLOOKUP(MID(H494,2,1),Map!$J$2:$M$10,2,FALSE),""))</f>
        <v/>
      </c>
      <c r="K494" t="str">
        <f t="shared" si="75"/>
        <v/>
      </c>
      <c r="L494" t="str">
        <f t="shared" si="76"/>
        <v/>
      </c>
      <c r="M494" t="str">
        <f t="shared" si="77"/>
        <v/>
      </c>
      <c r="N494" t="str">
        <f t="shared" si="78"/>
        <v/>
      </c>
      <c r="O494" t="str">
        <f t="shared" si="79"/>
        <v/>
      </c>
      <c r="P494" t="str">
        <f>IF(OR(H494="",NOT(OR(LEFT(H494,1)="G",LEFT(H494,1)="R"))),"",IFERROR(VLOOKUP(MID(H494,3,1),Map!$G$2:$H$10,2,FALSE),""))</f>
        <v/>
      </c>
      <c r="Q494" t="str">
        <f>IF(A494="","",IFERROR(VLOOKUP(MID(A494,4,1),Map!$O$2:$P$10,2,FALSE),""))</f>
        <v/>
      </c>
    </row>
    <row r="495" spans="2:17" x14ac:dyDescent="0.25">
      <c r="B495" t="str">
        <f t="shared" si="70"/>
        <v/>
      </c>
      <c r="C495" t="str">
        <f t="shared" si="71"/>
        <v>**</v>
      </c>
      <c r="D495" t="str">
        <f t="shared" si="72"/>
        <v/>
      </c>
      <c r="E495" t="str">
        <f>IFERROR(VLOOKUP(MID(A495,7,2),Map!$A$2:$B$20,2,FALSE),"")</f>
        <v/>
      </c>
      <c r="F495" t="str">
        <f>IF(A495="","",IFERROR(VLOOKUP(MID(A495,9,2),Map!$R$2:$S$14,2,FALSE),""))</f>
        <v/>
      </c>
      <c r="G495" t="str">
        <f t="shared" si="73"/>
        <v/>
      </c>
      <c r="H495" t="str">
        <f t="shared" si="74"/>
        <v/>
      </c>
      <c r="I495" t="str">
        <f>IF(A495="","",IFERROR(VLOOKUP(LEFT(A495,1),Map!$D$2:$E$20,2,FALSE),""))</f>
        <v/>
      </c>
      <c r="J495" t="str">
        <f>IF(OR(H495="",NOT(OR(LEFT(H495,1)="G",LEFT(H495,1)="R"))),"",IFERROR(VLOOKUP(MID(H495,2,1),Map!$J$2:$M$10,2,FALSE),""))</f>
        <v/>
      </c>
      <c r="K495" t="str">
        <f t="shared" si="75"/>
        <v/>
      </c>
      <c r="L495" t="str">
        <f t="shared" si="76"/>
        <v/>
      </c>
      <c r="M495" t="str">
        <f t="shared" si="77"/>
        <v/>
      </c>
      <c r="N495" t="str">
        <f t="shared" si="78"/>
        <v/>
      </c>
      <c r="O495" t="str">
        <f t="shared" si="79"/>
        <v/>
      </c>
      <c r="P495" t="str">
        <f>IF(OR(H495="",NOT(OR(LEFT(H495,1)="G",LEFT(H495,1)="R"))),"",IFERROR(VLOOKUP(MID(H495,3,1),Map!$G$2:$H$10,2,FALSE),""))</f>
        <v/>
      </c>
      <c r="Q495" t="str">
        <f>IF(A495="","",IFERROR(VLOOKUP(MID(A495,4,1),Map!$O$2:$P$10,2,FALSE),""))</f>
        <v/>
      </c>
    </row>
    <row r="496" spans="2:17" x14ac:dyDescent="0.25">
      <c r="B496" t="str">
        <f t="shared" si="70"/>
        <v/>
      </c>
      <c r="C496" t="str">
        <f t="shared" si="71"/>
        <v>**</v>
      </c>
      <c r="D496" t="str">
        <f t="shared" si="72"/>
        <v/>
      </c>
      <c r="E496" t="str">
        <f>IFERROR(VLOOKUP(MID(A496,7,2),Map!$A$2:$B$20,2,FALSE),"")</f>
        <v/>
      </c>
      <c r="F496" t="str">
        <f>IF(A496="","",IFERROR(VLOOKUP(MID(A496,9,2),Map!$R$2:$S$14,2,FALSE),""))</f>
        <v/>
      </c>
      <c r="G496" t="str">
        <f t="shared" si="73"/>
        <v/>
      </c>
      <c r="H496" t="str">
        <f t="shared" si="74"/>
        <v/>
      </c>
      <c r="I496" t="str">
        <f>IF(A496="","",IFERROR(VLOOKUP(LEFT(A496,1),Map!$D$2:$E$20,2,FALSE),""))</f>
        <v/>
      </c>
      <c r="J496" t="str">
        <f>IF(OR(H496="",NOT(OR(LEFT(H496,1)="G",LEFT(H496,1)="R"))),"",IFERROR(VLOOKUP(MID(H496,2,1),Map!$J$2:$M$10,2,FALSE),""))</f>
        <v/>
      </c>
      <c r="K496" t="str">
        <f t="shared" si="75"/>
        <v/>
      </c>
      <c r="L496" t="str">
        <f t="shared" si="76"/>
        <v/>
      </c>
      <c r="M496" t="str">
        <f t="shared" si="77"/>
        <v/>
      </c>
      <c r="N496" t="str">
        <f t="shared" si="78"/>
        <v/>
      </c>
      <c r="O496" t="str">
        <f t="shared" si="79"/>
        <v/>
      </c>
      <c r="P496" t="str">
        <f>IF(OR(H496="",NOT(OR(LEFT(H496,1)="G",LEFT(H496,1)="R"))),"",IFERROR(VLOOKUP(MID(H496,3,1),Map!$G$2:$H$10,2,FALSE),""))</f>
        <v/>
      </c>
      <c r="Q496" t="str">
        <f>IF(A496="","",IFERROR(VLOOKUP(MID(A496,4,1),Map!$O$2:$P$10,2,FALSE),""))</f>
        <v/>
      </c>
    </row>
    <row r="497" spans="2:17" x14ac:dyDescent="0.25">
      <c r="B497" t="str">
        <f t="shared" si="70"/>
        <v/>
      </c>
      <c r="C497" t="str">
        <f t="shared" si="71"/>
        <v>**</v>
      </c>
      <c r="D497" t="str">
        <f t="shared" si="72"/>
        <v/>
      </c>
      <c r="E497" t="str">
        <f>IFERROR(VLOOKUP(MID(A497,7,2),Map!$A$2:$B$20,2,FALSE),"")</f>
        <v/>
      </c>
      <c r="F497" t="str">
        <f>IF(A497="","",IFERROR(VLOOKUP(MID(A497,9,2),Map!$R$2:$S$14,2,FALSE),""))</f>
        <v/>
      </c>
      <c r="G497" t="str">
        <f t="shared" si="73"/>
        <v/>
      </c>
      <c r="H497" t="str">
        <f t="shared" si="74"/>
        <v/>
      </c>
      <c r="I497" t="str">
        <f>IF(A497="","",IFERROR(VLOOKUP(LEFT(A497,1),Map!$D$2:$E$20,2,FALSE),""))</f>
        <v/>
      </c>
      <c r="J497" t="str">
        <f>IF(OR(H497="",NOT(OR(LEFT(H497,1)="G",LEFT(H497,1)="R"))),"",IFERROR(VLOOKUP(MID(H497,2,1),Map!$J$2:$M$10,2,FALSE),""))</f>
        <v/>
      </c>
      <c r="K497" t="str">
        <f t="shared" si="75"/>
        <v/>
      </c>
      <c r="L497" t="str">
        <f t="shared" si="76"/>
        <v/>
      </c>
      <c r="M497" t="str">
        <f t="shared" si="77"/>
        <v/>
      </c>
      <c r="N497" t="str">
        <f t="shared" si="78"/>
        <v/>
      </c>
      <c r="O497" t="str">
        <f t="shared" si="79"/>
        <v/>
      </c>
      <c r="P497" t="str">
        <f>IF(OR(H497="",NOT(OR(LEFT(H497,1)="G",LEFT(H497,1)="R"))),"",IFERROR(VLOOKUP(MID(H497,3,1),Map!$G$2:$H$10,2,FALSE),""))</f>
        <v/>
      </c>
      <c r="Q497" t="str">
        <f>IF(A497="","",IFERROR(VLOOKUP(MID(A497,4,1),Map!$O$2:$P$10,2,FALSE),""))</f>
        <v/>
      </c>
    </row>
    <row r="498" spans="2:17" x14ac:dyDescent="0.25">
      <c r="B498" t="str">
        <f t="shared" si="70"/>
        <v/>
      </c>
      <c r="C498" t="str">
        <f t="shared" si="71"/>
        <v>**</v>
      </c>
      <c r="D498" t="str">
        <f t="shared" si="72"/>
        <v/>
      </c>
      <c r="E498" t="str">
        <f>IFERROR(VLOOKUP(MID(A498,7,2),Map!$A$2:$B$20,2,FALSE),"")</f>
        <v/>
      </c>
      <c r="F498" t="str">
        <f>IF(A498="","",IFERROR(VLOOKUP(MID(A498,9,2),Map!$R$2:$S$14,2,FALSE),""))</f>
        <v/>
      </c>
      <c r="G498" t="str">
        <f t="shared" si="73"/>
        <v/>
      </c>
      <c r="H498" t="str">
        <f t="shared" si="74"/>
        <v/>
      </c>
      <c r="I498" t="str">
        <f>IF(A498="","",IFERROR(VLOOKUP(LEFT(A498,1),Map!$D$2:$E$20,2,FALSE),""))</f>
        <v/>
      </c>
      <c r="J498" t="str">
        <f>IF(OR(H498="",NOT(OR(LEFT(H498,1)="G",LEFT(H498,1)="R"))),"",IFERROR(VLOOKUP(MID(H498,2,1),Map!$J$2:$M$10,2,FALSE),""))</f>
        <v/>
      </c>
      <c r="K498" t="str">
        <f t="shared" si="75"/>
        <v/>
      </c>
      <c r="L498" t="str">
        <f t="shared" si="76"/>
        <v/>
      </c>
      <c r="M498" t="str">
        <f t="shared" si="77"/>
        <v/>
      </c>
      <c r="N498" t="str">
        <f t="shared" si="78"/>
        <v/>
      </c>
      <c r="O498" t="str">
        <f t="shared" si="79"/>
        <v/>
      </c>
      <c r="P498" t="str">
        <f>IF(OR(H498="",NOT(OR(LEFT(H498,1)="G",LEFT(H498,1)="R"))),"",IFERROR(VLOOKUP(MID(H498,3,1),Map!$G$2:$H$10,2,FALSE),""))</f>
        <v/>
      </c>
      <c r="Q498" t="str">
        <f>IF(A498="","",IFERROR(VLOOKUP(MID(A498,4,1),Map!$O$2:$P$10,2,FALSE),""))</f>
        <v/>
      </c>
    </row>
    <row r="499" spans="2:17" x14ac:dyDescent="0.25">
      <c r="B499" t="str">
        <f t="shared" si="70"/>
        <v/>
      </c>
      <c r="C499" t="str">
        <f t="shared" si="71"/>
        <v>**</v>
      </c>
      <c r="D499" t="str">
        <f t="shared" si="72"/>
        <v/>
      </c>
      <c r="E499" t="str">
        <f>IFERROR(VLOOKUP(MID(A499,7,2),Map!$A$2:$B$20,2,FALSE),"")</f>
        <v/>
      </c>
      <c r="F499" t="str">
        <f>IF(A499="","",IFERROR(VLOOKUP(MID(A499,9,2),Map!$R$2:$S$14,2,FALSE),""))</f>
        <v/>
      </c>
      <c r="G499" t="str">
        <f t="shared" si="73"/>
        <v/>
      </c>
      <c r="H499" t="str">
        <f t="shared" si="74"/>
        <v/>
      </c>
      <c r="I499" t="str">
        <f>IF(A499="","",IFERROR(VLOOKUP(LEFT(A499,1),Map!$D$2:$E$20,2,FALSE),""))</f>
        <v/>
      </c>
      <c r="J499" t="str">
        <f>IF(OR(H499="",NOT(OR(LEFT(H499,1)="G",LEFT(H499,1)="R"))),"",IFERROR(VLOOKUP(MID(H499,2,1),Map!$J$2:$M$10,2,FALSE),""))</f>
        <v/>
      </c>
      <c r="K499" t="str">
        <f t="shared" si="75"/>
        <v/>
      </c>
      <c r="L499" t="str">
        <f t="shared" si="76"/>
        <v/>
      </c>
      <c r="M499" t="str">
        <f t="shared" si="77"/>
        <v/>
      </c>
      <c r="N499" t="str">
        <f t="shared" si="78"/>
        <v/>
      </c>
      <c r="O499" t="str">
        <f t="shared" si="79"/>
        <v/>
      </c>
      <c r="P499" t="str">
        <f>IF(OR(H499="",NOT(OR(LEFT(H499,1)="G",LEFT(H499,1)="R"))),"",IFERROR(VLOOKUP(MID(H499,3,1),Map!$G$2:$H$10,2,FALSE),""))</f>
        <v/>
      </c>
      <c r="Q499" t="str">
        <f>IF(A499="","",IFERROR(VLOOKUP(MID(A499,4,1),Map!$O$2:$P$10,2,FALSE),""))</f>
        <v/>
      </c>
    </row>
    <row r="500" spans="2:17" x14ac:dyDescent="0.25">
      <c r="B500" t="str">
        <f t="shared" si="70"/>
        <v/>
      </c>
      <c r="C500" t="str">
        <f t="shared" si="71"/>
        <v>**</v>
      </c>
      <c r="D500" t="str">
        <f t="shared" si="72"/>
        <v/>
      </c>
      <c r="E500" t="str">
        <f>IFERROR(VLOOKUP(MID(A500,7,2),Map!$A$2:$B$20,2,FALSE),"")</f>
        <v/>
      </c>
      <c r="F500" t="str">
        <f>IF(A500="","",IFERROR(VLOOKUP(MID(A500,9,2),Map!$R$2:$S$14,2,FALSE),""))</f>
        <v/>
      </c>
      <c r="G500" t="str">
        <f t="shared" si="73"/>
        <v/>
      </c>
      <c r="H500" t="str">
        <f t="shared" si="74"/>
        <v/>
      </c>
      <c r="I500" t="str">
        <f>IF(A500="","",IFERROR(VLOOKUP(LEFT(A500,1),Map!$D$2:$E$20,2,FALSE),""))</f>
        <v/>
      </c>
      <c r="J500" t="str">
        <f>IF(OR(H500="",NOT(OR(LEFT(H500,1)="G",LEFT(H500,1)="R"))),"",IFERROR(VLOOKUP(MID(H500,2,1),Map!$J$2:$M$10,2,FALSE),""))</f>
        <v/>
      </c>
      <c r="K500" t="str">
        <f t="shared" si="75"/>
        <v/>
      </c>
      <c r="L500" t="str">
        <f t="shared" si="76"/>
        <v/>
      </c>
      <c r="M500" t="str">
        <f t="shared" si="77"/>
        <v/>
      </c>
      <c r="N500" t="str">
        <f t="shared" si="78"/>
        <v/>
      </c>
      <c r="O500" t="str">
        <f t="shared" si="79"/>
        <v/>
      </c>
      <c r="P500" t="str">
        <f>IF(OR(H500="",NOT(OR(LEFT(H500,1)="G",LEFT(H500,1)="R"))),"",IFERROR(VLOOKUP(MID(H500,3,1),Map!$G$2:$H$10,2,FALSE),""))</f>
        <v/>
      </c>
      <c r="Q500" t="str">
        <f>IF(A500="","",IFERROR(VLOOKUP(MID(A500,4,1),Map!$O$2:$P$10,2,FALSE),""))</f>
        <v/>
      </c>
    </row>
    <row r="501" spans="2:17" x14ac:dyDescent="0.25">
      <c r="B501" t="str">
        <f t="shared" si="70"/>
        <v/>
      </c>
      <c r="C501" t="str">
        <f t="shared" si="71"/>
        <v>**</v>
      </c>
      <c r="D501" t="str">
        <f t="shared" si="72"/>
        <v/>
      </c>
      <c r="E501" t="str">
        <f>IFERROR(VLOOKUP(MID(A501,7,2),Map!$A$2:$B$20,2,FALSE),"")</f>
        <v/>
      </c>
      <c r="F501" t="str">
        <f>IF(A501="","",IFERROR(VLOOKUP(MID(A501,9,2),Map!$R$2:$S$14,2,FALSE),""))</f>
        <v/>
      </c>
      <c r="G501" t="str">
        <f t="shared" si="73"/>
        <v/>
      </c>
      <c r="H501" t="str">
        <f t="shared" si="74"/>
        <v/>
      </c>
      <c r="I501" t="str">
        <f>IF(A501="","",IFERROR(VLOOKUP(LEFT(A501,1),Map!$D$2:$E$20,2,FALSE),""))</f>
        <v/>
      </c>
      <c r="J501" t="str">
        <f>IF(OR(H501="",NOT(OR(LEFT(H501,1)="G",LEFT(H501,1)="R"))),"",IFERROR(VLOOKUP(MID(H501,2,1),Map!$J$2:$M$10,2,FALSE),""))</f>
        <v/>
      </c>
      <c r="K501" t="str">
        <f t="shared" si="75"/>
        <v/>
      </c>
      <c r="L501" t="str">
        <f t="shared" si="76"/>
        <v/>
      </c>
      <c r="M501" t="str">
        <f t="shared" si="77"/>
        <v/>
      </c>
      <c r="N501" t="str">
        <f t="shared" si="78"/>
        <v/>
      </c>
      <c r="O501" t="str">
        <f t="shared" si="79"/>
        <v/>
      </c>
      <c r="P501" t="str">
        <f>IF(OR(H501="",NOT(OR(LEFT(H501,1)="G",LEFT(H501,1)="R"))),"",IFERROR(VLOOKUP(MID(H501,3,1),Map!$G$2:$H$10,2,FALSE),""))</f>
        <v/>
      </c>
      <c r="Q501" t="str">
        <f>IF(A501="","",IFERROR(VLOOKUP(MID(A501,4,1),Map!$O$2:$P$10,2,FALSE),""))</f>
        <v/>
      </c>
    </row>
    <row r="502" spans="2:17" x14ac:dyDescent="0.25">
      <c r="B502" t="str">
        <f t="shared" si="70"/>
        <v/>
      </c>
      <c r="C502" t="str">
        <f t="shared" si="71"/>
        <v>**</v>
      </c>
      <c r="D502" t="str">
        <f t="shared" si="72"/>
        <v/>
      </c>
      <c r="E502" t="str">
        <f>IFERROR(VLOOKUP(MID(A502,7,2),Map!$A$2:$B$20,2,FALSE),"")</f>
        <v/>
      </c>
      <c r="F502" t="str">
        <f>IF(A502="","",IFERROR(VLOOKUP(MID(A502,9,2),Map!$R$2:$S$14,2,FALSE),""))</f>
        <v/>
      </c>
      <c r="G502" t="str">
        <f t="shared" si="73"/>
        <v/>
      </c>
      <c r="H502" t="str">
        <f t="shared" si="74"/>
        <v/>
      </c>
      <c r="I502" t="str">
        <f>IF(A502="","",IFERROR(VLOOKUP(LEFT(A502,1),Map!$D$2:$E$20,2,FALSE),""))</f>
        <v/>
      </c>
      <c r="J502" t="str">
        <f>IF(OR(H502="",NOT(OR(LEFT(H502,1)="G",LEFT(H502,1)="R"))),"",IFERROR(VLOOKUP(MID(H502,2,1),Map!$J$2:$M$10,2,FALSE),""))</f>
        <v/>
      </c>
      <c r="K502" t="str">
        <f t="shared" si="75"/>
        <v/>
      </c>
      <c r="L502" t="str">
        <f t="shared" si="76"/>
        <v/>
      </c>
      <c r="M502" t="str">
        <f t="shared" si="77"/>
        <v/>
      </c>
      <c r="N502" t="str">
        <f t="shared" si="78"/>
        <v/>
      </c>
      <c r="O502" t="str">
        <f t="shared" si="79"/>
        <v/>
      </c>
      <c r="P502" t="str">
        <f>IF(OR(H502="",NOT(OR(LEFT(H502,1)="G",LEFT(H502,1)="R"))),"",IFERROR(VLOOKUP(MID(H502,3,1),Map!$G$2:$H$10,2,FALSE),""))</f>
        <v/>
      </c>
      <c r="Q502" t="str">
        <f>IF(A502="","",IFERROR(VLOOKUP(MID(A502,4,1),Map!$O$2:$P$10,2,FALSE),""))</f>
        <v/>
      </c>
    </row>
    <row r="503" spans="2:17" x14ac:dyDescent="0.25">
      <c r="B503" t="str">
        <f t="shared" si="70"/>
        <v/>
      </c>
      <c r="C503" t="str">
        <f t="shared" si="71"/>
        <v>**</v>
      </c>
      <c r="D503" t="str">
        <f t="shared" si="72"/>
        <v/>
      </c>
      <c r="E503" t="str">
        <f>IFERROR(VLOOKUP(MID(A503,7,2),Map!$A$2:$B$20,2,FALSE),"")</f>
        <v/>
      </c>
      <c r="F503" t="str">
        <f>IF(A503="","",IFERROR(VLOOKUP(MID(A503,9,2),Map!$R$2:$S$14,2,FALSE),""))</f>
        <v/>
      </c>
      <c r="G503" t="str">
        <f t="shared" si="73"/>
        <v/>
      </c>
      <c r="H503" t="str">
        <f t="shared" si="74"/>
        <v/>
      </c>
      <c r="I503" t="str">
        <f>IF(A503="","",IFERROR(VLOOKUP(LEFT(A503,1),Map!$D$2:$E$20,2,FALSE),""))</f>
        <v/>
      </c>
      <c r="J503" t="str">
        <f>IF(OR(H503="",NOT(OR(LEFT(H503,1)="G",LEFT(H503,1)="R"))),"",IFERROR(VLOOKUP(MID(H503,2,1),Map!$J$2:$M$10,2,FALSE),""))</f>
        <v/>
      </c>
      <c r="K503" t="str">
        <f t="shared" si="75"/>
        <v/>
      </c>
      <c r="L503" t="str">
        <f t="shared" si="76"/>
        <v/>
      </c>
      <c r="M503" t="str">
        <f t="shared" si="77"/>
        <v/>
      </c>
      <c r="N503" t="str">
        <f t="shared" si="78"/>
        <v/>
      </c>
      <c r="O503" t="str">
        <f t="shared" si="79"/>
        <v/>
      </c>
      <c r="P503" t="str">
        <f>IF(OR(H503="",NOT(OR(LEFT(H503,1)="G",LEFT(H503,1)="R"))),"",IFERROR(VLOOKUP(MID(H503,3,1),Map!$G$2:$H$10,2,FALSE),""))</f>
        <v/>
      </c>
      <c r="Q503" t="str">
        <f>IF(A503="","",IFERROR(VLOOKUP(MID(A503,4,1),Map!$O$2:$P$10,2,FALSE),""))</f>
        <v/>
      </c>
    </row>
    <row r="504" spans="2:17" x14ac:dyDescent="0.25">
      <c r="B504" t="str">
        <f t="shared" si="70"/>
        <v/>
      </c>
      <c r="C504" t="str">
        <f t="shared" si="71"/>
        <v>**</v>
      </c>
      <c r="D504" t="str">
        <f t="shared" si="72"/>
        <v/>
      </c>
      <c r="E504" t="str">
        <f>IFERROR(VLOOKUP(MID(A504,7,2),Map!$A$2:$B$20,2,FALSE),"")</f>
        <v/>
      </c>
      <c r="F504" t="str">
        <f>IF(A504="","",IFERROR(VLOOKUP(MID(A504,9,2),Map!$R$2:$S$14,2,FALSE),""))</f>
        <v/>
      </c>
      <c r="G504" t="str">
        <f t="shared" si="73"/>
        <v/>
      </c>
      <c r="H504" t="str">
        <f t="shared" si="74"/>
        <v/>
      </c>
      <c r="I504" t="str">
        <f>IF(A504="","",IFERROR(VLOOKUP(LEFT(A504,1),Map!$D$2:$E$20,2,FALSE),""))</f>
        <v/>
      </c>
      <c r="J504" t="str">
        <f>IF(OR(H504="",NOT(OR(LEFT(H504,1)="G",LEFT(H504,1)="R"))),"",IFERROR(VLOOKUP(MID(H504,2,1),Map!$J$2:$M$10,2,FALSE),""))</f>
        <v/>
      </c>
      <c r="K504" t="str">
        <f t="shared" si="75"/>
        <v/>
      </c>
      <c r="L504" t="str">
        <f t="shared" si="76"/>
        <v/>
      </c>
      <c r="M504" t="str">
        <f t="shared" si="77"/>
        <v/>
      </c>
      <c r="N504" t="str">
        <f t="shared" si="78"/>
        <v/>
      </c>
      <c r="O504" t="str">
        <f t="shared" si="79"/>
        <v/>
      </c>
      <c r="P504" t="str">
        <f>IF(OR(H504="",NOT(OR(LEFT(H504,1)="G",LEFT(H504,1)="R"))),"",IFERROR(VLOOKUP(MID(H504,3,1),Map!$G$2:$H$10,2,FALSE),""))</f>
        <v/>
      </c>
      <c r="Q504" t="str">
        <f>IF(A504="","",IFERROR(VLOOKUP(MID(A504,4,1),Map!$O$2:$P$10,2,FALSE),""))</f>
        <v/>
      </c>
    </row>
    <row r="505" spans="2:17" x14ac:dyDescent="0.25">
      <c r="B505" t="str">
        <f t="shared" si="70"/>
        <v/>
      </c>
      <c r="C505" t="str">
        <f t="shared" si="71"/>
        <v>**</v>
      </c>
      <c r="D505" t="str">
        <f t="shared" si="72"/>
        <v/>
      </c>
      <c r="E505" t="str">
        <f>IFERROR(VLOOKUP(MID(A505,7,2),Map!$A$2:$B$20,2,FALSE),"")</f>
        <v/>
      </c>
      <c r="F505" t="str">
        <f>IF(A505="","",IFERROR(VLOOKUP(MID(A505,9,2),Map!$R$2:$S$14,2,FALSE),""))</f>
        <v/>
      </c>
      <c r="G505" t="str">
        <f t="shared" si="73"/>
        <v/>
      </c>
      <c r="H505" t="str">
        <f t="shared" si="74"/>
        <v/>
      </c>
      <c r="I505" t="str">
        <f>IF(A505="","",IFERROR(VLOOKUP(LEFT(A505,1),Map!$D$2:$E$20,2,FALSE),""))</f>
        <v/>
      </c>
      <c r="J505" t="str">
        <f>IF(OR(H505="",NOT(OR(LEFT(H505,1)="G",LEFT(H505,1)="R"))),"",IFERROR(VLOOKUP(MID(H505,2,1),Map!$J$2:$M$10,2,FALSE),""))</f>
        <v/>
      </c>
      <c r="K505" t="str">
        <f t="shared" si="75"/>
        <v/>
      </c>
      <c r="L505" t="str">
        <f t="shared" si="76"/>
        <v/>
      </c>
      <c r="M505" t="str">
        <f t="shared" si="77"/>
        <v/>
      </c>
      <c r="N505" t="str">
        <f t="shared" si="78"/>
        <v/>
      </c>
      <c r="O505" t="str">
        <f t="shared" si="79"/>
        <v/>
      </c>
      <c r="P505" t="str">
        <f>IF(OR(H505="",NOT(OR(LEFT(H505,1)="G",LEFT(H505,1)="R"))),"",IFERROR(VLOOKUP(MID(H505,3,1),Map!$G$2:$H$10,2,FALSE),""))</f>
        <v/>
      </c>
      <c r="Q505" t="str">
        <f>IF(A505="","",IFERROR(VLOOKUP(MID(A505,4,1),Map!$O$2:$P$10,2,FALSE),""))</f>
        <v/>
      </c>
    </row>
    <row r="506" spans="2:17" x14ac:dyDescent="0.25">
      <c r="B506" t="str">
        <f t="shared" si="70"/>
        <v/>
      </c>
      <c r="C506" t="str">
        <f t="shared" si="71"/>
        <v>**</v>
      </c>
      <c r="D506" t="str">
        <f t="shared" si="72"/>
        <v/>
      </c>
      <c r="E506" t="str">
        <f>IFERROR(VLOOKUP(MID(A506,7,2),Map!$A$2:$B$20,2,FALSE),"")</f>
        <v/>
      </c>
      <c r="F506" t="str">
        <f>IF(A506="","",IFERROR(VLOOKUP(MID(A506,9,2),Map!$R$2:$S$14,2,FALSE),""))</f>
        <v/>
      </c>
      <c r="G506" t="str">
        <f t="shared" si="73"/>
        <v/>
      </c>
      <c r="H506" t="str">
        <f t="shared" si="74"/>
        <v/>
      </c>
      <c r="I506" t="str">
        <f>IF(A506="","",IFERROR(VLOOKUP(LEFT(A506,1),Map!$D$2:$E$20,2,FALSE),""))</f>
        <v/>
      </c>
      <c r="J506" t="str">
        <f>IF(OR(H506="",NOT(OR(LEFT(H506,1)="G",LEFT(H506,1)="R"))),"",IFERROR(VLOOKUP(MID(H506,2,1),Map!$J$2:$M$10,2,FALSE),""))</f>
        <v/>
      </c>
      <c r="K506" t="str">
        <f t="shared" si="75"/>
        <v/>
      </c>
      <c r="L506" t="str">
        <f t="shared" si="76"/>
        <v/>
      </c>
      <c r="M506" t="str">
        <f t="shared" si="77"/>
        <v/>
      </c>
      <c r="N506" t="str">
        <f t="shared" si="78"/>
        <v/>
      </c>
      <c r="O506" t="str">
        <f t="shared" si="79"/>
        <v/>
      </c>
      <c r="P506" t="str">
        <f>IF(OR(H506="",NOT(OR(LEFT(H506,1)="G",LEFT(H506,1)="R"))),"",IFERROR(VLOOKUP(MID(H506,3,1),Map!$G$2:$H$10,2,FALSE),""))</f>
        <v/>
      </c>
      <c r="Q506" t="str">
        <f>IF(A506="","",IFERROR(VLOOKUP(MID(A506,4,1),Map!$O$2:$P$10,2,FALSE),""))</f>
        <v/>
      </c>
    </row>
    <row r="507" spans="2:17" x14ac:dyDescent="0.25">
      <c r="B507" t="str">
        <f t="shared" si="70"/>
        <v/>
      </c>
      <c r="C507" t="str">
        <f t="shared" si="71"/>
        <v>**</v>
      </c>
      <c r="D507" t="str">
        <f t="shared" si="72"/>
        <v/>
      </c>
      <c r="E507" t="str">
        <f>IFERROR(VLOOKUP(MID(A507,7,2),Map!$A$2:$B$20,2,FALSE),"")</f>
        <v/>
      </c>
      <c r="F507" t="str">
        <f>IF(A507="","",IFERROR(VLOOKUP(MID(A507,9,2),Map!$R$2:$S$14,2,FALSE),""))</f>
        <v/>
      </c>
      <c r="G507" t="str">
        <f t="shared" si="73"/>
        <v/>
      </c>
      <c r="H507" t="str">
        <f t="shared" si="74"/>
        <v/>
      </c>
      <c r="I507" t="str">
        <f>IF(A507="","",IFERROR(VLOOKUP(LEFT(A507,1),Map!$D$2:$E$20,2,FALSE),""))</f>
        <v/>
      </c>
      <c r="J507" t="str">
        <f>IF(OR(H507="",NOT(OR(LEFT(H507,1)="G",LEFT(H507,1)="R"))),"",IFERROR(VLOOKUP(MID(H507,2,1),Map!$J$2:$M$10,2,FALSE),""))</f>
        <v/>
      </c>
      <c r="K507" t="str">
        <f t="shared" si="75"/>
        <v/>
      </c>
      <c r="L507" t="str">
        <f t="shared" si="76"/>
        <v/>
      </c>
      <c r="M507" t="str">
        <f t="shared" si="77"/>
        <v/>
      </c>
      <c r="N507" t="str">
        <f t="shared" si="78"/>
        <v/>
      </c>
      <c r="O507" t="str">
        <f t="shared" si="79"/>
        <v/>
      </c>
      <c r="P507" t="str">
        <f>IF(OR(H507="",NOT(OR(LEFT(H507,1)="G",LEFT(H507,1)="R"))),"",IFERROR(VLOOKUP(MID(H507,3,1),Map!$G$2:$H$10,2,FALSE),""))</f>
        <v/>
      </c>
      <c r="Q507" t="str">
        <f>IF(A507="","",IFERROR(VLOOKUP(MID(A507,4,1),Map!$O$2:$P$10,2,FALSE),""))</f>
        <v/>
      </c>
    </row>
    <row r="508" spans="2:17" x14ac:dyDescent="0.25">
      <c r="B508" t="str">
        <f t="shared" si="70"/>
        <v/>
      </c>
      <c r="C508" t="str">
        <f t="shared" si="71"/>
        <v>**</v>
      </c>
      <c r="D508" t="str">
        <f t="shared" si="72"/>
        <v/>
      </c>
      <c r="E508" t="str">
        <f>IFERROR(VLOOKUP(MID(A508,7,2),Map!$A$2:$B$20,2,FALSE),"")</f>
        <v/>
      </c>
      <c r="F508" t="str">
        <f>IF(A508="","",IFERROR(VLOOKUP(MID(A508,9,2),Map!$R$2:$S$14,2,FALSE),""))</f>
        <v/>
      </c>
      <c r="G508" t="str">
        <f t="shared" si="73"/>
        <v/>
      </c>
      <c r="H508" t="str">
        <f t="shared" si="74"/>
        <v/>
      </c>
      <c r="I508" t="str">
        <f>IF(A508="","",IFERROR(VLOOKUP(LEFT(A508,1),Map!$D$2:$E$20,2,FALSE),""))</f>
        <v/>
      </c>
      <c r="J508" t="str">
        <f>IF(OR(H508="",NOT(OR(LEFT(H508,1)="G",LEFT(H508,1)="R"))),"",IFERROR(VLOOKUP(MID(H508,2,1),Map!$J$2:$M$10,2,FALSE),""))</f>
        <v/>
      </c>
      <c r="K508" t="str">
        <f t="shared" si="75"/>
        <v/>
      </c>
      <c r="L508" t="str">
        <f t="shared" si="76"/>
        <v/>
      </c>
      <c r="M508" t="str">
        <f t="shared" si="77"/>
        <v/>
      </c>
      <c r="N508" t="str">
        <f t="shared" si="78"/>
        <v/>
      </c>
      <c r="O508" t="str">
        <f t="shared" si="79"/>
        <v/>
      </c>
      <c r="P508" t="str">
        <f>IF(OR(H508="",NOT(OR(LEFT(H508,1)="G",LEFT(H508,1)="R"))),"",IFERROR(VLOOKUP(MID(H508,3,1),Map!$G$2:$H$10,2,FALSE),""))</f>
        <v/>
      </c>
      <c r="Q508" t="str">
        <f>IF(A508="","",IFERROR(VLOOKUP(MID(A508,4,1),Map!$O$2:$P$10,2,FALSE),""))</f>
        <v/>
      </c>
    </row>
    <row r="509" spans="2:17" x14ac:dyDescent="0.25">
      <c r="B509" t="str">
        <f t="shared" si="70"/>
        <v/>
      </c>
      <c r="C509" t="str">
        <f t="shared" si="71"/>
        <v>**</v>
      </c>
      <c r="D509" t="str">
        <f t="shared" si="72"/>
        <v/>
      </c>
      <c r="E509" t="str">
        <f>IFERROR(VLOOKUP(MID(A509,7,2),Map!$A$2:$B$20,2,FALSE),"")</f>
        <v/>
      </c>
      <c r="F509" t="str">
        <f>IF(A509="","",IFERROR(VLOOKUP(MID(A509,9,2),Map!$R$2:$S$14,2,FALSE),""))</f>
        <v/>
      </c>
      <c r="G509" t="str">
        <f t="shared" si="73"/>
        <v/>
      </c>
      <c r="H509" t="str">
        <f t="shared" si="74"/>
        <v/>
      </c>
      <c r="I509" t="str">
        <f>IF(A509="","",IFERROR(VLOOKUP(LEFT(A509,1),Map!$D$2:$E$20,2,FALSE),""))</f>
        <v/>
      </c>
      <c r="J509" t="str">
        <f>IF(OR(H509="",NOT(OR(LEFT(H509,1)="G",LEFT(H509,1)="R"))),"",IFERROR(VLOOKUP(MID(H509,2,1),Map!$J$2:$M$10,2,FALSE),""))</f>
        <v/>
      </c>
      <c r="K509" t="str">
        <f t="shared" si="75"/>
        <v/>
      </c>
      <c r="L509" t="str">
        <f t="shared" si="76"/>
        <v/>
      </c>
      <c r="M509" t="str">
        <f t="shared" si="77"/>
        <v/>
      </c>
      <c r="N509" t="str">
        <f t="shared" si="78"/>
        <v/>
      </c>
      <c r="O509" t="str">
        <f t="shared" si="79"/>
        <v/>
      </c>
      <c r="P509" t="str">
        <f>IF(OR(H509="",NOT(OR(LEFT(H509,1)="G",LEFT(H509,1)="R"))),"",IFERROR(VLOOKUP(MID(H509,3,1),Map!$G$2:$H$10,2,FALSE),""))</f>
        <v/>
      </c>
      <c r="Q509" t="str">
        <f>IF(A509="","",IFERROR(VLOOKUP(MID(A509,4,1),Map!$O$2:$P$10,2,FALSE),""))</f>
        <v/>
      </c>
    </row>
    <row r="510" spans="2:17" x14ac:dyDescent="0.25">
      <c r="B510" t="str">
        <f t="shared" si="70"/>
        <v/>
      </c>
      <c r="C510" t="str">
        <f t="shared" si="71"/>
        <v>**</v>
      </c>
      <c r="D510" t="str">
        <f t="shared" si="72"/>
        <v/>
      </c>
      <c r="E510" t="str">
        <f>IFERROR(VLOOKUP(MID(A510,7,2),Map!$A$2:$B$20,2,FALSE),"")</f>
        <v/>
      </c>
      <c r="F510" t="str">
        <f>IF(A510="","",IFERROR(VLOOKUP(MID(A510,9,2),Map!$R$2:$S$14,2,FALSE),""))</f>
        <v/>
      </c>
      <c r="G510" t="str">
        <f t="shared" si="73"/>
        <v/>
      </c>
      <c r="H510" t="str">
        <f t="shared" si="74"/>
        <v/>
      </c>
      <c r="I510" t="str">
        <f>IF(A510="","",IFERROR(VLOOKUP(LEFT(A510,1),Map!$D$2:$E$20,2,FALSE),""))</f>
        <v/>
      </c>
      <c r="J510" t="str">
        <f>IF(OR(H510="",NOT(OR(LEFT(H510,1)="G",LEFT(H510,1)="R"))),"",IFERROR(VLOOKUP(MID(H510,2,1),Map!$J$2:$M$10,2,FALSE),""))</f>
        <v/>
      </c>
      <c r="K510" t="str">
        <f t="shared" si="75"/>
        <v/>
      </c>
      <c r="L510" t="str">
        <f t="shared" si="76"/>
        <v/>
      </c>
      <c r="M510" t="str">
        <f t="shared" si="77"/>
        <v/>
      </c>
      <c r="N510" t="str">
        <f t="shared" si="78"/>
        <v/>
      </c>
      <c r="O510" t="str">
        <f t="shared" si="79"/>
        <v/>
      </c>
      <c r="P510" t="str">
        <f>IF(OR(H510="",NOT(OR(LEFT(H510,1)="G",LEFT(H510,1)="R"))),"",IFERROR(VLOOKUP(MID(H510,3,1),Map!$G$2:$H$10,2,FALSE),""))</f>
        <v/>
      </c>
      <c r="Q510" t="str">
        <f>IF(A510="","",IFERROR(VLOOKUP(MID(A510,4,1),Map!$O$2:$P$10,2,FALSE),""))</f>
        <v/>
      </c>
    </row>
    <row r="511" spans="2:17" x14ac:dyDescent="0.25">
      <c r="B511" t="str">
        <f t="shared" si="70"/>
        <v/>
      </c>
      <c r="C511" t="str">
        <f t="shared" si="71"/>
        <v>**</v>
      </c>
      <c r="D511" t="str">
        <f t="shared" si="72"/>
        <v/>
      </c>
      <c r="E511" t="str">
        <f>IFERROR(VLOOKUP(MID(A511,7,2),Map!$A$2:$B$20,2,FALSE),"")</f>
        <v/>
      </c>
      <c r="F511" t="str">
        <f>IF(A511="","",IFERROR(VLOOKUP(MID(A511,9,2),Map!$R$2:$S$14,2,FALSE),""))</f>
        <v/>
      </c>
      <c r="G511" t="str">
        <f t="shared" si="73"/>
        <v/>
      </c>
      <c r="H511" t="str">
        <f t="shared" si="74"/>
        <v/>
      </c>
      <c r="I511" t="str">
        <f>IF(A511="","",IFERROR(VLOOKUP(LEFT(A511,1),Map!$D$2:$E$20,2,FALSE),""))</f>
        <v/>
      </c>
      <c r="J511" t="str">
        <f>IF(OR(H511="",NOT(OR(LEFT(H511,1)="G",LEFT(H511,1)="R"))),"",IFERROR(VLOOKUP(MID(H511,2,1),Map!$J$2:$M$10,2,FALSE),""))</f>
        <v/>
      </c>
      <c r="K511" t="str">
        <f t="shared" si="75"/>
        <v/>
      </c>
      <c r="L511" t="str">
        <f t="shared" si="76"/>
        <v/>
      </c>
      <c r="M511" t="str">
        <f t="shared" si="77"/>
        <v/>
      </c>
      <c r="N511" t="str">
        <f t="shared" si="78"/>
        <v/>
      </c>
      <c r="O511" t="str">
        <f t="shared" si="79"/>
        <v/>
      </c>
      <c r="P511" t="str">
        <f>IF(OR(H511="",NOT(OR(LEFT(H511,1)="G",LEFT(H511,1)="R"))),"",IFERROR(VLOOKUP(MID(H511,3,1),Map!$G$2:$H$10,2,FALSE),""))</f>
        <v/>
      </c>
      <c r="Q511" t="str">
        <f>IF(A511="","",IFERROR(VLOOKUP(MID(A511,4,1),Map!$O$2:$P$10,2,FALSE),""))</f>
        <v/>
      </c>
    </row>
    <row r="512" spans="2:17" x14ac:dyDescent="0.25">
      <c r="B512" t="str">
        <f t="shared" si="70"/>
        <v/>
      </c>
      <c r="C512" t="str">
        <f t="shared" si="71"/>
        <v>**</v>
      </c>
      <c r="D512" t="str">
        <f t="shared" si="72"/>
        <v/>
      </c>
      <c r="E512" t="str">
        <f>IFERROR(VLOOKUP(MID(A512,7,2),Map!$A$2:$B$20,2,FALSE),"")</f>
        <v/>
      </c>
      <c r="F512" t="str">
        <f>IF(A512="","",IFERROR(VLOOKUP(MID(A512,9,2),Map!$R$2:$S$14,2,FALSE),""))</f>
        <v/>
      </c>
      <c r="G512" t="str">
        <f t="shared" si="73"/>
        <v/>
      </c>
      <c r="H512" t="str">
        <f t="shared" si="74"/>
        <v/>
      </c>
      <c r="I512" t="str">
        <f>IF(A512="","",IFERROR(VLOOKUP(LEFT(A512,1),Map!$D$2:$E$20,2,FALSE),""))</f>
        <v/>
      </c>
      <c r="J512" t="str">
        <f>IF(OR(H512="",NOT(OR(LEFT(H512,1)="G",LEFT(H512,1)="R"))),"",IFERROR(VLOOKUP(MID(H512,2,1),Map!$J$2:$M$10,2,FALSE),""))</f>
        <v/>
      </c>
      <c r="K512" t="str">
        <f t="shared" si="75"/>
        <v/>
      </c>
      <c r="L512" t="str">
        <f t="shared" si="76"/>
        <v/>
      </c>
      <c r="M512" t="str">
        <f t="shared" si="77"/>
        <v/>
      </c>
      <c r="N512" t="str">
        <f t="shared" si="78"/>
        <v/>
      </c>
      <c r="O512" t="str">
        <f t="shared" si="79"/>
        <v/>
      </c>
      <c r="P512" t="str">
        <f>IF(OR(H512="",NOT(OR(LEFT(H512,1)="G",LEFT(H512,1)="R"))),"",IFERROR(VLOOKUP(MID(H512,3,1),Map!$G$2:$H$10,2,FALSE),""))</f>
        <v/>
      </c>
      <c r="Q512" t="str">
        <f>IF(A512="","",IFERROR(VLOOKUP(MID(A512,4,1),Map!$O$2:$P$10,2,FALSE),""))</f>
        <v/>
      </c>
    </row>
    <row r="513" spans="2:17" x14ac:dyDescent="0.25">
      <c r="B513" t="str">
        <f t="shared" si="70"/>
        <v/>
      </c>
      <c r="C513" t="str">
        <f t="shared" si="71"/>
        <v>**</v>
      </c>
      <c r="D513" t="str">
        <f t="shared" si="72"/>
        <v/>
      </c>
      <c r="E513" t="str">
        <f>IFERROR(VLOOKUP(MID(A513,7,2),Map!$A$2:$B$20,2,FALSE),"")</f>
        <v/>
      </c>
      <c r="F513" t="str">
        <f>IF(A513="","",IFERROR(VLOOKUP(MID(A513,9,2),Map!$R$2:$S$14,2,FALSE),""))</f>
        <v/>
      </c>
      <c r="G513" t="str">
        <f t="shared" si="73"/>
        <v/>
      </c>
      <c r="H513" t="str">
        <f t="shared" si="74"/>
        <v/>
      </c>
      <c r="I513" t="str">
        <f>IF(A513="","",IFERROR(VLOOKUP(LEFT(A513,1),Map!$D$2:$E$20,2,FALSE),""))</f>
        <v/>
      </c>
      <c r="J513" t="str">
        <f>IF(OR(H513="",NOT(OR(LEFT(H513,1)="G",LEFT(H513,1)="R"))),"",IFERROR(VLOOKUP(MID(H513,2,1),Map!$J$2:$M$10,2,FALSE),""))</f>
        <v/>
      </c>
      <c r="K513" t="str">
        <f t="shared" si="75"/>
        <v/>
      </c>
      <c r="L513" t="str">
        <f t="shared" si="76"/>
        <v/>
      </c>
      <c r="M513" t="str">
        <f t="shared" si="77"/>
        <v/>
      </c>
      <c r="N513" t="str">
        <f t="shared" si="78"/>
        <v/>
      </c>
      <c r="O513" t="str">
        <f t="shared" si="79"/>
        <v/>
      </c>
      <c r="P513" t="str">
        <f>IF(OR(H513="",NOT(OR(LEFT(H513,1)="G",LEFT(H513,1)="R"))),"",IFERROR(VLOOKUP(MID(H513,3,1),Map!$G$2:$H$10,2,FALSE),""))</f>
        <v/>
      </c>
      <c r="Q513" t="str">
        <f>IF(A513="","",IFERROR(VLOOKUP(MID(A513,4,1),Map!$O$2:$P$10,2,FALSE),""))</f>
        <v/>
      </c>
    </row>
    <row r="514" spans="2:17" x14ac:dyDescent="0.25">
      <c r="B514" t="str">
        <f t="shared" ref="B514:B577" si="80">LEFT(A514,4)</f>
        <v/>
      </c>
      <c r="C514" t="str">
        <f t="shared" ref="C514:C577" si="81">LEFT(A514,2)&amp;"**"</f>
        <v>**</v>
      </c>
      <c r="D514" t="str">
        <f t="shared" ref="D514:D577" si="82">MID(A514,5,2)</f>
        <v/>
      </c>
      <c r="E514" t="str">
        <f>IFERROR(VLOOKUP(MID(A514,7,2),Map!$A$2:$B$20,2,FALSE),"")</f>
        <v/>
      </c>
      <c r="F514" t="str">
        <f>IF(A514="","",IFERROR(VLOOKUP(MID(A514,9,2),Map!$R$2:$S$14,2,FALSE),""))</f>
        <v/>
      </c>
      <c r="G514" t="str">
        <f t="shared" ref="G514:G577" si="83">IFERROR(MID(A514,FIND("-",A514)+1,FIND("-",A514,FIND("-",A514)+1)-FIND("-",A514)-1),"")</f>
        <v/>
      </c>
      <c r="H514" t="str">
        <f t="shared" ref="H514:H577" si="84">IFERROR(RIGHT(A514,LEN(A514)-FIND("-",A514,FIND("-",A514)+1)),"")</f>
        <v/>
      </c>
      <c r="I514" t="str">
        <f>IF(A514="","",IFERROR(VLOOKUP(LEFT(A514,1),Map!$D$2:$E$20,2,FALSE),""))</f>
        <v/>
      </c>
      <c r="J514" t="str">
        <f>IF(OR(H514="",NOT(OR(LEFT(H514,1)="G",LEFT(H514,1)="R"))),"",IFERROR(VLOOKUP(MID(H514,2,1),Map!$J$2:$M$10,2,FALSE),""))</f>
        <v/>
      </c>
      <c r="K514" t="str">
        <f t="shared" ref="K514:K577" si="85">IF(OR(H514="",NOT(OR(LEFT(H514,1)="G",LEFT(H514,1)="R")),MID(H514,2,1)&lt;&gt;"A"),"","M")</f>
        <v/>
      </c>
      <c r="L514" t="str">
        <f t="shared" ref="L514:L577" si="86">IF(OR(H514="",NOT(OR(LEFT(H514,1)="G",LEFT(H514,1)="R")),MID(H514,2,1)&lt;&gt;"A"),"","K")</f>
        <v/>
      </c>
      <c r="M514" t="str">
        <f t="shared" ref="M514:M577" si="87">IF(OR(H514="",NOT(OR(LEFT(H514,1)="G",LEFT(H514,1)="R"))),"","")</f>
        <v/>
      </c>
      <c r="N514" t="str">
        <f t="shared" ref="N514:N577" si="88">IF(OR(H514="",NOT(OR(LEFT(H514,1)="G",LEFT(H514,1)="R"))),"","")</f>
        <v/>
      </c>
      <c r="O514" t="str">
        <f t="shared" ref="O514:O577" si="89">IF(OR(H514="",NOT(OR(LEFT(H514,1)="G",LEFT(H514,1)="R"))),"","")</f>
        <v/>
      </c>
      <c r="P514" t="str">
        <f>IF(OR(H514="",NOT(OR(LEFT(H514,1)="G",LEFT(H514,1)="R"))),"",IFERROR(VLOOKUP(MID(H514,3,1),Map!$G$2:$H$10,2,FALSE),""))</f>
        <v/>
      </c>
      <c r="Q514" t="str">
        <f>IF(A514="","",IFERROR(VLOOKUP(MID(A514,4,1),Map!$O$2:$P$10,2,FALSE),""))</f>
        <v/>
      </c>
    </row>
    <row r="515" spans="2:17" x14ac:dyDescent="0.25">
      <c r="B515" t="str">
        <f t="shared" si="80"/>
        <v/>
      </c>
      <c r="C515" t="str">
        <f t="shared" si="81"/>
        <v>**</v>
      </c>
      <c r="D515" t="str">
        <f t="shared" si="82"/>
        <v/>
      </c>
      <c r="E515" t="str">
        <f>IFERROR(VLOOKUP(MID(A515,7,2),Map!$A$2:$B$20,2,FALSE),"")</f>
        <v/>
      </c>
      <c r="F515" t="str">
        <f>IF(A515="","",IFERROR(VLOOKUP(MID(A515,9,2),Map!$R$2:$S$14,2,FALSE),""))</f>
        <v/>
      </c>
      <c r="G515" t="str">
        <f t="shared" si="83"/>
        <v/>
      </c>
      <c r="H515" t="str">
        <f t="shared" si="84"/>
        <v/>
      </c>
      <c r="I515" t="str">
        <f>IF(A515="","",IFERROR(VLOOKUP(LEFT(A515,1),Map!$D$2:$E$20,2,FALSE),""))</f>
        <v/>
      </c>
      <c r="J515" t="str">
        <f>IF(OR(H515="",NOT(OR(LEFT(H515,1)="G",LEFT(H515,1)="R"))),"",IFERROR(VLOOKUP(MID(H515,2,1),Map!$J$2:$M$10,2,FALSE),""))</f>
        <v/>
      </c>
      <c r="K515" t="str">
        <f t="shared" si="85"/>
        <v/>
      </c>
      <c r="L515" t="str">
        <f t="shared" si="86"/>
        <v/>
      </c>
      <c r="M515" t="str">
        <f t="shared" si="87"/>
        <v/>
      </c>
      <c r="N515" t="str">
        <f t="shared" si="88"/>
        <v/>
      </c>
      <c r="O515" t="str">
        <f t="shared" si="89"/>
        <v/>
      </c>
      <c r="P515" t="str">
        <f>IF(OR(H515="",NOT(OR(LEFT(H515,1)="G",LEFT(H515,1)="R"))),"",IFERROR(VLOOKUP(MID(H515,3,1),Map!$G$2:$H$10,2,FALSE),""))</f>
        <v/>
      </c>
      <c r="Q515" t="str">
        <f>IF(A515="","",IFERROR(VLOOKUP(MID(A515,4,1),Map!$O$2:$P$10,2,FALSE),""))</f>
        <v/>
      </c>
    </row>
    <row r="516" spans="2:17" x14ac:dyDescent="0.25">
      <c r="B516" t="str">
        <f t="shared" si="80"/>
        <v/>
      </c>
      <c r="C516" t="str">
        <f t="shared" si="81"/>
        <v>**</v>
      </c>
      <c r="D516" t="str">
        <f t="shared" si="82"/>
        <v/>
      </c>
      <c r="E516" t="str">
        <f>IFERROR(VLOOKUP(MID(A516,7,2),Map!$A$2:$B$20,2,FALSE),"")</f>
        <v/>
      </c>
      <c r="F516" t="str">
        <f>IF(A516="","",IFERROR(VLOOKUP(MID(A516,9,2),Map!$R$2:$S$14,2,FALSE),""))</f>
        <v/>
      </c>
      <c r="G516" t="str">
        <f t="shared" si="83"/>
        <v/>
      </c>
      <c r="H516" t="str">
        <f t="shared" si="84"/>
        <v/>
      </c>
      <c r="I516" t="str">
        <f>IF(A516="","",IFERROR(VLOOKUP(LEFT(A516,1),Map!$D$2:$E$20,2,FALSE),""))</f>
        <v/>
      </c>
      <c r="J516" t="str">
        <f>IF(OR(H516="",NOT(OR(LEFT(H516,1)="G",LEFT(H516,1)="R"))),"",IFERROR(VLOOKUP(MID(H516,2,1),Map!$J$2:$M$10,2,FALSE),""))</f>
        <v/>
      </c>
      <c r="K516" t="str">
        <f t="shared" si="85"/>
        <v/>
      </c>
      <c r="L516" t="str">
        <f t="shared" si="86"/>
        <v/>
      </c>
      <c r="M516" t="str">
        <f t="shared" si="87"/>
        <v/>
      </c>
      <c r="N516" t="str">
        <f t="shared" si="88"/>
        <v/>
      </c>
      <c r="O516" t="str">
        <f t="shared" si="89"/>
        <v/>
      </c>
      <c r="P516" t="str">
        <f>IF(OR(H516="",NOT(OR(LEFT(H516,1)="G",LEFT(H516,1)="R"))),"",IFERROR(VLOOKUP(MID(H516,3,1),Map!$G$2:$H$10,2,FALSE),""))</f>
        <v/>
      </c>
      <c r="Q516" t="str">
        <f>IF(A516="","",IFERROR(VLOOKUP(MID(A516,4,1),Map!$O$2:$P$10,2,FALSE),""))</f>
        <v/>
      </c>
    </row>
    <row r="517" spans="2:17" x14ac:dyDescent="0.25">
      <c r="B517" t="str">
        <f t="shared" si="80"/>
        <v/>
      </c>
      <c r="C517" t="str">
        <f t="shared" si="81"/>
        <v>**</v>
      </c>
      <c r="D517" t="str">
        <f t="shared" si="82"/>
        <v/>
      </c>
      <c r="E517" t="str">
        <f>IFERROR(VLOOKUP(MID(A517,7,2),Map!$A$2:$B$20,2,FALSE),"")</f>
        <v/>
      </c>
      <c r="F517" t="str">
        <f>IF(A517="","",IFERROR(VLOOKUP(MID(A517,9,2),Map!$R$2:$S$14,2,FALSE),""))</f>
        <v/>
      </c>
      <c r="G517" t="str">
        <f t="shared" si="83"/>
        <v/>
      </c>
      <c r="H517" t="str">
        <f t="shared" si="84"/>
        <v/>
      </c>
      <c r="I517" t="str">
        <f>IF(A517="","",IFERROR(VLOOKUP(LEFT(A517,1),Map!$D$2:$E$20,2,FALSE),""))</f>
        <v/>
      </c>
      <c r="J517" t="str">
        <f>IF(OR(H517="",NOT(OR(LEFT(H517,1)="G",LEFT(H517,1)="R"))),"",IFERROR(VLOOKUP(MID(H517,2,1),Map!$J$2:$M$10,2,FALSE),""))</f>
        <v/>
      </c>
      <c r="K517" t="str">
        <f t="shared" si="85"/>
        <v/>
      </c>
      <c r="L517" t="str">
        <f t="shared" si="86"/>
        <v/>
      </c>
      <c r="M517" t="str">
        <f t="shared" si="87"/>
        <v/>
      </c>
      <c r="N517" t="str">
        <f t="shared" si="88"/>
        <v/>
      </c>
      <c r="O517" t="str">
        <f t="shared" si="89"/>
        <v/>
      </c>
      <c r="P517" t="str">
        <f>IF(OR(H517="",NOT(OR(LEFT(H517,1)="G",LEFT(H517,1)="R"))),"",IFERROR(VLOOKUP(MID(H517,3,1),Map!$G$2:$H$10,2,FALSE),""))</f>
        <v/>
      </c>
      <c r="Q517" t="str">
        <f>IF(A517="","",IFERROR(VLOOKUP(MID(A517,4,1),Map!$O$2:$P$10,2,FALSE),""))</f>
        <v/>
      </c>
    </row>
    <row r="518" spans="2:17" x14ac:dyDescent="0.25">
      <c r="B518" t="str">
        <f t="shared" si="80"/>
        <v/>
      </c>
      <c r="C518" t="str">
        <f t="shared" si="81"/>
        <v>**</v>
      </c>
      <c r="D518" t="str">
        <f t="shared" si="82"/>
        <v/>
      </c>
      <c r="E518" t="str">
        <f>IFERROR(VLOOKUP(MID(A518,7,2),Map!$A$2:$B$20,2,FALSE),"")</f>
        <v/>
      </c>
      <c r="F518" t="str">
        <f>IF(A518="","",IFERROR(VLOOKUP(MID(A518,9,2),Map!$R$2:$S$14,2,FALSE),""))</f>
        <v/>
      </c>
      <c r="G518" t="str">
        <f t="shared" si="83"/>
        <v/>
      </c>
      <c r="H518" t="str">
        <f t="shared" si="84"/>
        <v/>
      </c>
      <c r="I518" t="str">
        <f>IF(A518="","",IFERROR(VLOOKUP(LEFT(A518,1),Map!$D$2:$E$20,2,FALSE),""))</f>
        <v/>
      </c>
      <c r="J518" t="str">
        <f>IF(OR(H518="",NOT(OR(LEFT(H518,1)="G",LEFT(H518,1)="R"))),"",IFERROR(VLOOKUP(MID(H518,2,1),Map!$J$2:$M$10,2,FALSE),""))</f>
        <v/>
      </c>
      <c r="K518" t="str">
        <f t="shared" si="85"/>
        <v/>
      </c>
      <c r="L518" t="str">
        <f t="shared" si="86"/>
        <v/>
      </c>
      <c r="M518" t="str">
        <f t="shared" si="87"/>
        <v/>
      </c>
      <c r="N518" t="str">
        <f t="shared" si="88"/>
        <v/>
      </c>
      <c r="O518" t="str">
        <f t="shared" si="89"/>
        <v/>
      </c>
      <c r="P518" t="str">
        <f>IF(OR(H518="",NOT(OR(LEFT(H518,1)="G",LEFT(H518,1)="R"))),"",IFERROR(VLOOKUP(MID(H518,3,1),Map!$G$2:$H$10,2,FALSE),""))</f>
        <v/>
      </c>
      <c r="Q518" t="str">
        <f>IF(A518="","",IFERROR(VLOOKUP(MID(A518,4,1),Map!$O$2:$P$10,2,FALSE),""))</f>
        <v/>
      </c>
    </row>
    <row r="519" spans="2:17" x14ac:dyDescent="0.25">
      <c r="B519" t="str">
        <f t="shared" si="80"/>
        <v/>
      </c>
      <c r="C519" t="str">
        <f t="shared" si="81"/>
        <v>**</v>
      </c>
      <c r="D519" t="str">
        <f t="shared" si="82"/>
        <v/>
      </c>
      <c r="E519" t="str">
        <f>IFERROR(VLOOKUP(MID(A519,7,2),Map!$A$2:$B$20,2,FALSE),"")</f>
        <v/>
      </c>
      <c r="F519" t="str">
        <f>IF(A519="","",IFERROR(VLOOKUP(MID(A519,9,2),Map!$R$2:$S$14,2,FALSE),""))</f>
        <v/>
      </c>
      <c r="G519" t="str">
        <f t="shared" si="83"/>
        <v/>
      </c>
      <c r="H519" t="str">
        <f t="shared" si="84"/>
        <v/>
      </c>
      <c r="I519" t="str">
        <f>IF(A519="","",IFERROR(VLOOKUP(LEFT(A519,1),Map!$D$2:$E$20,2,FALSE),""))</f>
        <v/>
      </c>
      <c r="J519" t="str">
        <f>IF(OR(H519="",NOT(OR(LEFT(H519,1)="G",LEFT(H519,1)="R"))),"",IFERROR(VLOOKUP(MID(H519,2,1),Map!$J$2:$M$10,2,FALSE),""))</f>
        <v/>
      </c>
      <c r="K519" t="str">
        <f t="shared" si="85"/>
        <v/>
      </c>
      <c r="L519" t="str">
        <f t="shared" si="86"/>
        <v/>
      </c>
      <c r="M519" t="str">
        <f t="shared" si="87"/>
        <v/>
      </c>
      <c r="N519" t="str">
        <f t="shared" si="88"/>
        <v/>
      </c>
      <c r="O519" t="str">
        <f t="shared" si="89"/>
        <v/>
      </c>
      <c r="P519" t="str">
        <f>IF(OR(H519="",NOT(OR(LEFT(H519,1)="G",LEFT(H519,1)="R"))),"",IFERROR(VLOOKUP(MID(H519,3,1),Map!$G$2:$H$10,2,FALSE),""))</f>
        <v/>
      </c>
      <c r="Q519" t="str">
        <f>IF(A519="","",IFERROR(VLOOKUP(MID(A519,4,1),Map!$O$2:$P$10,2,FALSE),""))</f>
        <v/>
      </c>
    </row>
    <row r="520" spans="2:17" x14ac:dyDescent="0.25">
      <c r="B520" t="str">
        <f t="shared" si="80"/>
        <v/>
      </c>
      <c r="C520" t="str">
        <f t="shared" si="81"/>
        <v>**</v>
      </c>
      <c r="D520" t="str">
        <f t="shared" si="82"/>
        <v/>
      </c>
      <c r="E520" t="str">
        <f>IFERROR(VLOOKUP(MID(A520,7,2),Map!$A$2:$B$20,2,FALSE),"")</f>
        <v/>
      </c>
      <c r="F520" t="str">
        <f>IF(A520="","",IFERROR(VLOOKUP(MID(A520,9,2),Map!$R$2:$S$14,2,FALSE),""))</f>
        <v/>
      </c>
      <c r="G520" t="str">
        <f t="shared" si="83"/>
        <v/>
      </c>
      <c r="H520" t="str">
        <f t="shared" si="84"/>
        <v/>
      </c>
      <c r="I520" t="str">
        <f>IF(A520="","",IFERROR(VLOOKUP(LEFT(A520,1),Map!$D$2:$E$20,2,FALSE),""))</f>
        <v/>
      </c>
      <c r="J520" t="str">
        <f>IF(OR(H520="",NOT(OR(LEFT(H520,1)="G",LEFT(H520,1)="R"))),"",IFERROR(VLOOKUP(MID(H520,2,1),Map!$J$2:$M$10,2,FALSE),""))</f>
        <v/>
      </c>
      <c r="K520" t="str">
        <f t="shared" si="85"/>
        <v/>
      </c>
      <c r="L520" t="str">
        <f t="shared" si="86"/>
        <v/>
      </c>
      <c r="M520" t="str">
        <f t="shared" si="87"/>
        <v/>
      </c>
      <c r="N520" t="str">
        <f t="shared" si="88"/>
        <v/>
      </c>
      <c r="O520" t="str">
        <f t="shared" si="89"/>
        <v/>
      </c>
      <c r="P520" t="str">
        <f>IF(OR(H520="",NOT(OR(LEFT(H520,1)="G",LEFT(H520,1)="R"))),"",IFERROR(VLOOKUP(MID(H520,3,1),Map!$G$2:$H$10,2,FALSE),""))</f>
        <v/>
      </c>
      <c r="Q520" t="str">
        <f>IF(A520="","",IFERROR(VLOOKUP(MID(A520,4,1),Map!$O$2:$P$10,2,FALSE),""))</f>
        <v/>
      </c>
    </row>
    <row r="521" spans="2:17" x14ac:dyDescent="0.25">
      <c r="B521" t="str">
        <f t="shared" si="80"/>
        <v/>
      </c>
      <c r="C521" t="str">
        <f t="shared" si="81"/>
        <v>**</v>
      </c>
      <c r="D521" t="str">
        <f t="shared" si="82"/>
        <v/>
      </c>
      <c r="E521" t="str">
        <f>IFERROR(VLOOKUP(MID(A521,7,2),Map!$A$2:$B$20,2,FALSE),"")</f>
        <v/>
      </c>
      <c r="F521" t="str">
        <f>IF(A521="","",IFERROR(VLOOKUP(MID(A521,9,2),Map!$R$2:$S$14,2,FALSE),""))</f>
        <v/>
      </c>
      <c r="G521" t="str">
        <f t="shared" si="83"/>
        <v/>
      </c>
      <c r="H521" t="str">
        <f t="shared" si="84"/>
        <v/>
      </c>
      <c r="I521" t="str">
        <f>IF(A521="","",IFERROR(VLOOKUP(LEFT(A521,1),Map!$D$2:$E$20,2,FALSE),""))</f>
        <v/>
      </c>
      <c r="J521" t="str">
        <f>IF(OR(H521="",NOT(OR(LEFT(H521,1)="G",LEFT(H521,1)="R"))),"",IFERROR(VLOOKUP(MID(H521,2,1),Map!$J$2:$M$10,2,FALSE),""))</f>
        <v/>
      </c>
      <c r="K521" t="str">
        <f t="shared" si="85"/>
        <v/>
      </c>
      <c r="L521" t="str">
        <f t="shared" si="86"/>
        <v/>
      </c>
      <c r="M521" t="str">
        <f t="shared" si="87"/>
        <v/>
      </c>
      <c r="N521" t="str">
        <f t="shared" si="88"/>
        <v/>
      </c>
      <c r="O521" t="str">
        <f t="shared" si="89"/>
        <v/>
      </c>
      <c r="P521" t="str">
        <f>IF(OR(H521="",NOT(OR(LEFT(H521,1)="G",LEFT(H521,1)="R"))),"",IFERROR(VLOOKUP(MID(H521,3,1),Map!$G$2:$H$10,2,FALSE),""))</f>
        <v/>
      </c>
      <c r="Q521" t="str">
        <f>IF(A521="","",IFERROR(VLOOKUP(MID(A521,4,1),Map!$O$2:$P$10,2,FALSE),""))</f>
        <v/>
      </c>
    </row>
    <row r="522" spans="2:17" x14ac:dyDescent="0.25">
      <c r="B522" t="str">
        <f t="shared" si="80"/>
        <v/>
      </c>
      <c r="C522" t="str">
        <f t="shared" si="81"/>
        <v>**</v>
      </c>
      <c r="D522" t="str">
        <f t="shared" si="82"/>
        <v/>
      </c>
      <c r="E522" t="str">
        <f>IFERROR(VLOOKUP(MID(A522,7,2),Map!$A$2:$B$20,2,FALSE),"")</f>
        <v/>
      </c>
      <c r="F522" t="str">
        <f>IF(A522="","",IFERROR(VLOOKUP(MID(A522,9,2),Map!$R$2:$S$14,2,FALSE),""))</f>
        <v/>
      </c>
      <c r="G522" t="str">
        <f t="shared" si="83"/>
        <v/>
      </c>
      <c r="H522" t="str">
        <f t="shared" si="84"/>
        <v/>
      </c>
      <c r="I522" t="str">
        <f>IF(A522="","",IFERROR(VLOOKUP(LEFT(A522,1),Map!$D$2:$E$20,2,FALSE),""))</f>
        <v/>
      </c>
      <c r="J522" t="str">
        <f>IF(OR(H522="",NOT(OR(LEFT(H522,1)="G",LEFT(H522,1)="R"))),"",IFERROR(VLOOKUP(MID(H522,2,1),Map!$J$2:$M$10,2,FALSE),""))</f>
        <v/>
      </c>
      <c r="K522" t="str">
        <f t="shared" si="85"/>
        <v/>
      </c>
      <c r="L522" t="str">
        <f t="shared" si="86"/>
        <v/>
      </c>
      <c r="M522" t="str">
        <f t="shared" si="87"/>
        <v/>
      </c>
      <c r="N522" t="str">
        <f t="shared" si="88"/>
        <v/>
      </c>
      <c r="O522" t="str">
        <f t="shared" si="89"/>
        <v/>
      </c>
      <c r="P522" t="str">
        <f>IF(OR(H522="",NOT(OR(LEFT(H522,1)="G",LEFT(H522,1)="R"))),"",IFERROR(VLOOKUP(MID(H522,3,1),Map!$G$2:$H$10,2,FALSE),""))</f>
        <v/>
      </c>
      <c r="Q522" t="str">
        <f>IF(A522="","",IFERROR(VLOOKUP(MID(A522,4,1),Map!$O$2:$P$10,2,FALSE),""))</f>
        <v/>
      </c>
    </row>
    <row r="523" spans="2:17" x14ac:dyDescent="0.25">
      <c r="B523" t="str">
        <f t="shared" si="80"/>
        <v/>
      </c>
      <c r="C523" t="str">
        <f t="shared" si="81"/>
        <v>**</v>
      </c>
      <c r="D523" t="str">
        <f t="shared" si="82"/>
        <v/>
      </c>
      <c r="E523" t="str">
        <f>IFERROR(VLOOKUP(MID(A523,7,2),Map!$A$2:$B$20,2,FALSE),"")</f>
        <v/>
      </c>
      <c r="F523" t="str">
        <f>IF(A523="","",IFERROR(VLOOKUP(MID(A523,9,2),Map!$R$2:$S$14,2,FALSE),""))</f>
        <v/>
      </c>
      <c r="G523" t="str">
        <f t="shared" si="83"/>
        <v/>
      </c>
      <c r="H523" t="str">
        <f t="shared" si="84"/>
        <v/>
      </c>
      <c r="I523" t="str">
        <f>IF(A523="","",IFERROR(VLOOKUP(LEFT(A523,1),Map!$D$2:$E$20,2,FALSE),""))</f>
        <v/>
      </c>
      <c r="J523" t="str">
        <f>IF(OR(H523="",NOT(OR(LEFT(H523,1)="G",LEFT(H523,1)="R"))),"",IFERROR(VLOOKUP(MID(H523,2,1),Map!$J$2:$M$10,2,FALSE),""))</f>
        <v/>
      </c>
      <c r="K523" t="str">
        <f t="shared" si="85"/>
        <v/>
      </c>
      <c r="L523" t="str">
        <f t="shared" si="86"/>
        <v/>
      </c>
      <c r="M523" t="str">
        <f t="shared" si="87"/>
        <v/>
      </c>
      <c r="N523" t="str">
        <f t="shared" si="88"/>
        <v/>
      </c>
      <c r="O523" t="str">
        <f t="shared" si="89"/>
        <v/>
      </c>
      <c r="P523" t="str">
        <f>IF(OR(H523="",NOT(OR(LEFT(H523,1)="G",LEFT(H523,1)="R"))),"",IFERROR(VLOOKUP(MID(H523,3,1),Map!$G$2:$H$10,2,FALSE),""))</f>
        <v/>
      </c>
      <c r="Q523" t="str">
        <f>IF(A523="","",IFERROR(VLOOKUP(MID(A523,4,1),Map!$O$2:$P$10,2,FALSE),""))</f>
        <v/>
      </c>
    </row>
    <row r="524" spans="2:17" x14ac:dyDescent="0.25">
      <c r="B524" t="str">
        <f t="shared" si="80"/>
        <v/>
      </c>
      <c r="C524" t="str">
        <f t="shared" si="81"/>
        <v>**</v>
      </c>
      <c r="D524" t="str">
        <f t="shared" si="82"/>
        <v/>
      </c>
      <c r="E524" t="str">
        <f>IFERROR(VLOOKUP(MID(A524,7,2),Map!$A$2:$B$20,2,FALSE),"")</f>
        <v/>
      </c>
      <c r="F524" t="str">
        <f>IF(A524="","",IFERROR(VLOOKUP(MID(A524,9,2),Map!$R$2:$S$14,2,FALSE),""))</f>
        <v/>
      </c>
      <c r="G524" t="str">
        <f t="shared" si="83"/>
        <v/>
      </c>
      <c r="H524" t="str">
        <f t="shared" si="84"/>
        <v/>
      </c>
      <c r="I524" t="str">
        <f>IF(A524="","",IFERROR(VLOOKUP(LEFT(A524,1),Map!$D$2:$E$20,2,FALSE),""))</f>
        <v/>
      </c>
      <c r="J524" t="str">
        <f>IF(OR(H524="",NOT(OR(LEFT(H524,1)="G",LEFT(H524,1)="R"))),"",IFERROR(VLOOKUP(MID(H524,2,1),Map!$J$2:$M$10,2,FALSE),""))</f>
        <v/>
      </c>
      <c r="K524" t="str">
        <f t="shared" si="85"/>
        <v/>
      </c>
      <c r="L524" t="str">
        <f t="shared" si="86"/>
        <v/>
      </c>
      <c r="M524" t="str">
        <f t="shared" si="87"/>
        <v/>
      </c>
      <c r="N524" t="str">
        <f t="shared" si="88"/>
        <v/>
      </c>
      <c r="O524" t="str">
        <f t="shared" si="89"/>
        <v/>
      </c>
      <c r="P524" t="str">
        <f>IF(OR(H524="",NOT(OR(LEFT(H524,1)="G",LEFT(H524,1)="R"))),"",IFERROR(VLOOKUP(MID(H524,3,1),Map!$G$2:$H$10,2,FALSE),""))</f>
        <v/>
      </c>
      <c r="Q524" t="str">
        <f>IF(A524="","",IFERROR(VLOOKUP(MID(A524,4,1),Map!$O$2:$P$10,2,FALSE),""))</f>
        <v/>
      </c>
    </row>
    <row r="525" spans="2:17" x14ac:dyDescent="0.25">
      <c r="B525" t="str">
        <f t="shared" si="80"/>
        <v/>
      </c>
      <c r="C525" t="str">
        <f t="shared" si="81"/>
        <v>**</v>
      </c>
      <c r="D525" t="str">
        <f t="shared" si="82"/>
        <v/>
      </c>
      <c r="E525" t="str">
        <f>IFERROR(VLOOKUP(MID(A525,7,2),Map!$A$2:$B$20,2,FALSE),"")</f>
        <v/>
      </c>
      <c r="F525" t="str">
        <f>IF(A525="","",IFERROR(VLOOKUP(MID(A525,9,2),Map!$R$2:$S$14,2,FALSE),""))</f>
        <v/>
      </c>
      <c r="G525" t="str">
        <f t="shared" si="83"/>
        <v/>
      </c>
      <c r="H525" t="str">
        <f t="shared" si="84"/>
        <v/>
      </c>
      <c r="I525" t="str">
        <f>IF(A525="","",IFERROR(VLOOKUP(LEFT(A525,1),Map!$D$2:$E$20,2,FALSE),""))</f>
        <v/>
      </c>
      <c r="J525" t="str">
        <f>IF(OR(H525="",NOT(OR(LEFT(H525,1)="G",LEFT(H525,1)="R"))),"",IFERROR(VLOOKUP(MID(H525,2,1),Map!$J$2:$M$10,2,FALSE),""))</f>
        <v/>
      </c>
      <c r="K525" t="str">
        <f t="shared" si="85"/>
        <v/>
      </c>
      <c r="L525" t="str">
        <f t="shared" si="86"/>
        <v/>
      </c>
      <c r="M525" t="str">
        <f t="shared" si="87"/>
        <v/>
      </c>
      <c r="N525" t="str">
        <f t="shared" si="88"/>
        <v/>
      </c>
      <c r="O525" t="str">
        <f t="shared" si="89"/>
        <v/>
      </c>
      <c r="P525" t="str">
        <f>IF(OR(H525="",NOT(OR(LEFT(H525,1)="G",LEFT(H525,1)="R"))),"",IFERROR(VLOOKUP(MID(H525,3,1),Map!$G$2:$H$10,2,FALSE),""))</f>
        <v/>
      </c>
      <c r="Q525" t="str">
        <f>IF(A525="","",IFERROR(VLOOKUP(MID(A525,4,1),Map!$O$2:$P$10,2,FALSE),""))</f>
        <v/>
      </c>
    </row>
    <row r="526" spans="2:17" x14ac:dyDescent="0.25">
      <c r="B526" t="str">
        <f t="shared" si="80"/>
        <v/>
      </c>
      <c r="C526" t="str">
        <f t="shared" si="81"/>
        <v>**</v>
      </c>
      <c r="D526" t="str">
        <f t="shared" si="82"/>
        <v/>
      </c>
      <c r="E526" t="str">
        <f>IFERROR(VLOOKUP(MID(A526,7,2),Map!$A$2:$B$20,2,FALSE),"")</f>
        <v/>
      </c>
      <c r="F526" t="str">
        <f>IF(A526="","",IFERROR(VLOOKUP(MID(A526,9,2),Map!$R$2:$S$14,2,FALSE),""))</f>
        <v/>
      </c>
      <c r="G526" t="str">
        <f t="shared" si="83"/>
        <v/>
      </c>
      <c r="H526" t="str">
        <f t="shared" si="84"/>
        <v/>
      </c>
      <c r="I526" t="str">
        <f>IF(A526="","",IFERROR(VLOOKUP(LEFT(A526,1),Map!$D$2:$E$20,2,FALSE),""))</f>
        <v/>
      </c>
      <c r="J526" t="str">
        <f>IF(OR(H526="",NOT(OR(LEFT(H526,1)="G",LEFT(H526,1)="R"))),"",IFERROR(VLOOKUP(MID(H526,2,1),Map!$J$2:$M$10,2,FALSE),""))</f>
        <v/>
      </c>
      <c r="K526" t="str">
        <f t="shared" si="85"/>
        <v/>
      </c>
      <c r="L526" t="str">
        <f t="shared" si="86"/>
        <v/>
      </c>
      <c r="M526" t="str">
        <f t="shared" si="87"/>
        <v/>
      </c>
      <c r="N526" t="str">
        <f t="shared" si="88"/>
        <v/>
      </c>
      <c r="O526" t="str">
        <f t="shared" si="89"/>
        <v/>
      </c>
      <c r="P526" t="str">
        <f>IF(OR(H526="",NOT(OR(LEFT(H526,1)="G",LEFT(H526,1)="R"))),"",IFERROR(VLOOKUP(MID(H526,3,1),Map!$G$2:$H$10,2,FALSE),""))</f>
        <v/>
      </c>
      <c r="Q526" t="str">
        <f>IF(A526="","",IFERROR(VLOOKUP(MID(A526,4,1),Map!$O$2:$P$10,2,FALSE),""))</f>
        <v/>
      </c>
    </row>
    <row r="527" spans="2:17" x14ac:dyDescent="0.25">
      <c r="B527" t="str">
        <f t="shared" si="80"/>
        <v/>
      </c>
      <c r="C527" t="str">
        <f t="shared" si="81"/>
        <v>**</v>
      </c>
      <c r="D527" t="str">
        <f t="shared" si="82"/>
        <v/>
      </c>
      <c r="E527" t="str">
        <f>IFERROR(VLOOKUP(MID(A527,7,2),Map!$A$2:$B$20,2,FALSE),"")</f>
        <v/>
      </c>
      <c r="F527" t="str">
        <f>IF(A527="","",IFERROR(VLOOKUP(MID(A527,9,2),Map!$R$2:$S$14,2,FALSE),""))</f>
        <v/>
      </c>
      <c r="G527" t="str">
        <f t="shared" si="83"/>
        <v/>
      </c>
      <c r="H527" t="str">
        <f t="shared" si="84"/>
        <v/>
      </c>
      <c r="I527" t="str">
        <f>IF(A527="","",IFERROR(VLOOKUP(LEFT(A527,1),Map!$D$2:$E$20,2,FALSE),""))</f>
        <v/>
      </c>
      <c r="J527" t="str">
        <f>IF(OR(H527="",NOT(OR(LEFT(H527,1)="G",LEFT(H527,1)="R"))),"",IFERROR(VLOOKUP(MID(H527,2,1),Map!$J$2:$M$10,2,FALSE),""))</f>
        <v/>
      </c>
      <c r="K527" t="str">
        <f t="shared" si="85"/>
        <v/>
      </c>
      <c r="L527" t="str">
        <f t="shared" si="86"/>
        <v/>
      </c>
      <c r="M527" t="str">
        <f t="shared" si="87"/>
        <v/>
      </c>
      <c r="N527" t="str">
        <f t="shared" si="88"/>
        <v/>
      </c>
      <c r="O527" t="str">
        <f t="shared" si="89"/>
        <v/>
      </c>
      <c r="P527" t="str">
        <f>IF(OR(H527="",NOT(OR(LEFT(H527,1)="G",LEFT(H527,1)="R"))),"",IFERROR(VLOOKUP(MID(H527,3,1),Map!$G$2:$H$10,2,FALSE),""))</f>
        <v/>
      </c>
      <c r="Q527" t="str">
        <f>IF(A527="","",IFERROR(VLOOKUP(MID(A527,4,1),Map!$O$2:$P$10,2,FALSE),""))</f>
        <v/>
      </c>
    </row>
    <row r="528" spans="2:17" x14ac:dyDescent="0.25">
      <c r="B528" t="str">
        <f t="shared" si="80"/>
        <v/>
      </c>
      <c r="C528" t="str">
        <f t="shared" si="81"/>
        <v>**</v>
      </c>
      <c r="D528" t="str">
        <f t="shared" si="82"/>
        <v/>
      </c>
      <c r="E528" t="str">
        <f>IFERROR(VLOOKUP(MID(A528,7,2),Map!$A$2:$B$20,2,FALSE),"")</f>
        <v/>
      </c>
      <c r="F528" t="str">
        <f>IF(A528="","",IFERROR(VLOOKUP(MID(A528,9,2),Map!$R$2:$S$14,2,FALSE),""))</f>
        <v/>
      </c>
      <c r="G528" t="str">
        <f t="shared" si="83"/>
        <v/>
      </c>
      <c r="H528" t="str">
        <f t="shared" si="84"/>
        <v/>
      </c>
      <c r="I528" t="str">
        <f>IF(A528="","",IFERROR(VLOOKUP(LEFT(A528,1),Map!$D$2:$E$20,2,FALSE),""))</f>
        <v/>
      </c>
      <c r="J528" t="str">
        <f>IF(OR(H528="",NOT(OR(LEFT(H528,1)="G",LEFT(H528,1)="R"))),"",IFERROR(VLOOKUP(MID(H528,2,1),Map!$J$2:$M$10,2,FALSE),""))</f>
        <v/>
      </c>
      <c r="K528" t="str">
        <f t="shared" si="85"/>
        <v/>
      </c>
      <c r="L528" t="str">
        <f t="shared" si="86"/>
        <v/>
      </c>
      <c r="M528" t="str">
        <f t="shared" si="87"/>
        <v/>
      </c>
      <c r="N528" t="str">
        <f t="shared" si="88"/>
        <v/>
      </c>
      <c r="O528" t="str">
        <f t="shared" si="89"/>
        <v/>
      </c>
      <c r="P528" t="str">
        <f>IF(OR(H528="",NOT(OR(LEFT(H528,1)="G",LEFT(H528,1)="R"))),"",IFERROR(VLOOKUP(MID(H528,3,1),Map!$G$2:$H$10,2,FALSE),""))</f>
        <v/>
      </c>
      <c r="Q528" t="str">
        <f>IF(A528="","",IFERROR(VLOOKUP(MID(A528,4,1),Map!$O$2:$P$10,2,FALSE),""))</f>
        <v/>
      </c>
    </row>
    <row r="529" spans="2:17" x14ac:dyDescent="0.25">
      <c r="B529" t="str">
        <f t="shared" si="80"/>
        <v/>
      </c>
      <c r="C529" t="str">
        <f t="shared" si="81"/>
        <v>**</v>
      </c>
      <c r="D529" t="str">
        <f t="shared" si="82"/>
        <v/>
      </c>
      <c r="E529" t="str">
        <f>IFERROR(VLOOKUP(MID(A529,7,2),Map!$A$2:$B$20,2,FALSE),"")</f>
        <v/>
      </c>
      <c r="F529" t="str">
        <f>IF(A529="","",IFERROR(VLOOKUP(MID(A529,9,2),Map!$R$2:$S$14,2,FALSE),""))</f>
        <v/>
      </c>
      <c r="G529" t="str">
        <f t="shared" si="83"/>
        <v/>
      </c>
      <c r="H529" t="str">
        <f t="shared" si="84"/>
        <v/>
      </c>
      <c r="I529" t="str">
        <f>IF(A529="","",IFERROR(VLOOKUP(LEFT(A529,1),Map!$D$2:$E$20,2,FALSE),""))</f>
        <v/>
      </c>
      <c r="J529" t="str">
        <f>IF(OR(H529="",NOT(OR(LEFT(H529,1)="G",LEFT(H529,1)="R"))),"",IFERROR(VLOOKUP(MID(H529,2,1),Map!$J$2:$M$10,2,FALSE),""))</f>
        <v/>
      </c>
      <c r="K529" t="str">
        <f t="shared" si="85"/>
        <v/>
      </c>
      <c r="L529" t="str">
        <f t="shared" si="86"/>
        <v/>
      </c>
      <c r="M529" t="str">
        <f t="shared" si="87"/>
        <v/>
      </c>
      <c r="N529" t="str">
        <f t="shared" si="88"/>
        <v/>
      </c>
      <c r="O529" t="str">
        <f t="shared" si="89"/>
        <v/>
      </c>
      <c r="P529" t="str">
        <f>IF(OR(H529="",NOT(OR(LEFT(H529,1)="G",LEFT(H529,1)="R"))),"",IFERROR(VLOOKUP(MID(H529,3,1),Map!$G$2:$H$10,2,FALSE),""))</f>
        <v/>
      </c>
      <c r="Q529" t="str">
        <f>IF(A529="","",IFERROR(VLOOKUP(MID(A529,4,1),Map!$O$2:$P$10,2,FALSE),""))</f>
        <v/>
      </c>
    </row>
    <row r="530" spans="2:17" x14ac:dyDescent="0.25">
      <c r="B530" t="str">
        <f t="shared" si="80"/>
        <v/>
      </c>
      <c r="C530" t="str">
        <f t="shared" si="81"/>
        <v>**</v>
      </c>
      <c r="D530" t="str">
        <f t="shared" si="82"/>
        <v/>
      </c>
      <c r="E530" t="str">
        <f>IFERROR(VLOOKUP(MID(A530,7,2),Map!$A$2:$B$20,2,FALSE),"")</f>
        <v/>
      </c>
      <c r="F530" t="str">
        <f>IF(A530="","",IFERROR(VLOOKUP(MID(A530,9,2),Map!$R$2:$S$14,2,FALSE),""))</f>
        <v/>
      </c>
      <c r="G530" t="str">
        <f t="shared" si="83"/>
        <v/>
      </c>
      <c r="H530" t="str">
        <f t="shared" si="84"/>
        <v/>
      </c>
      <c r="I530" t="str">
        <f>IF(A530="","",IFERROR(VLOOKUP(LEFT(A530,1),Map!$D$2:$E$20,2,FALSE),""))</f>
        <v/>
      </c>
      <c r="J530" t="str">
        <f>IF(OR(H530="",NOT(OR(LEFT(H530,1)="G",LEFT(H530,1)="R"))),"",IFERROR(VLOOKUP(MID(H530,2,1),Map!$J$2:$M$10,2,FALSE),""))</f>
        <v/>
      </c>
      <c r="K530" t="str">
        <f t="shared" si="85"/>
        <v/>
      </c>
      <c r="L530" t="str">
        <f t="shared" si="86"/>
        <v/>
      </c>
      <c r="M530" t="str">
        <f t="shared" si="87"/>
        <v/>
      </c>
      <c r="N530" t="str">
        <f t="shared" si="88"/>
        <v/>
      </c>
      <c r="O530" t="str">
        <f t="shared" si="89"/>
        <v/>
      </c>
      <c r="P530" t="str">
        <f>IF(OR(H530="",NOT(OR(LEFT(H530,1)="G",LEFT(H530,1)="R"))),"",IFERROR(VLOOKUP(MID(H530,3,1),Map!$G$2:$H$10,2,FALSE),""))</f>
        <v/>
      </c>
      <c r="Q530" t="str">
        <f>IF(A530="","",IFERROR(VLOOKUP(MID(A530,4,1),Map!$O$2:$P$10,2,FALSE),""))</f>
        <v/>
      </c>
    </row>
    <row r="531" spans="2:17" x14ac:dyDescent="0.25">
      <c r="B531" t="str">
        <f t="shared" si="80"/>
        <v/>
      </c>
      <c r="C531" t="str">
        <f t="shared" si="81"/>
        <v>**</v>
      </c>
      <c r="D531" t="str">
        <f t="shared" si="82"/>
        <v/>
      </c>
      <c r="E531" t="str">
        <f>IFERROR(VLOOKUP(MID(A531,7,2),Map!$A$2:$B$20,2,FALSE),"")</f>
        <v/>
      </c>
      <c r="F531" t="str">
        <f>IF(A531="","",IFERROR(VLOOKUP(MID(A531,9,2),Map!$R$2:$S$14,2,FALSE),""))</f>
        <v/>
      </c>
      <c r="G531" t="str">
        <f t="shared" si="83"/>
        <v/>
      </c>
      <c r="H531" t="str">
        <f t="shared" si="84"/>
        <v/>
      </c>
      <c r="I531" t="str">
        <f>IF(A531="","",IFERROR(VLOOKUP(LEFT(A531,1),Map!$D$2:$E$20,2,FALSE),""))</f>
        <v/>
      </c>
      <c r="J531" t="str">
        <f>IF(OR(H531="",NOT(OR(LEFT(H531,1)="G",LEFT(H531,1)="R"))),"",IFERROR(VLOOKUP(MID(H531,2,1),Map!$J$2:$M$10,2,FALSE),""))</f>
        <v/>
      </c>
      <c r="K531" t="str">
        <f t="shared" si="85"/>
        <v/>
      </c>
      <c r="L531" t="str">
        <f t="shared" si="86"/>
        <v/>
      </c>
      <c r="M531" t="str">
        <f t="shared" si="87"/>
        <v/>
      </c>
      <c r="N531" t="str">
        <f t="shared" si="88"/>
        <v/>
      </c>
      <c r="O531" t="str">
        <f t="shared" si="89"/>
        <v/>
      </c>
      <c r="P531" t="str">
        <f>IF(OR(H531="",NOT(OR(LEFT(H531,1)="G",LEFT(H531,1)="R"))),"",IFERROR(VLOOKUP(MID(H531,3,1),Map!$G$2:$H$10,2,FALSE),""))</f>
        <v/>
      </c>
      <c r="Q531" t="str">
        <f>IF(A531="","",IFERROR(VLOOKUP(MID(A531,4,1),Map!$O$2:$P$10,2,FALSE),""))</f>
        <v/>
      </c>
    </row>
    <row r="532" spans="2:17" x14ac:dyDescent="0.25">
      <c r="B532" t="str">
        <f t="shared" si="80"/>
        <v/>
      </c>
      <c r="C532" t="str">
        <f t="shared" si="81"/>
        <v>**</v>
      </c>
      <c r="D532" t="str">
        <f t="shared" si="82"/>
        <v/>
      </c>
      <c r="E532" t="str">
        <f>IFERROR(VLOOKUP(MID(A532,7,2),Map!$A$2:$B$20,2,FALSE),"")</f>
        <v/>
      </c>
      <c r="F532" t="str">
        <f>IF(A532="","",IFERROR(VLOOKUP(MID(A532,9,2),Map!$R$2:$S$14,2,FALSE),""))</f>
        <v/>
      </c>
      <c r="G532" t="str">
        <f t="shared" si="83"/>
        <v/>
      </c>
      <c r="H532" t="str">
        <f t="shared" si="84"/>
        <v/>
      </c>
      <c r="I532" t="str">
        <f>IF(A532="","",IFERROR(VLOOKUP(LEFT(A532,1),Map!$D$2:$E$20,2,FALSE),""))</f>
        <v/>
      </c>
      <c r="J532" t="str">
        <f>IF(OR(H532="",NOT(OR(LEFT(H532,1)="G",LEFT(H532,1)="R"))),"",IFERROR(VLOOKUP(MID(H532,2,1),Map!$J$2:$M$10,2,FALSE),""))</f>
        <v/>
      </c>
      <c r="K532" t="str">
        <f t="shared" si="85"/>
        <v/>
      </c>
      <c r="L532" t="str">
        <f t="shared" si="86"/>
        <v/>
      </c>
      <c r="M532" t="str">
        <f t="shared" si="87"/>
        <v/>
      </c>
      <c r="N532" t="str">
        <f t="shared" si="88"/>
        <v/>
      </c>
      <c r="O532" t="str">
        <f t="shared" si="89"/>
        <v/>
      </c>
      <c r="P532" t="str">
        <f>IF(OR(H532="",NOT(OR(LEFT(H532,1)="G",LEFT(H532,1)="R"))),"",IFERROR(VLOOKUP(MID(H532,3,1),Map!$G$2:$H$10,2,FALSE),""))</f>
        <v/>
      </c>
      <c r="Q532" t="str">
        <f>IF(A532="","",IFERROR(VLOOKUP(MID(A532,4,1),Map!$O$2:$P$10,2,FALSE),""))</f>
        <v/>
      </c>
    </row>
    <row r="533" spans="2:17" x14ac:dyDescent="0.25">
      <c r="B533" t="str">
        <f t="shared" si="80"/>
        <v/>
      </c>
      <c r="C533" t="str">
        <f t="shared" si="81"/>
        <v>**</v>
      </c>
      <c r="D533" t="str">
        <f t="shared" si="82"/>
        <v/>
      </c>
      <c r="E533" t="str">
        <f>IFERROR(VLOOKUP(MID(A533,7,2),Map!$A$2:$B$20,2,FALSE),"")</f>
        <v/>
      </c>
      <c r="F533" t="str">
        <f>IF(A533="","",IFERROR(VLOOKUP(MID(A533,9,2),Map!$R$2:$S$14,2,FALSE),""))</f>
        <v/>
      </c>
      <c r="G533" t="str">
        <f t="shared" si="83"/>
        <v/>
      </c>
      <c r="H533" t="str">
        <f t="shared" si="84"/>
        <v/>
      </c>
      <c r="I533" t="str">
        <f>IF(A533="","",IFERROR(VLOOKUP(LEFT(A533,1),Map!$D$2:$E$20,2,FALSE),""))</f>
        <v/>
      </c>
      <c r="J533" t="str">
        <f>IF(OR(H533="",NOT(OR(LEFT(H533,1)="G",LEFT(H533,1)="R"))),"",IFERROR(VLOOKUP(MID(H533,2,1),Map!$J$2:$M$10,2,FALSE),""))</f>
        <v/>
      </c>
      <c r="K533" t="str">
        <f t="shared" si="85"/>
        <v/>
      </c>
      <c r="L533" t="str">
        <f t="shared" si="86"/>
        <v/>
      </c>
      <c r="M533" t="str">
        <f t="shared" si="87"/>
        <v/>
      </c>
      <c r="N533" t="str">
        <f t="shared" si="88"/>
        <v/>
      </c>
      <c r="O533" t="str">
        <f t="shared" si="89"/>
        <v/>
      </c>
      <c r="P533" t="str">
        <f>IF(OR(H533="",NOT(OR(LEFT(H533,1)="G",LEFT(H533,1)="R"))),"",IFERROR(VLOOKUP(MID(H533,3,1),Map!$G$2:$H$10,2,FALSE),""))</f>
        <v/>
      </c>
      <c r="Q533" t="str">
        <f>IF(A533="","",IFERROR(VLOOKUP(MID(A533,4,1),Map!$O$2:$P$10,2,FALSE),""))</f>
        <v/>
      </c>
    </row>
    <row r="534" spans="2:17" x14ac:dyDescent="0.25">
      <c r="B534" t="str">
        <f t="shared" si="80"/>
        <v/>
      </c>
      <c r="C534" t="str">
        <f t="shared" si="81"/>
        <v>**</v>
      </c>
      <c r="D534" t="str">
        <f t="shared" si="82"/>
        <v/>
      </c>
      <c r="E534" t="str">
        <f>IFERROR(VLOOKUP(MID(A534,7,2),Map!$A$2:$B$20,2,FALSE),"")</f>
        <v/>
      </c>
      <c r="F534" t="str">
        <f>IF(A534="","",IFERROR(VLOOKUP(MID(A534,9,2),Map!$R$2:$S$14,2,FALSE),""))</f>
        <v/>
      </c>
      <c r="G534" t="str">
        <f t="shared" si="83"/>
        <v/>
      </c>
      <c r="H534" t="str">
        <f t="shared" si="84"/>
        <v/>
      </c>
      <c r="I534" t="str">
        <f>IF(A534="","",IFERROR(VLOOKUP(LEFT(A534,1),Map!$D$2:$E$20,2,FALSE),""))</f>
        <v/>
      </c>
      <c r="J534" t="str">
        <f>IF(OR(H534="",NOT(OR(LEFT(H534,1)="G",LEFT(H534,1)="R"))),"",IFERROR(VLOOKUP(MID(H534,2,1),Map!$J$2:$M$10,2,FALSE),""))</f>
        <v/>
      </c>
      <c r="K534" t="str">
        <f t="shared" si="85"/>
        <v/>
      </c>
      <c r="L534" t="str">
        <f t="shared" si="86"/>
        <v/>
      </c>
      <c r="M534" t="str">
        <f t="shared" si="87"/>
        <v/>
      </c>
      <c r="N534" t="str">
        <f t="shared" si="88"/>
        <v/>
      </c>
      <c r="O534" t="str">
        <f t="shared" si="89"/>
        <v/>
      </c>
      <c r="P534" t="str">
        <f>IF(OR(H534="",NOT(OR(LEFT(H534,1)="G",LEFT(H534,1)="R"))),"",IFERROR(VLOOKUP(MID(H534,3,1),Map!$G$2:$H$10,2,FALSE),""))</f>
        <v/>
      </c>
      <c r="Q534" t="str">
        <f>IF(A534="","",IFERROR(VLOOKUP(MID(A534,4,1),Map!$O$2:$P$10,2,FALSE),""))</f>
        <v/>
      </c>
    </row>
    <row r="535" spans="2:17" x14ac:dyDescent="0.25">
      <c r="B535" t="str">
        <f t="shared" si="80"/>
        <v/>
      </c>
      <c r="C535" t="str">
        <f t="shared" si="81"/>
        <v>**</v>
      </c>
      <c r="D535" t="str">
        <f t="shared" si="82"/>
        <v/>
      </c>
      <c r="E535" t="str">
        <f>IFERROR(VLOOKUP(MID(A535,7,2),Map!$A$2:$B$20,2,FALSE),"")</f>
        <v/>
      </c>
      <c r="F535" t="str">
        <f>IF(A535="","",IFERROR(VLOOKUP(MID(A535,9,2),Map!$R$2:$S$14,2,FALSE),""))</f>
        <v/>
      </c>
      <c r="G535" t="str">
        <f t="shared" si="83"/>
        <v/>
      </c>
      <c r="H535" t="str">
        <f t="shared" si="84"/>
        <v/>
      </c>
      <c r="I535" t="str">
        <f>IF(A535="","",IFERROR(VLOOKUP(LEFT(A535,1),Map!$D$2:$E$20,2,FALSE),""))</f>
        <v/>
      </c>
      <c r="J535" t="str">
        <f>IF(OR(H535="",NOT(OR(LEFT(H535,1)="G",LEFT(H535,1)="R"))),"",IFERROR(VLOOKUP(MID(H535,2,1),Map!$J$2:$M$10,2,FALSE),""))</f>
        <v/>
      </c>
      <c r="K535" t="str">
        <f t="shared" si="85"/>
        <v/>
      </c>
      <c r="L535" t="str">
        <f t="shared" si="86"/>
        <v/>
      </c>
      <c r="M535" t="str">
        <f t="shared" si="87"/>
        <v/>
      </c>
      <c r="N535" t="str">
        <f t="shared" si="88"/>
        <v/>
      </c>
      <c r="O535" t="str">
        <f t="shared" si="89"/>
        <v/>
      </c>
      <c r="P535" t="str">
        <f>IF(OR(H535="",NOT(OR(LEFT(H535,1)="G",LEFT(H535,1)="R"))),"",IFERROR(VLOOKUP(MID(H535,3,1),Map!$G$2:$H$10,2,FALSE),""))</f>
        <v/>
      </c>
      <c r="Q535" t="str">
        <f>IF(A535="","",IFERROR(VLOOKUP(MID(A535,4,1),Map!$O$2:$P$10,2,FALSE),""))</f>
        <v/>
      </c>
    </row>
    <row r="536" spans="2:17" x14ac:dyDescent="0.25">
      <c r="B536" t="str">
        <f t="shared" si="80"/>
        <v/>
      </c>
      <c r="C536" t="str">
        <f t="shared" si="81"/>
        <v>**</v>
      </c>
      <c r="D536" t="str">
        <f t="shared" si="82"/>
        <v/>
      </c>
      <c r="E536" t="str">
        <f>IFERROR(VLOOKUP(MID(A536,7,2),Map!$A$2:$B$20,2,FALSE),"")</f>
        <v/>
      </c>
      <c r="F536" t="str">
        <f>IF(A536="","",IFERROR(VLOOKUP(MID(A536,9,2),Map!$R$2:$S$14,2,FALSE),""))</f>
        <v/>
      </c>
      <c r="G536" t="str">
        <f t="shared" si="83"/>
        <v/>
      </c>
      <c r="H536" t="str">
        <f t="shared" si="84"/>
        <v/>
      </c>
      <c r="I536" t="str">
        <f>IF(A536="","",IFERROR(VLOOKUP(LEFT(A536,1),Map!$D$2:$E$20,2,FALSE),""))</f>
        <v/>
      </c>
      <c r="J536" t="str">
        <f>IF(OR(H536="",NOT(OR(LEFT(H536,1)="G",LEFT(H536,1)="R"))),"",IFERROR(VLOOKUP(MID(H536,2,1),Map!$J$2:$M$10,2,FALSE),""))</f>
        <v/>
      </c>
      <c r="K536" t="str">
        <f t="shared" si="85"/>
        <v/>
      </c>
      <c r="L536" t="str">
        <f t="shared" si="86"/>
        <v/>
      </c>
      <c r="M536" t="str">
        <f t="shared" si="87"/>
        <v/>
      </c>
      <c r="N536" t="str">
        <f t="shared" si="88"/>
        <v/>
      </c>
      <c r="O536" t="str">
        <f t="shared" si="89"/>
        <v/>
      </c>
      <c r="P536" t="str">
        <f>IF(OR(H536="",NOT(OR(LEFT(H536,1)="G",LEFT(H536,1)="R"))),"",IFERROR(VLOOKUP(MID(H536,3,1),Map!$G$2:$H$10,2,FALSE),""))</f>
        <v/>
      </c>
      <c r="Q536" t="str">
        <f>IF(A536="","",IFERROR(VLOOKUP(MID(A536,4,1),Map!$O$2:$P$10,2,FALSE),""))</f>
        <v/>
      </c>
    </row>
    <row r="537" spans="2:17" x14ac:dyDescent="0.25">
      <c r="B537" t="str">
        <f t="shared" si="80"/>
        <v/>
      </c>
      <c r="C537" t="str">
        <f t="shared" si="81"/>
        <v>**</v>
      </c>
      <c r="D537" t="str">
        <f t="shared" si="82"/>
        <v/>
      </c>
      <c r="E537" t="str">
        <f>IFERROR(VLOOKUP(MID(A537,7,2),Map!$A$2:$B$20,2,FALSE),"")</f>
        <v/>
      </c>
      <c r="F537" t="str">
        <f>IF(A537="","",IFERROR(VLOOKUP(MID(A537,9,2),Map!$R$2:$S$14,2,FALSE),""))</f>
        <v/>
      </c>
      <c r="G537" t="str">
        <f t="shared" si="83"/>
        <v/>
      </c>
      <c r="H537" t="str">
        <f t="shared" si="84"/>
        <v/>
      </c>
      <c r="I537" t="str">
        <f>IF(A537="","",IFERROR(VLOOKUP(LEFT(A537,1),Map!$D$2:$E$20,2,FALSE),""))</f>
        <v/>
      </c>
      <c r="J537" t="str">
        <f>IF(OR(H537="",NOT(OR(LEFT(H537,1)="G",LEFT(H537,1)="R"))),"",IFERROR(VLOOKUP(MID(H537,2,1),Map!$J$2:$M$10,2,FALSE),""))</f>
        <v/>
      </c>
      <c r="K537" t="str">
        <f t="shared" si="85"/>
        <v/>
      </c>
      <c r="L537" t="str">
        <f t="shared" si="86"/>
        <v/>
      </c>
      <c r="M537" t="str">
        <f t="shared" si="87"/>
        <v/>
      </c>
      <c r="N537" t="str">
        <f t="shared" si="88"/>
        <v/>
      </c>
      <c r="O537" t="str">
        <f t="shared" si="89"/>
        <v/>
      </c>
      <c r="P537" t="str">
        <f>IF(OR(H537="",NOT(OR(LEFT(H537,1)="G",LEFT(H537,1)="R"))),"",IFERROR(VLOOKUP(MID(H537,3,1),Map!$G$2:$H$10,2,FALSE),""))</f>
        <v/>
      </c>
      <c r="Q537" t="str">
        <f>IF(A537="","",IFERROR(VLOOKUP(MID(A537,4,1),Map!$O$2:$P$10,2,FALSE),""))</f>
        <v/>
      </c>
    </row>
    <row r="538" spans="2:17" x14ac:dyDescent="0.25">
      <c r="B538" t="str">
        <f t="shared" si="80"/>
        <v/>
      </c>
      <c r="C538" t="str">
        <f t="shared" si="81"/>
        <v>**</v>
      </c>
      <c r="D538" t="str">
        <f t="shared" si="82"/>
        <v/>
      </c>
      <c r="E538" t="str">
        <f>IFERROR(VLOOKUP(MID(A538,7,2),Map!$A$2:$B$20,2,FALSE),"")</f>
        <v/>
      </c>
      <c r="F538" t="str">
        <f>IF(A538="","",IFERROR(VLOOKUP(MID(A538,9,2),Map!$R$2:$S$14,2,FALSE),""))</f>
        <v/>
      </c>
      <c r="G538" t="str">
        <f t="shared" si="83"/>
        <v/>
      </c>
      <c r="H538" t="str">
        <f t="shared" si="84"/>
        <v/>
      </c>
      <c r="I538" t="str">
        <f>IF(A538="","",IFERROR(VLOOKUP(LEFT(A538,1),Map!$D$2:$E$20,2,FALSE),""))</f>
        <v/>
      </c>
      <c r="J538" t="str">
        <f>IF(OR(H538="",NOT(OR(LEFT(H538,1)="G",LEFT(H538,1)="R"))),"",IFERROR(VLOOKUP(MID(H538,2,1),Map!$J$2:$M$10,2,FALSE),""))</f>
        <v/>
      </c>
      <c r="K538" t="str">
        <f t="shared" si="85"/>
        <v/>
      </c>
      <c r="L538" t="str">
        <f t="shared" si="86"/>
        <v/>
      </c>
      <c r="M538" t="str">
        <f t="shared" si="87"/>
        <v/>
      </c>
      <c r="N538" t="str">
        <f t="shared" si="88"/>
        <v/>
      </c>
      <c r="O538" t="str">
        <f t="shared" si="89"/>
        <v/>
      </c>
      <c r="P538" t="str">
        <f>IF(OR(H538="",NOT(OR(LEFT(H538,1)="G",LEFT(H538,1)="R"))),"",IFERROR(VLOOKUP(MID(H538,3,1),Map!$G$2:$H$10,2,FALSE),""))</f>
        <v/>
      </c>
      <c r="Q538" t="str">
        <f>IF(A538="","",IFERROR(VLOOKUP(MID(A538,4,1),Map!$O$2:$P$10,2,FALSE),""))</f>
        <v/>
      </c>
    </row>
    <row r="539" spans="2:17" x14ac:dyDescent="0.25">
      <c r="B539" t="str">
        <f t="shared" si="80"/>
        <v/>
      </c>
      <c r="C539" t="str">
        <f t="shared" si="81"/>
        <v>**</v>
      </c>
      <c r="D539" t="str">
        <f t="shared" si="82"/>
        <v/>
      </c>
      <c r="E539" t="str">
        <f>IFERROR(VLOOKUP(MID(A539,7,2),Map!$A$2:$B$20,2,FALSE),"")</f>
        <v/>
      </c>
      <c r="F539" t="str">
        <f>IF(A539="","",IFERROR(VLOOKUP(MID(A539,9,2),Map!$R$2:$S$14,2,FALSE),""))</f>
        <v/>
      </c>
      <c r="G539" t="str">
        <f t="shared" si="83"/>
        <v/>
      </c>
      <c r="H539" t="str">
        <f t="shared" si="84"/>
        <v/>
      </c>
      <c r="I539" t="str">
        <f>IF(A539="","",IFERROR(VLOOKUP(LEFT(A539,1),Map!$D$2:$E$20,2,FALSE),""))</f>
        <v/>
      </c>
      <c r="J539" t="str">
        <f>IF(OR(H539="",NOT(OR(LEFT(H539,1)="G",LEFT(H539,1)="R"))),"",IFERROR(VLOOKUP(MID(H539,2,1),Map!$J$2:$M$10,2,FALSE),""))</f>
        <v/>
      </c>
      <c r="K539" t="str">
        <f t="shared" si="85"/>
        <v/>
      </c>
      <c r="L539" t="str">
        <f t="shared" si="86"/>
        <v/>
      </c>
      <c r="M539" t="str">
        <f t="shared" si="87"/>
        <v/>
      </c>
      <c r="N539" t="str">
        <f t="shared" si="88"/>
        <v/>
      </c>
      <c r="O539" t="str">
        <f t="shared" si="89"/>
        <v/>
      </c>
      <c r="P539" t="str">
        <f>IF(OR(H539="",NOT(OR(LEFT(H539,1)="G",LEFT(H539,1)="R"))),"",IFERROR(VLOOKUP(MID(H539,3,1),Map!$G$2:$H$10,2,FALSE),""))</f>
        <v/>
      </c>
      <c r="Q539" t="str">
        <f>IF(A539="","",IFERROR(VLOOKUP(MID(A539,4,1),Map!$O$2:$P$10,2,FALSE),""))</f>
        <v/>
      </c>
    </row>
    <row r="540" spans="2:17" x14ac:dyDescent="0.25">
      <c r="B540" t="str">
        <f t="shared" si="80"/>
        <v/>
      </c>
      <c r="C540" t="str">
        <f t="shared" si="81"/>
        <v>**</v>
      </c>
      <c r="D540" t="str">
        <f t="shared" si="82"/>
        <v/>
      </c>
      <c r="E540" t="str">
        <f>IFERROR(VLOOKUP(MID(A540,7,2),Map!$A$2:$B$20,2,FALSE),"")</f>
        <v/>
      </c>
      <c r="F540" t="str">
        <f>IF(A540="","",IFERROR(VLOOKUP(MID(A540,9,2),Map!$R$2:$S$14,2,FALSE),""))</f>
        <v/>
      </c>
      <c r="G540" t="str">
        <f t="shared" si="83"/>
        <v/>
      </c>
      <c r="H540" t="str">
        <f t="shared" si="84"/>
        <v/>
      </c>
      <c r="I540" t="str">
        <f>IF(A540="","",IFERROR(VLOOKUP(LEFT(A540,1),Map!$D$2:$E$20,2,FALSE),""))</f>
        <v/>
      </c>
      <c r="J540" t="str">
        <f>IF(OR(H540="",NOT(OR(LEFT(H540,1)="G",LEFT(H540,1)="R"))),"",IFERROR(VLOOKUP(MID(H540,2,1),Map!$J$2:$M$10,2,FALSE),""))</f>
        <v/>
      </c>
      <c r="K540" t="str">
        <f t="shared" si="85"/>
        <v/>
      </c>
      <c r="L540" t="str">
        <f t="shared" si="86"/>
        <v/>
      </c>
      <c r="M540" t="str">
        <f t="shared" si="87"/>
        <v/>
      </c>
      <c r="N540" t="str">
        <f t="shared" si="88"/>
        <v/>
      </c>
      <c r="O540" t="str">
        <f t="shared" si="89"/>
        <v/>
      </c>
      <c r="P540" t="str">
        <f>IF(OR(H540="",NOT(OR(LEFT(H540,1)="G",LEFT(H540,1)="R"))),"",IFERROR(VLOOKUP(MID(H540,3,1),Map!$G$2:$H$10,2,FALSE),""))</f>
        <v/>
      </c>
      <c r="Q540" t="str">
        <f>IF(A540="","",IFERROR(VLOOKUP(MID(A540,4,1),Map!$O$2:$P$10,2,FALSE),""))</f>
        <v/>
      </c>
    </row>
    <row r="541" spans="2:17" x14ac:dyDescent="0.25">
      <c r="B541" t="str">
        <f t="shared" si="80"/>
        <v/>
      </c>
      <c r="C541" t="str">
        <f t="shared" si="81"/>
        <v>**</v>
      </c>
      <c r="D541" t="str">
        <f t="shared" si="82"/>
        <v/>
      </c>
      <c r="E541" t="str">
        <f>IFERROR(VLOOKUP(MID(A541,7,2),Map!$A$2:$B$20,2,FALSE),"")</f>
        <v/>
      </c>
      <c r="F541" t="str">
        <f>IF(A541="","",IFERROR(VLOOKUP(MID(A541,9,2),Map!$R$2:$S$14,2,FALSE),""))</f>
        <v/>
      </c>
      <c r="G541" t="str">
        <f t="shared" si="83"/>
        <v/>
      </c>
      <c r="H541" t="str">
        <f t="shared" si="84"/>
        <v/>
      </c>
      <c r="I541" t="str">
        <f>IF(A541="","",IFERROR(VLOOKUP(LEFT(A541,1),Map!$D$2:$E$20,2,FALSE),""))</f>
        <v/>
      </c>
      <c r="J541" t="str">
        <f>IF(OR(H541="",NOT(OR(LEFT(H541,1)="G",LEFT(H541,1)="R"))),"",IFERROR(VLOOKUP(MID(H541,2,1),Map!$J$2:$M$10,2,FALSE),""))</f>
        <v/>
      </c>
      <c r="K541" t="str">
        <f t="shared" si="85"/>
        <v/>
      </c>
      <c r="L541" t="str">
        <f t="shared" si="86"/>
        <v/>
      </c>
      <c r="M541" t="str">
        <f t="shared" si="87"/>
        <v/>
      </c>
      <c r="N541" t="str">
        <f t="shared" si="88"/>
        <v/>
      </c>
      <c r="O541" t="str">
        <f t="shared" si="89"/>
        <v/>
      </c>
      <c r="P541" t="str">
        <f>IF(OR(H541="",NOT(OR(LEFT(H541,1)="G",LEFT(H541,1)="R"))),"",IFERROR(VLOOKUP(MID(H541,3,1),Map!$G$2:$H$10,2,FALSE),""))</f>
        <v/>
      </c>
      <c r="Q541" t="str">
        <f>IF(A541="","",IFERROR(VLOOKUP(MID(A541,4,1),Map!$O$2:$P$10,2,FALSE),""))</f>
        <v/>
      </c>
    </row>
    <row r="542" spans="2:17" x14ac:dyDescent="0.25">
      <c r="B542" t="str">
        <f t="shared" si="80"/>
        <v/>
      </c>
      <c r="C542" t="str">
        <f t="shared" si="81"/>
        <v>**</v>
      </c>
      <c r="D542" t="str">
        <f t="shared" si="82"/>
        <v/>
      </c>
      <c r="E542" t="str">
        <f>IFERROR(VLOOKUP(MID(A542,7,2),Map!$A$2:$B$20,2,FALSE),"")</f>
        <v/>
      </c>
      <c r="F542" t="str">
        <f>IF(A542="","",IFERROR(VLOOKUP(MID(A542,9,2),Map!$R$2:$S$14,2,FALSE),""))</f>
        <v/>
      </c>
      <c r="G542" t="str">
        <f t="shared" si="83"/>
        <v/>
      </c>
      <c r="H542" t="str">
        <f t="shared" si="84"/>
        <v/>
      </c>
      <c r="I542" t="str">
        <f>IF(A542="","",IFERROR(VLOOKUP(LEFT(A542,1),Map!$D$2:$E$20,2,FALSE),""))</f>
        <v/>
      </c>
      <c r="J542" t="str">
        <f>IF(OR(H542="",NOT(OR(LEFT(H542,1)="G",LEFT(H542,1)="R"))),"",IFERROR(VLOOKUP(MID(H542,2,1),Map!$J$2:$M$10,2,FALSE),""))</f>
        <v/>
      </c>
      <c r="K542" t="str">
        <f t="shared" si="85"/>
        <v/>
      </c>
      <c r="L542" t="str">
        <f t="shared" si="86"/>
        <v/>
      </c>
      <c r="M542" t="str">
        <f t="shared" si="87"/>
        <v/>
      </c>
      <c r="N542" t="str">
        <f t="shared" si="88"/>
        <v/>
      </c>
      <c r="O542" t="str">
        <f t="shared" si="89"/>
        <v/>
      </c>
      <c r="P542" t="str">
        <f>IF(OR(H542="",NOT(OR(LEFT(H542,1)="G",LEFT(H542,1)="R"))),"",IFERROR(VLOOKUP(MID(H542,3,1),Map!$G$2:$H$10,2,FALSE),""))</f>
        <v/>
      </c>
      <c r="Q542" t="str">
        <f>IF(A542="","",IFERROR(VLOOKUP(MID(A542,4,1),Map!$O$2:$P$10,2,FALSE),""))</f>
        <v/>
      </c>
    </row>
    <row r="543" spans="2:17" x14ac:dyDescent="0.25">
      <c r="B543" t="str">
        <f t="shared" si="80"/>
        <v/>
      </c>
      <c r="C543" t="str">
        <f t="shared" si="81"/>
        <v>**</v>
      </c>
      <c r="D543" t="str">
        <f t="shared" si="82"/>
        <v/>
      </c>
      <c r="E543" t="str">
        <f>IFERROR(VLOOKUP(MID(A543,7,2),Map!$A$2:$B$20,2,FALSE),"")</f>
        <v/>
      </c>
      <c r="F543" t="str">
        <f>IF(A543="","",IFERROR(VLOOKUP(MID(A543,9,2),Map!$R$2:$S$14,2,FALSE),""))</f>
        <v/>
      </c>
      <c r="G543" t="str">
        <f t="shared" si="83"/>
        <v/>
      </c>
      <c r="H543" t="str">
        <f t="shared" si="84"/>
        <v/>
      </c>
      <c r="I543" t="str">
        <f>IF(A543="","",IFERROR(VLOOKUP(LEFT(A543,1),Map!$D$2:$E$20,2,FALSE),""))</f>
        <v/>
      </c>
      <c r="J543" t="str">
        <f>IF(OR(H543="",NOT(OR(LEFT(H543,1)="G",LEFT(H543,1)="R"))),"",IFERROR(VLOOKUP(MID(H543,2,1),Map!$J$2:$M$10,2,FALSE),""))</f>
        <v/>
      </c>
      <c r="K543" t="str">
        <f t="shared" si="85"/>
        <v/>
      </c>
      <c r="L543" t="str">
        <f t="shared" si="86"/>
        <v/>
      </c>
      <c r="M543" t="str">
        <f t="shared" si="87"/>
        <v/>
      </c>
      <c r="N543" t="str">
        <f t="shared" si="88"/>
        <v/>
      </c>
      <c r="O543" t="str">
        <f t="shared" si="89"/>
        <v/>
      </c>
      <c r="P543" t="str">
        <f>IF(OR(H543="",NOT(OR(LEFT(H543,1)="G",LEFT(H543,1)="R"))),"",IFERROR(VLOOKUP(MID(H543,3,1),Map!$G$2:$H$10,2,FALSE),""))</f>
        <v/>
      </c>
      <c r="Q543" t="str">
        <f>IF(A543="","",IFERROR(VLOOKUP(MID(A543,4,1),Map!$O$2:$P$10,2,FALSE),""))</f>
        <v/>
      </c>
    </row>
    <row r="544" spans="2:17" x14ac:dyDescent="0.25">
      <c r="B544" t="str">
        <f t="shared" si="80"/>
        <v/>
      </c>
      <c r="C544" t="str">
        <f t="shared" si="81"/>
        <v>**</v>
      </c>
      <c r="D544" t="str">
        <f t="shared" si="82"/>
        <v/>
      </c>
      <c r="E544" t="str">
        <f>IFERROR(VLOOKUP(MID(A544,7,2),Map!$A$2:$B$20,2,FALSE),"")</f>
        <v/>
      </c>
      <c r="F544" t="str">
        <f>IF(A544="","",IFERROR(VLOOKUP(MID(A544,9,2),Map!$R$2:$S$14,2,FALSE),""))</f>
        <v/>
      </c>
      <c r="G544" t="str">
        <f t="shared" si="83"/>
        <v/>
      </c>
      <c r="H544" t="str">
        <f t="shared" si="84"/>
        <v/>
      </c>
      <c r="I544" t="str">
        <f>IF(A544="","",IFERROR(VLOOKUP(LEFT(A544,1),Map!$D$2:$E$20,2,FALSE),""))</f>
        <v/>
      </c>
      <c r="J544" t="str">
        <f>IF(OR(H544="",NOT(OR(LEFT(H544,1)="G",LEFT(H544,1)="R"))),"",IFERROR(VLOOKUP(MID(H544,2,1),Map!$J$2:$M$10,2,FALSE),""))</f>
        <v/>
      </c>
      <c r="K544" t="str">
        <f t="shared" si="85"/>
        <v/>
      </c>
      <c r="L544" t="str">
        <f t="shared" si="86"/>
        <v/>
      </c>
      <c r="M544" t="str">
        <f t="shared" si="87"/>
        <v/>
      </c>
      <c r="N544" t="str">
        <f t="shared" si="88"/>
        <v/>
      </c>
      <c r="O544" t="str">
        <f t="shared" si="89"/>
        <v/>
      </c>
      <c r="P544" t="str">
        <f>IF(OR(H544="",NOT(OR(LEFT(H544,1)="G",LEFT(H544,1)="R"))),"",IFERROR(VLOOKUP(MID(H544,3,1),Map!$G$2:$H$10,2,FALSE),""))</f>
        <v/>
      </c>
      <c r="Q544" t="str">
        <f>IF(A544="","",IFERROR(VLOOKUP(MID(A544,4,1),Map!$O$2:$P$10,2,FALSE),""))</f>
        <v/>
      </c>
    </row>
    <row r="545" spans="2:17" x14ac:dyDescent="0.25">
      <c r="B545" t="str">
        <f t="shared" si="80"/>
        <v/>
      </c>
      <c r="C545" t="str">
        <f t="shared" si="81"/>
        <v>**</v>
      </c>
      <c r="D545" t="str">
        <f t="shared" si="82"/>
        <v/>
      </c>
      <c r="E545" t="str">
        <f>IFERROR(VLOOKUP(MID(A545,7,2),Map!$A$2:$B$20,2,FALSE),"")</f>
        <v/>
      </c>
      <c r="F545" t="str">
        <f>IF(A545="","",IFERROR(VLOOKUP(MID(A545,9,2),Map!$R$2:$S$14,2,FALSE),""))</f>
        <v/>
      </c>
      <c r="G545" t="str">
        <f t="shared" si="83"/>
        <v/>
      </c>
      <c r="H545" t="str">
        <f t="shared" si="84"/>
        <v/>
      </c>
      <c r="I545" t="str">
        <f>IF(A545="","",IFERROR(VLOOKUP(LEFT(A545,1),Map!$D$2:$E$20,2,FALSE),""))</f>
        <v/>
      </c>
      <c r="J545" t="str">
        <f>IF(OR(H545="",NOT(OR(LEFT(H545,1)="G",LEFT(H545,1)="R"))),"",IFERROR(VLOOKUP(MID(H545,2,1),Map!$J$2:$M$10,2,FALSE),""))</f>
        <v/>
      </c>
      <c r="K545" t="str">
        <f t="shared" si="85"/>
        <v/>
      </c>
      <c r="L545" t="str">
        <f t="shared" si="86"/>
        <v/>
      </c>
      <c r="M545" t="str">
        <f t="shared" si="87"/>
        <v/>
      </c>
      <c r="N545" t="str">
        <f t="shared" si="88"/>
        <v/>
      </c>
      <c r="O545" t="str">
        <f t="shared" si="89"/>
        <v/>
      </c>
      <c r="P545" t="str">
        <f>IF(OR(H545="",NOT(OR(LEFT(H545,1)="G",LEFT(H545,1)="R"))),"",IFERROR(VLOOKUP(MID(H545,3,1),Map!$G$2:$H$10,2,FALSE),""))</f>
        <v/>
      </c>
      <c r="Q545" t="str">
        <f>IF(A545="","",IFERROR(VLOOKUP(MID(A545,4,1),Map!$O$2:$P$10,2,FALSE),""))</f>
        <v/>
      </c>
    </row>
    <row r="546" spans="2:17" x14ac:dyDescent="0.25">
      <c r="B546" t="str">
        <f t="shared" si="80"/>
        <v/>
      </c>
      <c r="C546" t="str">
        <f t="shared" si="81"/>
        <v>**</v>
      </c>
      <c r="D546" t="str">
        <f t="shared" si="82"/>
        <v/>
      </c>
      <c r="E546" t="str">
        <f>IFERROR(VLOOKUP(MID(A546,7,2),Map!$A$2:$B$20,2,FALSE),"")</f>
        <v/>
      </c>
      <c r="F546" t="str">
        <f>IF(A546="","",IFERROR(VLOOKUP(MID(A546,9,2),Map!$R$2:$S$14,2,FALSE),""))</f>
        <v/>
      </c>
      <c r="G546" t="str">
        <f t="shared" si="83"/>
        <v/>
      </c>
      <c r="H546" t="str">
        <f t="shared" si="84"/>
        <v/>
      </c>
      <c r="I546" t="str">
        <f>IF(A546="","",IFERROR(VLOOKUP(LEFT(A546,1),Map!$D$2:$E$20,2,FALSE),""))</f>
        <v/>
      </c>
      <c r="J546" t="str">
        <f>IF(OR(H546="",NOT(OR(LEFT(H546,1)="G",LEFT(H546,1)="R"))),"",IFERROR(VLOOKUP(MID(H546,2,1),Map!$J$2:$M$10,2,FALSE),""))</f>
        <v/>
      </c>
      <c r="K546" t="str">
        <f t="shared" si="85"/>
        <v/>
      </c>
      <c r="L546" t="str">
        <f t="shared" si="86"/>
        <v/>
      </c>
      <c r="M546" t="str">
        <f t="shared" si="87"/>
        <v/>
      </c>
      <c r="N546" t="str">
        <f t="shared" si="88"/>
        <v/>
      </c>
      <c r="O546" t="str">
        <f t="shared" si="89"/>
        <v/>
      </c>
      <c r="P546" t="str">
        <f>IF(OR(H546="",NOT(OR(LEFT(H546,1)="G",LEFT(H546,1)="R"))),"",IFERROR(VLOOKUP(MID(H546,3,1),Map!$G$2:$H$10,2,FALSE),""))</f>
        <v/>
      </c>
      <c r="Q546" t="str">
        <f>IF(A546="","",IFERROR(VLOOKUP(MID(A546,4,1),Map!$O$2:$P$10,2,FALSE),""))</f>
        <v/>
      </c>
    </row>
    <row r="547" spans="2:17" x14ac:dyDescent="0.25">
      <c r="B547" t="str">
        <f t="shared" si="80"/>
        <v/>
      </c>
      <c r="C547" t="str">
        <f t="shared" si="81"/>
        <v>**</v>
      </c>
      <c r="D547" t="str">
        <f t="shared" si="82"/>
        <v/>
      </c>
      <c r="E547" t="str">
        <f>IFERROR(VLOOKUP(MID(A547,7,2),Map!$A$2:$B$20,2,FALSE),"")</f>
        <v/>
      </c>
      <c r="F547" t="str">
        <f>IF(A547="","",IFERROR(VLOOKUP(MID(A547,9,2),Map!$R$2:$S$14,2,FALSE),""))</f>
        <v/>
      </c>
      <c r="G547" t="str">
        <f t="shared" si="83"/>
        <v/>
      </c>
      <c r="H547" t="str">
        <f t="shared" si="84"/>
        <v/>
      </c>
      <c r="I547" t="str">
        <f>IF(A547="","",IFERROR(VLOOKUP(LEFT(A547,1),Map!$D$2:$E$20,2,FALSE),""))</f>
        <v/>
      </c>
      <c r="J547" t="str">
        <f>IF(OR(H547="",NOT(OR(LEFT(H547,1)="G",LEFT(H547,1)="R"))),"",IFERROR(VLOOKUP(MID(H547,2,1),Map!$J$2:$M$10,2,FALSE),""))</f>
        <v/>
      </c>
      <c r="K547" t="str">
        <f t="shared" si="85"/>
        <v/>
      </c>
      <c r="L547" t="str">
        <f t="shared" si="86"/>
        <v/>
      </c>
      <c r="M547" t="str">
        <f t="shared" si="87"/>
        <v/>
      </c>
      <c r="N547" t="str">
        <f t="shared" si="88"/>
        <v/>
      </c>
      <c r="O547" t="str">
        <f t="shared" si="89"/>
        <v/>
      </c>
      <c r="P547" t="str">
        <f>IF(OR(H547="",NOT(OR(LEFT(H547,1)="G",LEFT(H547,1)="R"))),"",IFERROR(VLOOKUP(MID(H547,3,1),Map!$G$2:$H$10,2,FALSE),""))</f>
        <v/>
      </c>
      <c r="Q547" t="str">
        <f>IF(A547="","",IFERROR(VLOOKUP(MID(A547,4,1),Map!$O$2:$P$10,2,FALSE),""))</f>
        <v/>
      </c>
    </row>
    <row r="548" spans="2:17" x14ac:dyDescent="0.25">
      <c r="B548" t="str">
        <f t="shared" si="80"/>
        <v/>
      </c>
      <c r="C548" t="str">
        <f t="shared" si="81"/>
        <v>**</v>
      </c>
      <c r="D548" t="str">
        <f t="shared" si="82"/>
        <v/>
      </c>
      <c r="E548" t="str">
        <f>IFERROR(VLOOKUP(MID(A548,7,2),Map!$A$2:$B$20,2,FALSE),"")</f>
        <v/>
      </c>
      <c r="F548" t="str">
        <f>IF(A548="","",IFERROR(VLOOKUP(MID(A548,9,2),Map!$R$2:$S$14,2,FALSE),""))</f>
        <v/>
      </c>
      <c r="G548" t="str">
        <f t="shared" si="83"/>
        <v/>
      </c>
      <c r="H548" t="str">
        <f t="shared" si="84"/>
        <v/>
      </c>
      <c r="I548" t="str">
        <f>IF(A548="","",IFERROR(VLOOKUP(LEFT(A548,1),Map!$D$2:$E$20,2,FALSE),""))</f>
        <v/>
      </c>
      <c r="J548" t="str">
        <f>IF(OR(H548="",NOT(OR(LEFT(H548,1)="G",LEFT(H548,1)="R"))),"",IFERROR(VLOOKUP(MID(H548,2,1),Map!$J$2:$M$10,2,FALSE),""))</f>
        <v/>
      </c>
      <c r="K548" t="str">
        <f t="shared" si="85"/>
        <v/>
      </c>
      <c r="L548" t="str">
        <f t="shared" si="86"/>
        <v/>
      </c>
      <c r="M548" t="str">
        <f t="shared" si="87"/>
        <v/>
      </c>
      <c r="N548" t="str">
        <f t="shared" si="88"/>
        <v/>
      </c>
      <c r="O548" t="str">
        <f t="shared" si="89"/>
        <v/>
      </c>
      <c r="P548" t="str">
        <f>IF(OR(H548="",NOT(OR(LEFT(H548,1)="G",LEFT(H548,1)="R"))),"",IFERROR(VLOOKUP(MID(H548,3,1),Map!$G$2:$H$10,2,FALSE),""))</f>
        <v/>
      </c>
      <c r="Q548" t="str">
        <f>IF(A548="","",IFERROR(VLOOKUP(MID(A548,4,1),Map!$O$2:$P$10,2,FALSE),""))</f>
        <v/>
      </c>
    </row>
    <row r="549" spans="2:17" x14ac:dyDescent="0.25">
      <c r="B549" t="str">
        <f t="shared" si="80"/>
        <v/>
      </c>
      <c r="C549" t="str">
        <f t="shared" si="81"/>
        <v>**</v>
      </c>
      <c r="D549" t="str">
        <f t="shared" si="82"/>
        <v/>
      </c>
      <c r="E549" t="str">
        <f>IFERROR(VLOOKUP(MID(A549,7,2),Map!$A$2:$B$20,2,FALSE),"")</f>
        <v/>
      </c>
      <c r="F549" t="str">
        <f>IF(A549="","",IFERROR(VLOOKUP(MID(A549,9,2),Map!$R$2:$S$14,2,FALSE),""))</f>
        <v/>
      </c>
      <c r="G549" t="str">
        <f t="shared" si="83"/>
        <v/>
      </c>
      <c r="H549" t="str">
        <f t="shared" si="84"/>
        <v/>
      </c>
      <c r="I549" t="str">
        <f>IF(A549="","",IFERROR(VLOOKUP(LEFT(A549,1),Map!$D$2:$E$20,2,FALSE),""))</f>
        <v/>
      </c>
      <c r="J549" t="str">
        <f>IF(OR(H549="",NOT(OR(LEFT(H549,1)="G",LEFT(H549,1)="R"))),"",IFERROR(VLOOKUP(MID(H549,2,1),Map!$J$2:$M$10,2,FALSE),""))</f>
        <v/>
      </c>
      <c r="K549" t="str">
        <f t="shared" si="85"/>
        <v/>
      </c>
      <c r="L549" t="str">
        <f t="shared" si="86"/>
        <v/>
      </c>
      <c r="M549" t="str">
        <f t="shared" si="87"/>
        <v/>
      </c>
      <c r="N549" t="str">
        <f t="shared" si="88"/>
        <v/>
      </c>
      <c r="O549" t="str">
        <f t="shared" si="89"/>
        <v/>
      </c>
      <c r="P549" t="str">
        <f>IF(OR(H549="",NOT(OR(LEFT(H549,1)="G",LEFT(H549,1)="R"))),"",IFERROR(VLOOKUP(MID(H549,3,1),Map!$G$2:$H$10,2,FALSE),""))</f>
        <v/>
      </c>
      <c r="Q549" t="str">
        <f>IF(A549="","",IFERROR(VLOOKUP(MID(A549,4,1),Map!$O$2:$P$10,2,FALSE),""))</f>
        <v/>
      </c>
    </row>
    <row r="550" spans="2:17" x14ac:dyDescent="0.25">
      <c r="B550" t="str">
        <f t="shared" si="80"/>
        <v/>
      </c>
      <c r="C550" t="str">
        <f t="shared" si="81"/>
        <v>**</v>
      </c>
      <c r="D550" t="str">
        <f t="shared" si="82"/>
        <v/>
      </c>
      <c r="E550" t="str">
        <f>IFERROR(VLOOKUP(MID(A550,7,2),Map!$A$2:$B$20,2,FALSE),"")</f>
        <v/>
      </c>
      <c r="F550" t="str">
        <f>IF(A550="","",IFERROR(VLOOKUP(MID(A550,9,2),Map!$R$2:$S$14,2,FALSE),""))</f>
        <v/>
      </c>
      <c r="G550" t="str">
        <f t="shared" si="83"/>
        <v/>
      </c>
      <c r="H550" t="str">
        <f t="shared" si="84"/>
        <v/>
      </c>
      <c r="I550" t="str">
        <f>IF(A550="","",IFERROR(VLOOKUP(LEFT(A550,1),Map!$D$2:$E$20,2,FALSE),""))</f>
        <v/>
      </c>
      <c r="J550" t="str">
        <f>IF(OR(H550="",NOT(OR(LEFT(H550,1)="G",LEFT(H550,1)="R"))),"",IFERROR(VLOOKUP(MID(H550,2,1),Map!$J$2:$M$10,2,FALSE),""))</f>
        <v/>
      </c>
      <c r="K550" t="str">
        <f t="shared" si="85"/>
        <v/>
      </c>
      <c r="L550" t="str">
        <f t="shared" si="86"/>
        <v/>
      </c>
      <c r="M550" t="str">
        <f t="shared" si="87"/>
        <v/>
      </c>
      <c r="N550" t="str">
        <f t="shared" si="88"/>
        <v/>
      </c>
      <c r="O550" t="str">
        <f t="shared" si="89"/>
        <v/>
      </c>
      <c r="P550" t="str">
        <f>IF(OR(H550="",NOT(OR(LEFT(H550,1)="G",LEFT(H550,1)="R"))),"",IFERROR(VLOOKUP(MID(H550,3,1),Map!$G$2:$H$10,2,FALSE),""))</f>
        <v/>
      </c>
      <c r="Q550" t="str">
        <f>IF(A550="","",IFERROR(VLOOKUP(MID(A550,4,1),Map!$O$2:$P$10,2,FALSE),""))</f>
        <v/>
      </c>
    </row>
    <row r="551" spans="2:17" x14ac:dyDescent="0.25">
      <c r="B551" t="str">
        <f t="shared" si="80"/>
        <v/>
      </c>
      <c r="C551" t="str">
        <f t="shared" si="81"/>
        <v>**</v>
      </c>
      <c r="D551" t="str">
        <f t="shared" si="82"/>
        <v/>
      </c>
      <c r="E551" t="str">
        <f>IFERROR(VLOOKUP(MID(A551,7,2),Map!$A$2:$B$20,2,FALSE),"")</f>
        <v/>
      </c>
      <c r="F551" t="str">
        <f>IF(A551="","",IFERROR(VLOOKUP(MID(A551,9,2),Map!$R$2:$S$14,2,FALSE),""))</f>
        <v/>
      </c>
      <c r="G551" t="str">
        <f t="shared" si="83"/>
        <v/>
      </c>
      <c r="H551" t="str">
        <f t="shared" si="84"/>
        <v/>
      </c>
      <c r="I551" t="str">
        <f>IF(A551="","",IFERROR(VLOOKUP(LEFT(A551,1),Map!$D$2:$E$20,2,FALSE),""))</f>
        <v/>
      </c>
      <c r="J551" t="str">
        <f>IF(OR(H551="",NOT(OR(LEFT(H551,1)="G",LEFT(H551,1)="R"))),"",IFERROR(VLOOKUP(MID(H551,2,1),Map!$J$2:$M$10,2,FALSE),""))</f>
        <v/>
      </c>
      <c r="K551" t="str">
        <f t="shared" si="85"/>
        <v/>
      </c>
      <c r="L551" t="str">
        <f t="shared" si="86"/>
        <v/>
      </c>
      <c r="M551" t="str">
        <f t="shared" si="87"/>
        <v/>
      </c>
      <c r="N551" t="str">
        <f t="shared" si="88"/>
        <v/>
      </c>
      <c r="O551" t="str">
        <f t="shared" si="89"/>
        <v/>
      </c>
      <c r="P551" t="str">
        <f>IF(OR(H551="",NOT(OR(LEFT(H551,1)="G",LEFT(H551,1)="R"))),"",IFERROR(VLOOKUP(MID(H551,3,1),Map!$G$2:$H$10,2,FALSE),""))</f>
        <v/>
      </c>
      <c r="Q551" t="str">
        <f>IF(A551="","",IFERROR(VLOOKUP(MID(A551,4,1),Map!$O$2:$P$10,2,FALSE),""))</f>
        <v/>
      </c>
    </row>
    <row r="552" spans="2:17" x14ac:dyDescent="0.25">
      <c r="B552" t="str">
        <f t="shared" si="80"/>
        <v/>
      </c>
      <c r="C552" t="str">
        <f t="shared" si="81"/>
        <v>**</v>
      </c>
      <c r="D552" t="str">
        <f t="shared" si="82"/>
        <v/>
      </c>
      <c r="E552" t="str">
        <f>IFERROR(VLOOKUP(MID(A552,7,2),Map!$A$2:$B$20,2,FALSE),"")</f>
        <v/>
      </c>
      <c r="F552" t="str">
        <f>IF(A552="","",IFERROR(VLOOKUP(MID(A552,9,2),Map!$R$2:$S$14,2,FALSE),""))</f>
        <v/>
      </c>
      <c r="G552" t="str">
        <f t="shared" si="83"/>
        <v/>
      </c>
      <c r="H552" t="str">
        <f t="shared" si="84"/>
        <v/>
      </c>
      <c r="I552" t="str">
        <f>IF(A552="","",IFERROR(VLOOKUP(LEFT(A552,1),Map!$D$2:$E$20,2,FALSE),""))</f>
        <v/>
      </c>
      <c r="J552" t="str">
        <f>IF(OR(H552="",NOT(OR(LEFT(H552,1)="G",LEFT(H552,1)="R"))),"",IFERROR(VLOOKUP(MID(H552,2,1),Map!$J$2:$M$10,2,FALSE),""))</f>
        <v/>
      </c>
      <c r="K552" t="str">
        <f t="shared" si="85"/>
        <v/>
      </c>
      <c r="L552" t="str">
        <f t="shared" si="86"/>
        <v/>
      </c>
      <c r="M552" t="str">
        <f t="shared" si="87"/>
        <v/>
      </c>
      <c r="N552" t="str">
        <f t="shared" si="88"/>
        <v/>
      </c>
      <c r="O552" t="str">
        <f t="shared" si="89"/>
        <v/>
      </c>
      <c r="P552" t="str">
        <f>IF(OR(H552="",NOT(OR(LEFT(H552,1)="G",LEFT(H552,1)="R"))),"",IFERROR(VLOOKUP(MID(H552,3,1),Map!$G$2:$H$10,2,FALSE),""))</f>
        <v/>
      </c>
      <c r="Q552" t="str">
        <f>IF(A552="","",IFERROR(VLOOKUP(MID(A552,4,1),Map!$O$2:$P$10,2,FALSE),""))</f>
        <v/>
      </c>
    </row>
    <row r="553" spans="2:17" x14ac:dyDescent="0.25">
      <c r="B553" t="str">
        <f t="shared" si="80"/>
        <v/>
      </c>
      <c r="C553" t="str">
        <f t="shared" si="81"/>
        <v>**</v>
      </c>
      <c r="D553" t="str">
        <f t="shared" si="82"/>
        <v/>
      </c>
      <c r="E553" t="str">
        <f>IFERROR(VLOOKUP(MID(A553,7,2),Map!$A$2:$B$20,2,FALSE),"")</f>
        <v/>
      </c>
      <c r="F553" t="str">
        <f>IF(A553="","",IFERROR(VLOOKUP(MID(A553,9,2),Map!$R$2:$S$14,2,FALSE),""))</f>
        <v/>
      </c>
      <c r="G553" t="str">
        <f t="shared" si="83"/>
        <v/>
      </c>
      <c r="H553" t="str">
        <f t="shared" si="84"/>
        <v/>
      </c>
      <c r="I553" t="str">
        <f>IF(A553="","",IFERROR(VLOOKUP(LEFT(A553,1),Map!$D$2:$E$20,2,FALSE),""))</f>
        <v/>
      </c>
      <c r="J553" t="str">
        <f>IF(OR(H553="",NOT(OR(LEFT(H553,1)="G",LEFT(H553,1)="R"))),"",IFERROR(VLOOKUP(MID(H553,2,1),Map!$J$2:$M$10,2,FALSE),""))</f>
        <v/>
      </c>
      <c r="K553" t="str">
        <f t="shared" si="85"/>
        <v/>
      </c>
      <c r="L553" t="str">
        <f t="shared" si="86"/>
        <v/>
      </c>
      <c r="M553" t="str">
        <f t="shared" si="87"/>
        <v/>
      </c>
      <c r="N553" t="str">
        <f t="shared" si="88"/>
        <v/>
      </c>
      <c r="O553" t="str">
        <f t="shared" si="89"/>
        <v/>
      </c>
      <c r="P553" t="str">
        <f>IF(OR(H553="",NOT(OR(LEFT(H553,1)="G",LEFT(H553,1)="R"))),"",IFERROR(VLOOKUP(MID(H553,3,1),Map!$G$2:$H$10,2,FALSE),""))</f>
        <v/>
      </c>
      <c r="Q553" t="str">
        <f>IF(A553="","",IFERROR(VLOOKUP(MID(A553,4,1),Map!$O$2:$P$10,2,FALSE),""))</f>
        <v/>
      </c>
    </row>
    <row r="554" spans="2:17" x14ac:dyDescent="0.25">
      <c r="B554" t="str">
        <f t="shared" si="80"/>
        <v/>
      </c>
      <c r="C554" t="str">
        <f t="shared" si="81"/>
        <v>**</v>
      </c>
      <c r="D554" t="str">
        <f t="shared" si="82"/>
        <v/>
      </c>
      <c r="E554" t="str">
        <f>IFERROR(VLOOKUP(MID(A554,7,2),Map!$A$2:$B$20,2,FALSE),"")</f>
        <v/>
      </c>
      <c r="F554" t="str">
        <f>IF(A554="","",IFERROR(VLOOKUP(MID(A554,9,2),Map!$R$2:$S$14,2,FALSE),""))</f>
        <v/>
      </c>
      <c r="G554" t="str">
        <f t="shared" si="83"/>
        <v/>
      </c>
      <c r="H554" t="str">
        <f t="shared" si="84"/>
        <v/>
      </c>
      <c r="I554" t="str">
        <f>IF(A554="","",IFERROR(VLOOKUP(LEFT(A554,1),Map!$D$2:$E$20,2,FALSE),""))</f>
        <v/>
      </c>
      <c r="J554" t="str">
        <f>IF(OR(H554="",NOT(OR(LEFT(H554,1)="G",LEFT(H554,1)="R"))),"",IFERROR(VLOOKUP(MID(H554,2,1),Map!$J$2:$M$10,2,FALSE),""))</f>
        <v/>
      </c>
      <c r="K554" t="str">
        <f t="shared" si="85"/>
        <v/>
      </c>
      <c r="L554" t="str">
        <f t="shared" si="86"/>
        <v/>
      </c>
      <c r="M554" t="str">
        <f t="shared" si="87"/>
        <v/>
      </c>
      <c r="N554" t="str">
        <f t="shared" si="88"/>
        <v/>
      </c>
      <c r="O554" t="str">
        <f t="shared" si="89"/>
        <v/>
      </c>
      <c r="P554" t="str">
        <f>IF(OR(H554="",NOT(OR(LEFT(H554,1)="G",LEFT(H554,1)="R"))),"",IFERROR(VLOOKUP(MID(H554,3,1),Map!$G$2:$H$10,2,FALSE),""))</f>
        <v/>
      </c>
      <c r="Q554" t="str">
        <f>IF(A554="","",IFERROR(VLOOKUP(MID(A554,4,1),Map!$O$2:$P$10,2,FALSE),""))</f>
        <v/>
      </c>
    </row>
    <row r="555" spans="2:17" x14ac:dyDescent="0.25">
      <c r="B555" t="str">
        <f t="shared" si="80"/>
        <v/>
      </c>
      <c r="C555" t="str">
        <f t="shared" si="81"/>
        <v>**</v>
      </c>
      <c r="D555" t="str">
        <f t="shared" si="82"/>
        <v/>
      </c>
      <c r="E555" t="str">
        <f>IFERROR(VLOOKUP(MID(A555,7,2),Map!$A$2:$B$20,2,FALSE),"")</f>
        <v/>
      </c>
      <c r="F555" t="str">
        <f>IF(A555="","",IFERROR(VLOOKUP(MID(A555,9,2),Map!$R$2:$S$14,2,FALSE),""))</f>
        <v/>
      </c>
      <c r="G555" t="str">
        <f t="shared" si="83"/>
        <v/>
      </c>
      <c r="H555" t="str">
        <f t="shared" si="84"/>
        <v/>
      </c>
      <c r="I555" t="str">
        <f>IF(A555="","",IFERROR(VLOOKUP(LEFT(A555,1),Map!$D$2:$E$20,2,FALSE),""))</f>
        <v/>
      </c>
      <c r="J555" t="str">
        <f>IF(OR(H555="",NOT(OR(LEFT(H555,1)="G",LEFT(H555,1)="R"))),"",IFERROR(VLOOKUP(MID(H555,2,1),Map!$J$2:$M$10,2,FALSE),""))</f>
        <v/>
      </c>
      <c r="K555" t="str">
        <f t="shared" si="85"/>
        <v/>
      </c>
      <c r="L555" t="str">
        <f t="shared" si="86"/>
        <v/>
      </c>
      <c r="M555" t="str">
        <f t="shared" si="87"/>
        <v/>
      </c>
      <c r="N555" t="str">
        <f t="shared" si="88"/>
        <v/>
      </c>
      <c r="O555" t="str">
        <f t="shared" si="89"/>
        <v/>
      </c>
      <c r="P555" t="str">
        <f>IF(OR(H555="",NOT(OR(LEFT(H555,1)="G",LEFT(H555,1)="R"))),"",IFERROR(VLOOKUP(MID(H555,3,1),Map!$G$2:$H$10,2,FALSE),""))</f>
        <v/>
      </c>
      <c r="Q555" t="str">
        <f>IF(A555="","",IFERROR(VLOOKUP(MID(A555,4,1),Map!$O$2:$P$10,2,FALSE),""))</f>
        <v/>
      </c>
    </row>
    <row r="556" spans="2:17" x14ac:dyDescent="0.25">
      <c r="B556" t="str">
        <f t="shared" si="80"/>
        <v/>
      </c>
      <c r="C556" t="str">
        <f t="shared" si="81"/>
        <v>**</v>
      </c>
      <c r="D556" t="str">
        <f t="shared" si="82"/>
        <v/>
      </c>
      <c r="E556" t="str">
        <f>IFERROR(VLOOKUP(MID(A556,7,2),Map!$A$2:$B$20,2,FALSE),"")</f>
        <v/>
      </c>
      <c r="F556" t="str">
        <f>IF(A556="","",IFERROR(VLOOKUP(MID(A556,9,2),Map!$R$2:$S$14,2,FALSE),""))</f>
        <v/>
      </c>
      <c r="G556" t="str">
        <f t="shared" si="83"/>
        <v/>
      </c>
      <c r="H556" t="str">
        <f t="shared" si="84"/>
        <v/>
      </c>
      <c r="I556" t="str">
        <f>IF(A556="","",IFERROR(VLOOKUP(LEFT(A556,1),Map!$D$2:$E$20,2,FALSE),""))</f>
        <v/>
      </c>
      <c r="J556" t="str">
        <f>IF(OR(H556="",NOT(OR(LEFT(H556,1)="G",LEFT(H556,1)="R"))),"",IFERROR(VLOOKUP(MID(H556,2,1),Map!$J$2:$M$10,2,FALSE),""))</f>
        <v/>
      </c>
      <c r="K556" t="str">
        <f t="shared" si="85"/>
        <v/>
      </c>
      <c r="L556" t="str">
        <f t="shared" si="86"/>
        <v/>
      </c>
      <c r="M556" t="str">
        <f t="shared" si="87"/>
        <v/>
      </c>
      <c r="N556" t="str">
        <f t="shared" si="88"/>
        <v/>
      </c>
      <c r="O556" t="str">
        <f t="shared" si="89"/>
        <v/>
      </c>
      <c r="P556" t="str">
        <f>IF(OR(H556="",NOT(OR(LEFT(H556,1)="G",LEFT(H556,1)="R"))),"",IFERROR(VLOOKUP(MID(H556,3,1),Map!$G$2:$H$10,2,FALSE),""))</f>
        <v/>
      </c>
      <c r="Q556" t="str">
        <f>IF(A556="","",IFERROR(VLOOKUP(MID(A556,4,1),Map!$O$2:$P$10,2,FALSE),""))</f>
        <v/>
      </c>
    </row>
    <row r="557" spans="2:17" x14ac:dyDescent="0.25">
      <c r="B557" t="str">
        <f t="shared" si="80"/>
        <v/>
      </c>
      <c r="C557" t="str">
        <f t="shared" si="81"/>
        <v>**</v>
      </c>
      <c r="D557" t="str">
        <f t="shared" si="82"/>
        <v/>
      </c>
      <c r="E557" t="str">
        <f>IFERROR(VLOOKUP(MID(A557,7,2),Map!$A$2:$B$20,2,FALSE),"")</f>
        <v/>
      </c>
      <c r="F557" t="str">
        <f>IF(A557="","",IFERROR(VLOOKUP(MID(A557,9,2),Map!$R$2:$S$14,2,FALSE),""))</f>
        <v/>
      </c>
      <c r="G557" t="str">
        <f t="shared" si="83"/>
        <v/>
      </c>
      <c r="H557" t="str">
        <f t="shared" si="84"/>
        <v/>
      </c>
      <c r="I557" t="str">
        <f>IF(A557="","",IFERROR(VLOOKUP(LEFT(A557,1),Map!$D$2:$E$20,2,FALSE),""))</f>
        <v/>
      </c>
      <c r="J557" t="str">
        <f>IF(OR(H557="",NOT(OR(LEFT(H557,1)="G",LEFT(H557,1)="R"))),"",IFERROR(VLOOKUP(MID(H557,2,1),Map!$J$2:$M$10,2,FALSE),""))</f>
        <v/>
      </c>
      <c r="K557" t="str">
        <f t="shared" si="85"/>
        <v/>
      </c>
      <c r="L557" t="str">
        <f t="shared" si="86"/>
        <v/>
      </c>
      <c r="M557" t="str">
        <f t="shared" si="87"/>
        <v/>
      </c>
      <c r="N557" t="str">
        <f t="shared" si="88"/>
        <v/>
      </c>
      <c r="O557" t="str">
        <f t="shared" si="89"/>
        <v/>
      </c>
      <c r="P557" t="str">
        <f>IF(OR(H557="",NOT(OR(LEFT(H557,1)="G",LEFT(H557,1)="R"))),"",IFERROR(VLOOKUP(MID(H557,3,1),Map!$G$2:$H$10,2,FALSE),""))</f>
        <v/>
      </c>
      <c r="Q557" t="str">
        <f>IF(A557="","",IFERROR(VLOOKUP(MID(A557,4,1),Map!$O$2:$P$10,2,FALSE),""))</f>
        <v/>
      </c>
    </row>
    <row r="558" spans="2:17" x14ac:dyDescent="0.25">
      <c r="B558" t="str">
        <f t="shared" si="80"/>
        <v/>
      </c>
      <c r="C558" t="str">
        <f t="shared" si="81"/>
        <v>**</v>
      </c>
      <c r="D558" t="str">
        <f t="shared" si="82"/>
        <v/>
      </c>
      <c r="E558" t="str">
        <f>IFERROR(VLOOKUP(MID(A558,7,2),Map!$A$2:$B$20,2,FALSE),"")</f>
        <v/>
      </c>
      <c r="F558" t="str">
        <f>IF(A558="","",IFERROR(VLOOKUP(MID(A558,9,2),Map!$R$2:$S$14,2,FALSE),""))</f>
        <v/>
      </c>
      <c r="G558" t="str">
        <f t="shared" si="83"/>
        <v/>
      </c>
      <c r="H558" t="str">
        <f t="shared" si="84"/>
        <v/>
      </c>
      <c r="I558" t="str">
        <f>IF(A558="","",IFERROR(VLOOKUP(LEFT(A558,1),Map!$D$2:$E$20,2,FALSE),""))</f>
        <v/>
      </c>
      <c r="J558" t="str">
        <f>IF(OR(H558="",NOT(OR(LEFT(H558,1)="G",LEFT(H558,1)="R"))),"",IFERROR(VLOOKUP(MID(H558,2,1),Map!$J$2:$M$10,2,FALSE),""))</f>
        <v/>
      </c>
      <c r="K558" t="str">
        <f t="shared" si="85"/>
        <v/>
      </c>
      <c r="L558" t="str">
        <f t="shared" si="86"/>
        <v/>
      </c>
      <c r="M558" t="str">
        <f t="shared" si="87"/>
        <v/>
      </c>
      <c r="N558" t="str">
        <f t="shared" si="88"/>
        <v/>
      </c>
      <c r="O558" t="str">
        <f t="shared" si="89"/>
        <v/>
      </c>
      <c r="P558" t="str">
        <f>IF(OR(H558="",NOT(OR(LEFT(H558,1)="G",LEFT(H558,1)="R"))),"",IFERROR(VLOOKUP(MID(H558,3,1),Map!$G$2:$H$10,2,FALSE),""))</f>
        <v/>
      </c>
      <c r="Q558" t="str">
        <f>IF(A558="","",IFERROR(VLOOKUP(MID(A558,4,1),Map!$O$2:$P$10,2,FALSE),""))</f>
        <v/>
      </c>
    </row>
    <row r="559" spans="2:17" x14ac:dyDescent="0.25">
      <c r="B559" t="str">
        <f t="shared" si="80"/>
        <v/>
      </c>
      <c r="C559" t="str">
        <f t="shared" si="81"/>
        <v>**</v>
      </c>
      <c r="D559" t="str">
        <f t="shared" si="82"/>
        <v/>
      </c>
      <c r="E559" t="str">
        <f>IFERROR(VLOOKUP(MID(A559,7,2),Map!$A$2:$B$20,2,FALSE),"")</f>
        <v/>
      </c>
      <c r="F559" t="str">
        <f>IF(A559="","",IFERROR(VLOOKUP(MID(A559,9,2),Map!$R$2:$S$14,2,FALSE),""))</f>
        <v/>
      </c>
      <c r="G559" t="str">
        <f t="shared" si="83"/>
        <v/>
      </c>
      <c r="H559" t="str">
        <f t="shared" si="84"/>
        <v/>
      </c>
      <c r="I559" t="str">
        <f>IF(A559="","",IFERROR(VLOOKUP(LEFT(A559,1),Map!$D$2:$E$20,2,FALSE),""))</f>
        <v/>
      </c>
      <c r="J559" t="str">
        <f>IF(OR(H559="",NOT(OR(LEFT(H559,1)="G",LEFT(H559,1)="R"))),"",IFERROR(VLOOKUP(MID(H559,2,1),Map!$J$2:$M$10,2,FALSE),""))</f>
        <v/>
      </c>
      <c r="K559" t="str">
        <f t="shared" si="85"/>
        <v/>
      </c>
      <c r="L559" t="str">
        <f t="shared" si="86"/>
        <v/>
      </c>
      <c r="M559" t="str">
        <f t="shared" si="87"/>
        <v/>
      </c>
      <c r="N559" t="str">
        <f t="shared" si="88"/>
        <v/>
      </c>
      <c r="O559" t="str">
        <f t="shared" si="89"/>
        <v/>
      </c>
      <c r="P559" t="str">
        <f>IF(OR(H559="",NOT(OR(LEFT(H559,1)="G",LEFT(H559,1)="R"))),"",IFERROR(VLOOKUP(MID(H559,3,1),Map!$G$2:$H$10,2,FALSE),""))</f>
        <v/>
      </c>
      <c r="Q559" t="str">
        <f>IF(A559="","",IFERROR(VLOOKUP(MID(A559,4,1),Map!$O$2:$P$10,2,FALSE),""))</f>
        <v/>
      </c>
    </row>
    <row r="560" spans="2:17" x14ac:dyDescent="0.25">
      <c r="B560" t="str">
        <f t="shared" si="80"/>
        <v/>
      </c>
      <c r="C560" t="str">
        <f t="shared" si="81"/>
        <v>**</v>
      </c>
      <c r="D560" t="str">
        <f t="shared" si="82"/>
        <v/>
      </c>
      <c r="E560" t="str">
        <f>IFERROR(VLOOKUP(MID(A560,7,2),Map!$A$2:$B$20,2,FALSE),"")</f>
        <v/>
      </c>
      <c r="F560" t="str">
        <f>IF(A560="","",IFERROR(VLOOKUP(MID(A560,9,2),Map!$R$2:$S$14,2,FALSE),""))</f>
        <v/>
      </c>
      <c r="G560" t="str">
        <f t="shared" si="83"/>
        <v/>
      </c>
      <c r="H560" t="str">
        <f t="shared" si="84"/>
        <v/>
      </c>
      <c r="I560" t="str">
        <f>IF(A560="","",IFERROR(VLOOKUP(LEFT(A560,1),Map!$D$2:$E$20,2,FALSE),""))</f>
        <v/>
      </c>
      <c r="J560" t="str">
        <f>IF(OR(H560="",NOT(OR(LEFT(H560,1)="G",LEFT(H560,1)="R"))),"",IFERROR(VLOOKUP(MID(H560,2,1),Map!$J$2:$M$10,2,FALSE),""))</f>
        <v/>
      </c>
      <c r="K560" t="str">
        <f t="shared" si="85"/>
        <v/>
      </c>
      <c r="L560" t="str">
        <f t="shared" si="86"/>
        <v/>
      </c>
      <c r="M560" t="str">
        <f t="shared" si="87"/>
        <v/>
      </c>
      <c r="N560" t="str">
        <f t="shared" si="88"/>
        <v/>
      </c>
      <c r="O560" t="str">
        <f t="shared" si="89"/>
        <v/>
      </c>
      <c r="P560" t="str">
        <f>IF(OR(H560="",NOT(OR(LEFT(H560,1)="G",LEFT(H560,1)="R"))),"",IFERROR(VLOOKUP(MID(H560,3,1),Map!$G$2:$H$10,2,FALSE),""))</f>
        <v/>
      </c>
      <c r="Q560" t="str">
        <f>IF(A560="","",IFERROR(VLOOKUP(MID(A560,4,1),Map!$O$2:$P$10,2,FALSE),""))</f>
        <v/>
      </c>
    </row>
    <row r="561" spans="2:17" x14ac:dyDescent="0.25">
      <c r="B561" t="str">
        <f t="shared" si="80"/>
        <v/>
      </c>
      <c r="C561" t="str">
        <f t="shared" si="81"/>
        <v>**</v>
      </c>
      <c r="D561" t="str">
        <f t="shared" si="82"/>
        <v/>
      </c>
      <c r="E561" t="str">
        <f>IFERROR(VLOOKUP(MID(A561,7,2),Map!$A$2:$B$20,2,FALSE),"")</f>
        <v/>
      </c>
      <c r="F561" t="str">
        <f>IF(A561="","",IFERROR(VLOOKUP(MID(A561,9,2),Map!$R$2:$S$14,2,FALSE),""))</f>
        <v/>
      </c>
      <c r="G561" t="str">
        <f t="shared" si="83"/>
        <v/>
      </c>
      <c r="H561" t="str">
        <f t="shared" si="84"/>
        <v/>
      </c>
      <c r="I561" t="str">
        <f>IF(A561="","",IFERROR(VLOOKUP(LEFT(A561,1),Map!$D$2:$E$20,2,FALSE),""))</f>
        <v/>
      </c>
      <c r="J561" t="str">
        <f>IF(OR(H561="",NOT(OR(LEFT(H561,1)="G",LEFT(H561,1)="R"))),"",IFERROR(VLOOKUP(MID(H561,2,1),Map!$J$2:$M$10,2,FALSE),""))</f>
        <v/>
      </c>
      <c r="K561" t="str">
        <f t="shared" si="85"/>
        <v/>
      </c>
      <c r="L561" t="str">
        <f t="shared" si="86"/>
        <v/>
      </c>
      <c r="M561" t="str">
        <f t="shared" si="87"/>
        <v/>
      </c>
      <c r="N561" t="str">
        <f t="shared" si="88"/>
        <v/>
      </c>
      <c r="O561" t="str">
        <f t="shared" si="89"/>
        <v/>
      </c>
      <c r="P561" t="str">
        <f>IF(OR(H561="",NOT(OR(LEFT(H561,1)="G",LEFT(H561,1)="R"))),"",IFERROR(VLOOKUP(MID(H561,3,1),Map!$G$2:$H$10,2,FALSE),""))</f>
        <v/>
      </c>
      <c r="Q561" t="str">
        <f>IF(A561="","",IFERROR(VLOOKUP(MID(A561,4,1),Map!$O$2:$P$10,2,FALSE),""))</f>
        <v/>
      </c>
    </row>
    <row r="562" spans="2:17" x14ac:dyDescent="0.25">
      <c r="B562" t="str">
        <f t="shared" si="80"/>
        <v/>
      </c>
      <c r="C562" t="str">
        <f t="shared" si="81"/>
        <v>**</v>
      </c>
      <c r="D562" t="str">
        <f t="shared" si="82"/>
        <v/>
      </c>
      <c r="E562" t="str">
        <f>IFERROR(VLOOKUP(MID(A562,7,2),Map!$A$2:$B$20,2,FALSE),"")</f>
        <v/>
      </c>
      <c r="F562" t="str">
        <f>IF(A562="","",IFERROR(VLOOKUP(MID(A562,9,2),Map!$R$2:$S$14,2,FALSE),""))</f>
        <v/>
      </c>
      <c r="G562" t="str">
        <f t="shared" si="83"/>
        <v/>
      </c>
      <c r="H562" t="str">
        <f t="shared" si="84"/>
        <v/>
      </c>
      <c r="I562" t="str">
        <f>IF(A562="","",IFERROR(VLOOKUP(LEFT(A562,1),Map!$D$2:$E$20,2,FALSE),""))</f>
        <v/>
      </c>
      <c r="J562" t="str">
        <f>IF(OR(H562="",NOT(OR(LEFT(H562,1)="G",LEFT(H562,1)="R"))),"",IFERROR(VLOOKUP(MID(H562,2,1),Map!$J$2:$M$10,2,FALSE),""))</f>
        <v/>
      </c>
      <c r="K562" t="str">
        <f t="shared" si="85"/>
        <v/>
      </c>
      <c r="L562" t="str">
        <f t="shared" si="86"/>
        <v/>
      </c>
      <c r="M562" t="str">
        <f t="shared" si="87"/>
        <v/>
      </c>
      <c r="N562" t="str">
        <f t="shared" si="88"/>
        <v/>
      </c>
      <c r="O562" t="str">
        <f t="shared" si="89"/>
        <v/>
      </c>
      <c r="P562" t="str">
        <f>IF(OR(H562="",NOT(OR(LEFT(H562,1)="G",LEFT(H562,1)="R"))),"",IFERROR(VLOOKUP(MID(H562,3,1),Map!$G$2:$H$10,2,FALSE),""))</f>
        <v/>
      </c>
      <c r="Q562" t="str">
        <f>IF(A562="","",IFERROR(VLOOKUP(MID(A562,4,1),Map!$O$2:$P$10,2,FALSE),""))</f>
        <v/>
      </c>
    </row>
    <row r="563" spans="2:17" x14ac:dyDescent="0.25">
      <c r="B563" t="str">
        <f t="shared" si="80"/>
        <v/>
      </c>
      <c r="C563" t="str">
        <f t="shared" si="81"/>
        <v>**</v>
      </c>
      <c r="D563" t="str">
        <f t="shared" si="82"/>
        <v/>
      </c>
      <c r="E563" t="str">
        <f>IFERROR(VLOOKUP(MID(A563,7,2),Map!$A$2:$B$20,2,FALSE),"")</f>
        <v/>
      </c>
      <c r="F563" t="str">
        <f>IF(A563="","",IFERROR(VLOOKUP(MID(A563,9,2),Map!$R$2:$S$14,2,FALSE),""))</f>
        <v/>
      </c>
      <c r="G563" t="str">
        <f t="shared" si="83"/>
        <v/>
      </c>
      <c r="H563" t="str">
        <f t="shared" si="84"/>
        <v/>
      </c>
      <c r="I563" t="str">
        <f>IF(A563="","",IFERROR(VLOOKUP(LEFT(A563,1),Map!$D$2:$E$20,2,FALSE),""))</f>
        <v/>
      </c>
      <c r="J563" t="str">
        <f>IF(OR(H563="",NOT(OR(LEFT(H563,1)="G",LEFT(H563,1)="R"))),"",IFERROR(VLOOKUP(MID(H563,2,1),Map!$J$2:$M$10,2,FALSE),""))</f>
        <v/>
      </c>
      <c r="K563" t="str">
        <f t="shared" si="85"/>
        <v/>
      </c>
      <c r="L563" t="str">
        <f t="shared" si="86"/>
        <v/>
      </c>
      <c r="M563" t="str">
        <f t="shared" si="87"/>
        <v/>
      </c>
      <c r="N563" t="str">
        <f t="shared" si="88"/>
        <v/>
      </c>
      <c r="O563" t="str">
        <f t="shared" si="89"/>
        <v/>
      </c>
      <c r="P563" t="str">
        <f>IF(OR(H563="",NOT(OR(LEFT(H563,1)="G",LEFT(H563,1)="R"))),"",IFERROR(VLOOKUP(MID(H563,3,1),Map!$G$2:$H$10,2,FALSE),""))</f>
        <v/>
      </c>
      <c r="Q563" t="str">
        <f>IF(A563="","",IFERROR(VLOOKUP(MID(A563,4,1),Map!$O$2:$P$10,2,FALSE),""))</f>
        <v/>
      </c>
    </row>
    <row r="564" spans="2:17" x14ac:dyDescent="0.25">
      <c r="B564" t="str">
        <f t="shared" si="80"/>
        <v/>
      </c>
      <c r="C564" t="str">
        <f t="shared" si="81"/>
        <v>**</v>
      </c>
      <c r="D564" t="str">
        <f t="shared" si="82"/>
        <v/>
      </c>
      <c r="E564" t="str">
        <f>IFERROR(VLOOKUP(MID(A564,7,2),Map!$A$2:$B$20,2,FALSE),"")</f>
        <v/>
      </c>
      <c r="F564" t="str">
        <f>IF(A564="","",IFERROR(VLOOKUP(MID(A564,9,2),Map!$R$2:$S$14,2,FALSE),""))</f>
        <v/>
      </c>
      <c r="G564" t="str">
        <f t="shared" si="83"/>
        <v/>
      </c>
      <c r="H564" t="str">
        <f t="shared" si="84"/>
        <v/>
      </c>
      <c r="I564" t="str">
        <f>IF(A564="","",IFERROR(VLOOKUP(LEFT(A564,1),Map!$D$2:$E$20,2,FALSE),""))</f>
        <v/>
      </c>
      <c r="J564" t="str">
        <f>IF(OR(H564="",NOT(OR(LEFT(H564,1)="G",LEFT(H564,1)="R"))),"",IFERROR(VLOOKUP(MID(H564,2,1),Map!$J$2:$M$10,2,FALSE),""))</f>
        <v/>
      </c>
      <c r="K564" t="str">
        <f t="shared" si="85"/>
        <v/>
      </c>
      <c r="L564" t="str">
        <f t="shared" si="86"/>
        <v/>
      </c>
      <c r="M564" t="str">
        <f t="shared" si="87"/>
        <v/>
      </c>
      <c r="N564" t="str">
        <f t="shared" si="88"/>
        <v/>
      </c>
      <c r="O564" t="str">
        <f t="shared" si="89"/>
        <v/>
      </c>
      <c r="P564" t="str">
        <f>IF(OR(H564="",NOT(OR(LEFT(H564,1)="G",LEFT(H564,1)="R"))),"",IFERROR(VLOOKUP(MID(H564,3,1),Map!$G$2:$H$10,2,FALSE),""))</f>
        <v/>
      </c>
      <c r="Q564" t="str">
        <f>IF(A564="","",IFERROR(VLOOKUP(MID(A564,4,1),Map!$O$2:$P$10,2,FALSE),""))</f>
        <v/>
      </c>
    </row>
    <row r="565" spans="2:17" x14ac:dyDescent="0.25">
      <c r="B565" t="str">
        <f t="shared" si="80"/>
        <v/>
      </c>
      <c r="C565" t="str">
        <f t="shared" si="81"/>
        <v>**</v>
      </c>
      <c r="D565" t="str">
        <f t="shared" si="82"/>
        <v/>
      </c>
      <c r="E565" t="str">
        <f>IFERROR(VLOOKUP(MID(A565,7,2),Map!$A$2:$B$20,2,FALSE),"")</f>
        <v/>
      </c>
      <c r="F565" t="str">
        <f>IF(A565="","",IFERROR(VLOOKUP(MID(A565,9,2),Map!$R$2:$S$14,2,FALSE),""))</f>
        <v/>
      </c>
      <c r="G565" t="str">
        <f t="shared" si="83"/>
        <v/>
      </c>
      <c r="H565" t="str">
        <f t="shared" si="84"/>
        <v/>
      </c>
      <c r="I565" t="str">
        <f>IF(A565="","",IFERROR(VLOOKUP(LEFT(A565,1),Map!$D$2:$E$20,2,FALSE),""))</f>
        <v/>
      </c>
      <c r="J565" t="str">
        <f>IF(OR(H565="",NOT(OR(LEFT(H565,1)="G",LEFT(H565,1)="R"))),"",IFERROR(VLOOKUP(MID(H565,2,1),Map!$J$2:$M$10,2,FALSE),""))</f>
        <v/>
      </c>
      <c r="K565" t="str">
        <f t="shared" si="85"/>
        <v/>
      </c>
      <c r="L565" t="str">
        <f t="shared" si="86"/>
        <v/>
      </c>
      <c r="M565" t="str">
        <f t="shared" si="87"/>
        <v/>
      </c>
      <c r="N565" t="str">
        <f t="shared" si="88"/>
        <v/>
      </c>
      <c r="O565" t="str">
        <f t="shared" si="89"/>
        <v/>
      </c>
      <c r="P565" t="str">
        <f>IF(OR(H565="",NOT(OR(LEFT(H565,1)="G",LEFT(H565,1)="R"))),"",IFERROR(VLOOKUP(MID(H565,3,1),Map!$G$2:$H$10,2,FALSE),""))</f>
        <v/>
      </c>
      <c r="Q565" t="str">
        <f>IF(A565="","",IFERROR(VLOOKUP(MID(A565,4,1),Map!$O$2:$P$10,2,FALSE),""))</f>
        <v/>
      </c>
    </row>
    <row r="566" spans="2:17" x14ac:dyDescent="0.25">
      <c r="B566" t="str">
        <f t="shared" si="80"/>
        <v/>
      </c>
      <c r="C566" t="str">
        <f t="shared" si="81"/>
        <v>**</v>
      </c>
      <c r="D566" t="str">
        <f t="shared" si="82"/>
        <v/>
      </c>
      <c r="E566" t="str">
        <f>IFERROR(VLOOKUP(MID(A566,7,2),Map!$A$2:$B$20,2,FALSE),"")</f>
        <v/>
      </c>
      <c r="F566" t="str">
        <f>IF(A566="","",IFERROR(VLOOKUP(MID(A566,9,2),Map!$R$2:$S$14,2,FALSE),""))</f>
        <v/>
      </c>
      <c r="G566" t="str">
        <f t="shared" si="83"/>
        <v/>
      </c>
      <c r="H566" t="str">
        <f t="shared" si="84"/>
        <v/>
      </c>
      <c r="I566" t="str">
        <f>IF(A566="","",IFERROR(VLOOKUP(LEFT(A566,1),Map!$D$2:$E$20,2,FALSE),""))</f>
        <v/>
      </c>
      <c r="J566" t="str">
        <f>IF(OR(H566="",NOT(OR(LEFT(H566,1)="G",LEFT(H566,1)="R"))),"",IFERROR(VLOOKUP(MID(H566,2,1),Map!$J$2:$M$10,2,FALSE),""))</f>
        <v/>
      </c>
      <c r="K566" t="str">
        <f t="shared" si="85"/>
        <v/>
      </c>
      <c r="L566" t="str">
        <f t="shared" si="86"/>
        <v/>
      </c>
      <c r="M566" t="str">
        <f t="shared" si="87"/>
        <v/>
      </c>
      <c r="N566" t="str">
        <f t="shared" si="88"/>
        <v/>
      </c>
      <c r="O566" t="str">
        <f t="shared" si="89"/>
        <v/>
      </c>
      <c r="P566" t="str">
        <f>IF(OR(H566="",NOT(OR(LEFT(H566,1)="G",LEFT(H566,1)="R"))),"",IFERROR(VLOOKUP(MID(H566,3,1),Map!$G$2:$H$10,2,FALSE),""))</f>
        <v/>
      </c>
      <c r="Q566" t="str">
        <f>IF(A566="","",IFERROR(VLOOKUP(MID(A566,4,1),Map!$O$2:$P$10,2,FALSE),""))</f>
        <v/>
      </c>
    </row>
    <row r="567" spans="2:17" x14ac:dyDescent="0.25">
      <c r="B567" t="str">
        <f t="shared" si="80"/>
        <v/>
      </c>
      <c r="C567" t="str">
        <f t="shared" si="81"/>
        <v>**</v>
      </c>
      <c r="D567" t="str">
        <f t="shared" si="82"/>
        <v/>
      </c>
      <c r="E567" t="str">
        <f>IFERROR(VLOOKUP(MID(A567,7,2),Map!$A$2:$B$20,2,FALSE),"")</f>
        <v/>
      </c>
      <c r="F567" t="str">
        <f>IF(A567="","",IFERROR(VLOOKUP(MID(A567,9,2),Map!$R$2:$S$14,2,FALSE),""))</f>
        <v/>
      </c>
      <c r="G567" t="str">
        <f t="shared" si="83"/>
        <v/>
      </c>
      <c r="H567" t="str">
        <f t="shared" si="84"/>
        <v/>
      </c>
      <c r="I567" t="str">
        <f>IF(A567="","",IFERROR(VLOOKUP(LEFT(A567,1),Map!$D$2:$E$20,2,FALSE),""))</f>
        <v/>
      </c>
      <c r="J567" t="str">
        <f>IF(OR(H567="",NOT(OR(LEFT(H567,1)="G",LEFT(H567,1)="R"))),"",IFERROR(VLOOKUP(MID(H567,2,1),Map!$J$2:$M$10,2,FALSE),""))</f>
        <v/>
      </c>
      <c r="K567" t="str">
        <f t="shared" si="85"/>
        <v/>
      </c>
      <c r="L567" t="str">
        <f t="shared" si="86"/>
        <v/>
      </c>
      <c r="M567" t="str">
        <f t="shared" si="87"/>
        <v/>
      </c>
      <c r="N567" t="str">
        <f t="shared" si="88"/>
        <v/>
      </c>
      <c r="O567" t="str">
        <f t="shared" si="89"/>
        <v/>
      </c>
      <c r="P567" t="str">
        <f>IF(OR(H567="",NOT(OR(LEFT(H567,1)="G",LEFT(H567,1)="R"))),"",IFERROR(VLOOKUP(MID(H567,3,1),Map!$G$2:$H$10,2,FALSE),""))</f>
        <v/>
      </c>
      <c r="Q567" t="str">
        <f>IF(A567="","",IFERROR(VLOOKUP(MID(A567,4,1),Map!$O$2:$P$10,2,FALSE),""))</f>
        <v/>
      </c>
    </row>
    <row r="568" spans="2:17" x14ac:dyDescent="0.25">
      <c r="B568" t="str">
        <f t="shared" si="80"/>
        <v/>
      </c>
      <c r="C568" t="str">
        <f t="shared" si="81"/>
        <v>**</v>
      </c>
      <c r="D568" t="str">
        <f t="shared" si="82"/>
        <v/>
      </c>
      <c r="E568" t="str">
        <f>IFERROR(VLOOKUP(MID(A568,7,2),Map!$A$2:$B$20,2,FALSE),"")</f>
        <v/>
      </c>
      <c r="F568" t="str">
        <f>IF(A568="","",IFERROR(VLOOKUP(MID(A568,9,2),Map!$R$2:$S$14,2,FALSE),""))</f>
        <v/>
      </c>
      <c r="G568" t="str">
        <f t="shared" si="83"/>
        <v/>
      </c>
      <c r="H568" t="str">
        <f t="shared" si="84"/>
        <v/>
      </c>
      <c r="I568" t="str">
        <f>IF(A568="","",IFERROR(VLOOKUP(LEFT(A568,1),Map!$D$2:$E$20,2,FALSE),""))</f>
        <v/>
      </c>
      <c r="J568" t="str">
        <f>IF(OR(H568="",NOT(OR(LEFT(H568,1)="G",LEFT(H568,1)="R"))),"",IFERROR(VLOOKUP(MID(H568,2,1),Map!$J$2:$M$10,2,FALSE),""))</f>
        <v/>
      </c>
      <c r="K568" t="str">
        <f t="shared" si="85"/>
        <v/>
      </c>
      <c r="L568" t="str">
        <f t="shared" si="86"/>
        <v/>
      </c>
      <c r="M568" t="str">
        <f t="shared" si="87"/>
        <v/>
      </c>
      <c r="N568" t="str">
        <f t="shared" si="88"/>
        <v/>
      </c>
      <c r="O568" t="str">
        <f t="shared" si="89"/>
        <v/>
      </c>
      <c r="P568" t="str">
        <f>IF(OR(H568="",NOT(OR(LEFT(H568,1)="G",LEFT(H568,1)="R"))),"",IFERROR(VLOOKUP(MID(H568,3,1),Map!$G$2:$H$10,2,FALSE),""))</f>
        <v/>
      </c>
      <c r="Q568" t="str">
        <f>IF(A568="","",IFERROR(VLOOKUP(MID(A568,4,1),Map!$O$2:$P$10,2,FALSE),""))</f>
        <v/>
      </c>
    </row>
    <row r="569" spans="2:17" x14ac:dyDescent="0.25">
      <c r="B569" t="str">
        <f t="shared" si="80"/>
        <v/>
      </c>
      <c r="C569" t="str">
        <f t="shared" si="81"/>
        <v>**</v>
      </c>
      <c r="D569" t="str">
        <f t="shared" si="82"/>
        <v/>
      </c>
      <c r="E569" t="str">
        <f>IFERROR(VLOOKUP(MID(A569,7,2),Map!$A$2:$B$20,2,FALSE),"")</f>
        <v/>
      </c>
      <c r="F569" t="str">
        <f>IF(A569="","",IFERROR(VLOOKUP(MID(A569,9,2),Map!$R$2:$S$14,2,FALSE),""))</f>
        <v/>
      </c>
      <c r="G569" t="str">
        <f t="shared" si="83"/>
        <v/>
      </c>
      <c r="H569" t="str">
        <f t="shared" si="84"/>
        <v/>
      </c>
      <c r="I569" t="str">
        <f>IF(A569="","",IFERROR(VLOOKUP(LEFT(A569,1),Map!$D$2:$E$20,2,FALSE),""))</f>
        <v/>
      </c>
      <c r="J569" t="str">
        <f>IF(OR(H569="",NOT(OR(LEFT(H569,1)="G",LEFT(H569,1)="R"))),"",IFERROR(VLOOKUP(MID(H569,2,1),Map!$J$2:$M$10,2,FALSE),""))</f>
        <v/>
      </c>
      <c r="K569" t="str">
        <f t="shared" si="85"/>
        <v/>
      </c>
      <c r="L569" t="str">
        <f t="shared" si="86"/>
        <v/>
      </c>
      <c r="M569" t="str">
        <f t="shared" si="87"/>
        <v/>
      </c>
      <c r="N569" t="str">
        <f t="shared" si="88"/>
        <v/>
      </c>
      <c r="O569" t="str">
        <f t="shared" si="89"/>
        <v/>
      </c>
      <c r="P569" t="str">
        <f>IF(OR(H569="",NOT(OR(LEFT(H569,1)="G",LEFT(H569,1)="R"))),"",IFERROR(VLOOKUP(MID(H569,3,1),Map!$G$2:$H$10,2,FALSE),""))</f>
        <v/>
      </c>
      <c r="Q569" t="str">
        <f>IF(A569="","",IFERROR(VLOOKUP(MID(A569,4,1),Map!$O$2:$P$10,2,FALSE),""))</f>
        <v/>
      </c>
    </row>
    <row r="570" spans="2:17" x14ac:dyDescent="0.25">
      <c r="B570" t="str">
        <f t="shared" si="80"/>
        <v/>
      </c>
      <c r="C570" t="str">
        <f t="shared" si="81"/>
        <v>**</v>
      </c>
      <c r="D570" t="str">
        <f t="shared" si="82"/>
        <v/>
      </c>
      <c r="E570" t="str">
        <f>IFERROR(VLOOKUP(MID(A570,7,2),Map!$A$2:$B$20,2,FALSE),"")</f>
        <v/>
      </c>
      <c r="F570" t="str">
        <f>IF(A570="","",IFERROR(VLOOKUP(MID(A570,9,2),Map!$R$2:$S$14,2,FALSE),""))</f>
        <v/>
      </c>
      <c r="G570" t="str">
        <f t="shared" si="83"/>
        <v/>
      </c>
      <c r="H570" t="str">
        <f t="shared" si="84"/>
        <v/>
      </c>
      <c r="I570" t="str">
        <f>IF(A570="","",IFERROR(VLOOKUP(LEFT(A570,1),Map!$D$2:$E$20,2,FALSE),""))</f>
        <v/>
      </c>
      <c r="J570" t="str">
        <f>IF(OR(H570="",NOT(OR(LEFT(H570,1)="G",LEFT(H570,1)="R"))),"",IFERROR(VLOOKUP(MID(H570,2,1),Map!$J$2:$M$10,2,FALSE),""))</f>
        <v/>
      </c>
      <c r="K570" t="str">
        <f t="shared" si="85"/>
        <v/>
      </c>
      <c r="L570" t="str">
        <f t="shared" si="86"/>
        <v/>
      </c>
      <c r="M570" t="str">
        <f t="shared" si="87"/>
        <v/>
      </c>
      <c r="N570" t="str">
        <f t="shared" si="88"/>
        <v/>
      </c>
      <c r="O570" t="str">
        <f t="shared" si="89"/>
        <v/>
      </c>
      <c r="P570" t="str">
        <f>IF(OR(H570="",NOT(OR(LEFT(H570,1)="G",LEFT(H570,1)="R"))),"",IFERROR(VLOOKUP(MID(H570,3,1),Map!$G$2:$H$10,2,FALSE),""))</f>
        <v/>
      </c>
      <c r="Q570" t="str">
        <f>IF(A570="","",IFERROR(VLOOKUP(MID(A570,4,1),Map!$O$2:$P$10,2,FALSE),""))</f>
        <v/>
      </c>
    </row>
    <row r="571" spans="2:17" x14ac:dyDescent="0.25">
      <c r="B571" t="str">
        <f t="shared" si="80"/>
        <v/>
      </c>
      <c r="C571" t="str">
        <f t="shared" si="81"/>
        <v>**</v>
      </c>
      <c r="D571" t="str">
        <f t="shared" si="82"/>
        <v/>
      </c>
      <c r="E571" t="str">
        <f>IFERROR(VLOOKUP(MID(A571,7,2),Map!$A$2:$B$20,2,FALSE),"")</f>
        <v/>
      </c>
      <c r="F571" t="str">
        <f>IF(A571="","",IFERROR(VLOOKUP(MID(A571,9,2),Map!$R$2:$S$14,2,FALSE),""))</f>
        <v/>
      </c>
      <c r="G571" t="str">
        <f t="shared" si="83"/>
        <v/>
      </c>
      <c r="H571" t="str">
        <f t="shared" si="84"/>
        <v/>
      </c>
      <c r="I571" t="str">
        <f>IF(A571="","",IFERROR(VLOOKUP(LEFT(A571,1),Map!$D$2:$E$20,2,FALSE),""))</f>
        <v/>
      </c>
      <c r="J571" t="str">
        <f>IF(OR(H571="",NOT(OR(LEFT(H571,1)="G",LEFT(H571,1)="R"))),"",IFERROR(VLOOKUP(MID(H571,2,1),Map!$J$2:$M$10,2,FALSE),""))</f>
        <v/>
      </c>
      <c r="K571" t="str">
        <f t="shared" si="85"/>
        <v/>
      </c>
      <c r="L571" t="str">
        <f t="shared" si="86"/>
        <v/>
      </c>
      <c r="M571" t="str">
        <f t="shared" si="87"/>
        <v/>
      </c>
      <c r="N571" t="str">
        <f t="shared" si="88"/>
        <v/>
      </c>
      <c r="O571" t="str">
        <f t="shared" si="89"/>
        <v/>
      </c>
      <c r="P571" t="str">
        <f>IF(OR(H571="",NOT(OR(LEFT(H571,1)="G",LEFT(H571,1)="R"))),"",IFERROR(VLOOKUP(MID(H571,3,1),Map!$G$2:$H$10,2,FALSE),""))</f>
        <v/>
      </c>
      <c r="Q571" t="str">
        <f>IF(A571="","",IFERROR(VLOOKUP(MID(A571,4,1),Map!$O$2:$P$10,2,FALSE),""))</f>
        <v/>
      </c>
    </row>
    <row r="572" spans="2:17" x14ac:dyDescent="0.25">
      <c r="B572" t="str">
        <f t="shared" si="80"/>
        <v/>
      </c>
      <c r="C572" t="str">
        <f t="shared" si="81"/>
        <v>**</v>
      </c>
      <c r="D572" t="str">
        <f t="shared" si="82"/>
        <v/>
      </c>
      <c r="E572" t="str">
        <f>IFERROR(VLOOKUP(MID(A572,7,2),Map!$A$2:$B$20,2,FALSE),"")</f>
        <v/>
      </c>
      <c r="F572" t="str">
        <f>IF(A572="","",IFERROR(VLOOKUP(MID(A572,9,2),Map!$R$2:$S$14,2,FALSE),""))</f>
        <v/>
      </c>
      <c r="G572" t="str">
        <f t="shared" si="83"/>
        <v/>
      </c>
      <c r="H572" t="str">
        <f t="shared" si="84"/>
        <v/>
      </c>
      <c r="I572" t="str">
        <f>IF(A572="","",IFERROR(VLOOKUP(LEFT(A572,1),Map!$D$2:$E$20,2,FALSE),""))</f>
        <v/>
      </c>
      <c r="J572" t="str">
        <f>IF(OR(H572="",NOT(OR(LEFT(H572,1)="G",LEFT(H572,1)="R"))),"",IFERROR(VLOOKUP(MID(H572,2,1),Map!$J$2:$M$10,2,FALSE),""))</f>
        <v/>
      </c>
      <c r="K572" t="str">
        <f t="shared" si="85"/>
        <v/>
      </c>
      <c r="L572" t="str">
        <f t="shared" si="86"/>
        <v/>
      </c>
      <c r="M572" t="str">
        <f t="shared" si="87"/>
        <v/>
      </c>
      <c r="N572" t="str">
        <f t="shared" si="88"/>
        <v/>
      </c>
      <c r="O572" t="str">
        <f t="shared" si="89"/>
        <v/>
      </c>
      <c r="P572" t="str">
        <f>IF(OR(H572="",NOT(OR(LEFT(H572,1)="G",LEFT(H572,1)="R"))),"",IFERROR(VLOOKUP(MID(H572,3,1),Map!$G$2:$H$10,2,FALSE),""))</f>
        <v/>
      </c>
      <c r="Q572" t="str">
        <f>IF(A572="","",IFERROR(VLOOKUP(MID(A572,4,1),Map!$O$2:$P$10,2,FALSE),""))</f>
        <v/>
      </c>
    </row>
    <row r="573" spans="2:17" x14ac:dyDescent="0.25">
      <c r="B573" t="str">
        <f t="shared" si="80"/>
        <v/>
      </c>
      <c r="C573" t="str">
        <f t="shared" si="81"/>
        <v>**</v>
      </c>
      <c r="D573" t="str">
        <f t="shared" si="82"/>
        <v/>
      </c>
      <c r="E573" t="str">
        <f>IFERROR(VLOOKUP(MID(A573,7,2),Map!$A$2:$B$20,2,FALSE),"")</f>
        <v/>
      </c>
      <c r="F573" t="str">
        <f>IF(A573="","",IFERROR(VLOOKUP(MID(A573,9,2),Map!$R$2:$S$14,2,FALSE),""))</f>
        <v/>
      </c>
      <c r="G573" t="str">
        <f t="shared" si="83"/>
        <v/>
      </c>
      <c r="H573" t="str">
        <f t="shared" si="84"/>
        <v/>
      </c>
      <c r="I573" t="str">
        <f>IF(A573="","",IFERROR(VLOOKUP(LEFT(A573,1),Map!$D$2:$E$20,2,FALSE),""))</f>
        <v/>
      </c>
      <c r="J573" t="str">
        <f>IF(OR(H573="",NOT(OR(LEFT(H573,1)="G",LEFT(H573,1)="R"))),"",IFERROR(VLOOKUP(MID(H573,2,1),Map!$J$2:$M$10,2,FALSE),""))</f>
        <v/>
      </c>
      <c r="K573" t="str">
        <f t="shared" si="85"/>
        <v/>
      </c>
      <c r="L573" t="str">
        <f t="shared" si="86"/>
        <v/>
      </c>
      <c r="M573" t="str">
        <f t="shared" si="87"/>
        <v/>
      </c>
      <c r="N573" t="str">
        <f t="shared" si="88"/>
        <v/>
      </c>
      <c r="O573" t="str">
        <f t="shared" si="89"/>
        <v/>
      </c>
      <c r="P573" t="str">
        <f>IF(OR(H573="",NOT(OR(LEFT(H573,1)="G",LEFT(H573,1)="R"))),"",IFERROR(VLOOKUP(MID(H573,3,1),Map!$G$2:$H$10,2,FALSE),""))</f>
        <v/>
      </c>
      <c r="Q573" t="str">
        <f>IF(A573="","",IFERROR(VLOOKUP(MID(A573,4,1),Map!$O$2:$P$10,2,FALSE),""))</f>
        <v/>
      </c>
    </row>
    <row r="574" spans="2:17" x14ac:dyDescent="0.25">
      <c r="B574" t="str">
        <f t="shared" si="80"/>
        <v/>
      </c>
      <c r="C574" t="str">
        <f t="shared" si="81"/>
        <v>**</v>
      </c>
      <c r="D574" t="str">
        <f t="shared" si="82"/>
        <v/>
      </c>
      <c r="E574" t="str">
        <f>IFERROR(VLOOKUP(MID(A574,7,2),Map!$A$2:$B$20,2,FALSE),"")</f>
        <v/>
      </c>
      <c r="F574" t="str">
        <f>IF(A574="","",IFERROR(VLOOKUP(MID(A574,9,2),Map!$R$2:$S$14,2,FALSE),""))</f>
        <v/>
      </c>
      <c r="G574" t="str">
        <f t="shared" si="83"/>
        <v/>
      </c>
      <c r="H574" t="str">
        <f t="shared" si="84"/>
        <v/>
      </c>
      <c r="I574" t="str">
        <f>IF(A574="","",IFERROR(VLOOKUP(LEFT(A574,1),Map!$D$2:$E$20,2,FALSE),""))</f>
        <v/>
      </c>
      <c r="J574" t="str">
        <f>IF(OR(H574="",NOT(OR(LEFT(H574,1)="G",LEFT(H574,1)="R"))),"",IFERROR(VLOOKUP(MID(H574,2,1),Map!$J$2:$M$10,2,FALSE),""))</f>
        <v/>
      </c>
      <c r="K574" t="str">
        <f t="shared" si="85"/>
        <v/>
      </c>
      <c r="L574" t="str">
        <f t="shared" si="86"/>
        <v/>
      </c>
      <c r="M574" t="str">
        <f t="shared" si="87"/>
        <v/>
      </c>
      <c r="N574" t="str">
        <f t="shared" si="88"/>
        <v/>
      </c>
      <c r="O574" t="str">
        <f t="shared" si="89"/>
        <v/>
      </c>
      <c r="P574" t="str">
        <f>IF(OR(H574="",NOT(OR(LEFT(H574,1)="G",LEFT(H574,1)="R"))),"",IFERROR(VLOOKUP(MID(H574,3,1),Map!$G$2:$H$10,2,FALSE),""))</f>
        <v/>
      </c>
      <c r="Q574" t="str">
        <f>IF(A574="","",IFERROR(VLOOKUP(MID(A574,4,1),Map!$O$2:$P$10,2,FALSE),""))</f>
        <v/>
      </c>
    </row>
    <row r="575" spans="2:17" x14ac:dyDescent="0.25">
      <c r="B575" t="str">
        <f t="shared" si="80"/>
        <v/>
      </c>
      <c r="C575" t="str">
        <f t="shared" si="81"/>
        <v>**</v>
      </c>
      <c r="D575" t="str">
        <f t="shared" si="82"/>
        <v/>
      </c>
      <c r="E575" t="str">
        <f>IFERROR(VLOOKUP(MID(A575,7,2),Map!$A$2:$B$20,2,FALSE),"")</f>
        <v/>
      </c>
      <c r="F575" t="str">
        <f>IF(A575="","",IFERROR(VLOOKUP(MID(A575,9,2),Map!$R$2:$S$14,2,FALSE),""))</f>
        <v/>
      </c>
      <c r="G575" t="str">
        <f t="shared" si="83"/>
        <v/>
      </c>
      <c r="H575" t="str">
        <f t="shared" si="84"/>
        <v/>
      </c>
      <c r="I575" t="str">
        <f>IF(A575="","",IFERROR(VLOOKUP(LEFT(A575,1),Map!$D$2:$E$20,2,FALSE),""))</f>
        <v/>
      </c>
      <c r="J575" t="str">
        <f>IF(OR(H575="",NOT(OR(LEFT(H575,1)="G",LEFT(H575,1)="R"))),"",IFERROR(VLOOKUP(MID(H575,2,1),Map!$J$2:$M$10,2,FALSE),""))</f>
        <v/>
      </c>
      <c r="K575" t="str">
        <f t="shared" si="85"/>
        <v/>
      </c>
      <c r="L575" t="str">
        <f t="shared" si="86"/>
        <v/>
      </c>
      <c r="M575" t="str">
        <f t="shared" si="87"/>
        <v/>
      </c>
      <c r="N575" t="str">
        <f t="shared" si="88"/>
        <v/>
      </c>
      <c r="O575" t="str">
        <f t="shared" si="89"/>
        <v/>
      </c>
      <c r="P575" t="str">
        <f>IF(OR(H575="",NOT(OR(LEFT(H575,1)="G",LEFT(H575,1)="R"))),"",IFERROR(VLOOKUP(MID(H575,3,1),Map!$G$2:$H$10,2,FALSE),""))</f>
        <v/>
      </c>
      <c r="Q575" t="str">
        <f>IF(A575="","",IFERROR(VLOOKUP(MID(A575,4,1),Map!$O$2:$P$10,2,FALSE),""))</f>
        <v/>
      </c>
    </row>
    <row r="576" spans="2:17" x14ac:dyDescent="0.25">
      <c r="B576" t="str">
        <f t="shared" si="80"/>
        <v/>
      </c>
      <c r="C576" t="str">
        <f t="shared" si="81"/>
        <v>**</v>
      </c>
      <c r="D576" t="str">
        <f t="shared" si="82"/>
        <v/>
      </c>
      <c r="E576" t="str">
        <f>IFERROR(VLOOKUP(MID(A576,7,2),Map!$A$2:$B$20,2,FALSE),"")</f>
        <v/>
      </c>
      <c r="F576" t="str">
        <f>IF(A576="","",IFERROR(VLOOKUP(MID(A576,9,2),Map!$R$2:$S$14,2,FALSE),""))</f>
        <v/>
      </c>
      <c r="G576" t="str">
        <f t="shared" si="83"/>
        <v/>
      </c>
      <c r="H576" t="str">
        <f t="shared" si="84"/>
        <v/>
      </c>
      <c r="I576" t="str">
        <f>IF(A576="","",IFERROR(VLOOKUP(LEFT(A576,1),Map!$D$2:$E$20,2,FALSE),""))</f>
        <v/>
      </c>
      <c r="J576" t="str">
        <f>IF(OR(H576="",NOT(OR(LEFT(H576,1)="G",LEFT(H576,1)="R"))),"",IFERROR(VLOOKUP(MID(H576,2,1),Map!$J$2:$M$10,2,FALSE),""))</f>
        <v/>
      </c>
      <c r="K576" t="str">
        <f t="shared" si="85"/>
        <v/>
      </c>
      <c r="L576" t="str">
        <f t="shared" si="86"/>
        <v/>
      </c>
      <c r="M576" t="str">
        <f t="shared" si="87"/>
        <v/>
      </c>
      <c r="N576" t="str">
        <f t="shared" si="88"/>
        <v/>
      </c>
      <c r="O576" t="str">
        <f t="shared" si="89"/>
        <v/>
      </c>
      <c r="P576" t="str">
        <f>IF(OR(H576="",NOT(OR(LEFT(H576,1)="G",LEFT(H576,1)="R"))),"",IFERROR(VLOOKUP(MID(H576,3,1),Map!$G$2:$H$10,2,FALSE),""))</f>
        <v/>
      </c>
      <c r="Q576" t="str">
        <f>IF(A576="","",IFERROR(VLOOKUP(MID(A576,4,1),Map!$O$2:$P$10,2,FALSE),""))</f>
        <v/>
      </c>
    </row>
    <row r="577" spans="2:17" x14ac:dyDescent="0.25">
      <c r="B577" t="str">
        <f t="shared" si="80"/>
        <v/>
      </c>
      <c r="C577" t="str">
        <f t="shared" si="81"/>
        <v>**</v>
      </c>
      <c r="D577" t="str">
        <f t="shared" si="82"/>
        <v/>
      </c>
      <c r="E577" t="str">
        <f>IFERROR(VLOOKUP(MID(A577,7,2),Map!$A$2:$B$20,2,FALSE),"")</f>
        <v/>
      </c>
      <c r="F577" t="str">
        <f>IF(A577="","",IFERROR(VLOOKUP(MID(A577,9,2),Map!$R$2:$S$14,2,FALSE),""))</f>
        <v/>
      </c>
      <c r="G577" t="str">
        <f t="shared" si="83"/>
        <v/>
      </c>
      <c r="H577" t="str">
        <f t="shared" si="84"/>
        <v/>
      </c>
      <c r="I577" t="str">
        <f>IF(A577="","",IFERROR(VLOOKUP(LEFT(A577,1),Map!$D$2:$E$20,2,FALSE),""))</f>
        <v/>
      </c>
      <c r="J577" t="str">
        <f>IF(OR(H577="",NOT(OR(LEFT(H577,1)="G",LEFT(H577,1)="R"))),"",IFERROR(VLOOKUP(MID(H577,2,1),Map!$J$2:$M$10,2,FALSE),""))</f>
        <v/>
      </c>
      <c r="K577" t="str">
        <f t="shared" si="85"/>
        <v/>
      </c>
      <c r="L577" t="str">
        <f t="shared" si="86"/>
        <v/>
      </c>
      <c r="M577" t="str">
        <f t="shared" si="87"/>
        <v/>
      </c>
      <c r="N577" t="str">
        <f t="shared" si="88"/>
        <v/>
      </c>
      <c r="O577" t="str">
        <f t="shared" si="89"/>
        <v/>
      </c>
      <c r="P577" t="str">
        <f>IF(OR(H577="",NOT(OR(LEFT(H577,1)="G",LEFT(H577,1)="R"))),"",IFERROR(VLOOKUP(MID(H577,3,1),Map!$G$2:$H$10,2,FALSE),""))</f>
        <v/>
      </c>
      <c r="Q577" t="str">
        <f>IF(A577="","",IFERROR(VLOOKUP(MID(A577,4,1),Map!$O$2:$P$10,2,FALSE),""))</f>
        <v/>
      </c>
    </row>
    <row r="578" spans="2:17" x14ac:dyDescent="0.25">
      <c r="B578" t="str">
        <f t="shared" ref="B578:B641" si="90">LEFT(A578,4)</f>
        <v/>
      </c>
      <c r="C578" t="str">
        <f t="shared" ref="C578:C641" si="91">LEFT(A578,2)&amp;"**"</f>
        <v>**</v>
      </c>
      <c r="D578" t="str">
        <f t="shared" ref="D578:D641" si="92">MID(A578,5,2)</f>
        <v/>
      </c>
      <c r="E578" t="str">
        <f>IFERROR(VLOOKUP(MID(A578,7,2),Map!$A$2:$B$20,2,FALSE),"")</f>
        <v/>
      </c>
      <c r="F578" t="str">
        <f>IF(A578="","",IFERROR(VLOOKUP(MID(A578,9,2),Map!$R$2:$S$14,2,FALSE),""))</f>
        <v/>
      </c>
      <c r="G578" t="str">
        <f t="shared" ref="G578:G641" si="93">IFERROR(MID(A578,FIND("-",A578)+1,FIND("-",A578,FIND("-",A578)+1)-FIND("-",A578)-1),"")</f>
        <v/>
      </c>
      <c r="H578" t="str">
        <f t="shared" ref="H578:H641" si="94">IFERROR(RIGHT(A578,LEN(A578)-FIND("-",A578,FIND("-",A578)+1)),"")</f>
        <v/>
      </c>
      <c r="I578" t="str">
        <f>IF(A578="","",IFERROR(VLOOKUP(LEFT(A578,1),Map!$D$2:$E$20,2,FALSE),""))</f>
        <v/>
      </c>
      <c r="J578" t="str">
        <f>IF(OR(H578="",NOT(OR(LEFT(H578,1)="G",LEFT(H578,1)="R"))),"",IFERROR(VLOOKUP(MID(H578,2,1),Map!$J$2:$M$10,2,FALSE),""))</f>
        <v/>
      </c>
      <c r="K578" t="str">
        <f t="shared" ref="K578:K641" si="95">IF(OR(H578="",NOT(OR(LEFT(H578,1)="G",LEFT(H578,1)="R")),MID(H578,2,1)&lt;&gt;"A"),"","M")</f>
        <v/>
      </c>
      <c r="L578" t="str">
        <f t="shared" ref="L578:L641" si="96">IF(OR(H578="",NOT(OR(LEFT(H578,1)="G",LEFT(H578,1)="R")),MID(H578,2,1)&lt;&gt;"A"),"","K")</f>
        <v/>
      </c>
      <c r="M578" t="str">
        <f t="shared" ref="M578:M641" si="97">IF(OR(H578="",NOT(OR(LEFT(H578,1)="G",LEFT(H578,1)="R"))),"","")</f>
        <v/>
      </c>
      <c r="N578" t="str">
        <f t="shared" ref="N578:N641" si="98">IF(OR(H578="",NOT(OR(LEFT(H578,1)="G",LEFT(H578,1)="R"))),"","")</f>
        <v/>
      </c>
      <c r="O578" t="str">
        <f t="shared" ref="O578:O641" si="99">IF(OR(H578="",NOT(OR(LEFT(H578,1)="G",LEFT(H578,1)="R"))),"","")</f>
        <v/>
      </c>
      <c r="P578" t="str">
        <f>IF(OR(H578="",NOT(OR(LEFT(H578,1)="G",LEFT(H578,1)="R"))),"",IFERROR(VLOOKUP(MID(H578,3,1),Map!$G$2:$H$10,2,FALSE),""))</f>
        <v/>
      </c>
      <c r="Q578" t="str">
        <f>IF(A578="","",IFERROR(VLOOKUP(MID(A578,4,1),Map!$O$2:$P$10,2,FALSE),""))</f>
        <v/>
      </c>
    </row>
    <row r="579" spans="2:17" x14ac:dyDescent="0.25">
      <c r="B579" t="str">
        <f t="shared" si="90"/>
        <v/>
      </c>
      <c r="C579" t="str">
        <f t="shared" si="91"/>
        <v>**</v>
      </c>
      <c r="D579" t="str">
        <f t="shared" si="92"/>
        <v/>
      </c>
      <c r="E579" t="str">
        <f>IFERROR(VLOOKUP(MID(A579,7,2),Map!$A$2:$B$20,2,FALSE),"")</f>
        <v/>
      </c>
      <c r="F579" t="str">
        <f>IF(A579="","",IFERROR(VLOOKUP(MID(A579,9,2),Map!$R$2:$S$14,2,FALSE),""))</f>
        <v/>
      </c>
      <c r="G579" t="str">
        <f t="shared" si="93"/>
        <v/>
      </c>
      <c r="H579" t="str">
        <f t="shared" si="94"/>
        <v/>
      </c>
      <c r="I579" t="str">
        <f>IF(A579="","",IFERROR(VLOOKUP(LEFT(A579,1),Map!$D$2:$E$20,2,FALSE),""))</f>
        <v/>
      </c>
      <c r="J579" t="str">
        <f>IF(OR(H579="",NOT(OR(LEFT(H579,1)="G",LEFT(H579,1)="R"))),"",IFERROR(VLOOKUP(MID(H579,2,1),Map!$J$2:$M$10,2,FALSE),""))</f>
        <v/>
      </c>
      <c r="K579" t="str">
        <f t="shared" si="95"/>
        <v/>
      </c>
      <c r="L579" t="str">
        <f t="shared" si="96"/>
        <v/>
      </c>
      <c r="M579" t="str">
        <f t="shared" si="97"/>
        <v/>
      </c>
      <c r="N579" t="str">
        <f t="shared" si="98"/>
        <v/>
      </c>
      <c r="O579" t="str">
        <f t="shared" si="99"/>
        <v/>
      </c>
      <c r="P579" t="str">
        <f>IF(OR(H579="",NOT(OR(LEFT(H579,1)="G",LEFT(H579,1)="R"))),"",IFERROR(VLOOKUP(MID(H579,3,1),Map!$G$2:$H$10,2,FALSE),""))</f>
        <v/>
      </c>
      <c r="Q579" t="str">
        <f>IF(A579="","",IFERROR(VLOOKUP(MID(A579,4,1),Map!$O$2:$P$10,2,FALSE),""))</f>
        <v/>
      </c>
    </row>
    <row r="580" spans="2:17" x14ac:dyDescent="0.25">
      <c r="B580" t="str">
        <f t="shared" si="90"/>
        <v/>
      </c>
      <c r="C580" t="str">
        <f t="shared" si="91"/>
        <v>**</v>
      </c>
      <c r="D580" t="str">
        <f t="shared" si="92"/>
        <v/>
      </c>
      <c r="E580" t="str">
        <f>IFERROR(VLOOKUP(MID(A580,7,2),Map!$A$2:$B$20,2,FALSE),"")</f>
        <v/>
      </c>
      <c r="F580" t="str">
        <f>IF(A580="","",IFERROR(VLOOKUP(MID(A580,9,2),Map!$R$2:$S$14,2,FALSE),""))</f>
        <v/>
      </c>
      <c r="G580" t="str">
        <f t="shared" si="93"/>
        <v/>
      </c>
      <c r="H580" t="str">
        <f t="shared" si="94"/>
        <v/>
      </c>
      <c r="I580" t="str">
        <f>IF(A580="","",IFERROR(VLOOKUP(LEFT(A580,1),Map!$D$2:$E$20,2,FALSE),""))</f>
        <v/>
      </c>
      <c r="J580" t="str">
        <f>IF(OR(H580="",NOT(OR(LEFT(H580,1)="G",LEFT(H580,1)="R"))),"",IFERROR(VLOOKUP(MID(H580,2,1),Map!$J$2:$M$10,2,FALSE),""))</f>
        <v/>
      </c>
      <c r="K580" t="str">
        <f t="shared" si="95"/>
        <v/>
      </c>
      <c r="L580" t="str">
        <f t="shared" si="96"/>
        <v/>
      </c>
      <c r="M580" t="str">
        <f t="shared" si="97"/>
        <v/>
      </c>
      <c r="N580" t="str">
        <f t="shared" si="98"/>
        <v/>
      </c>
      <c r="O580" t="str">
        <f t="shared" si="99"/>
        <v/>
      </c>
      <c r="P580" t="str">
        <f>IF(OR(H580="",NOT(OR(LEFT(H580,1)="G",LEFT(H580,1)="R"))),"",IFERROR(VLOOKUP(MID(H580,3,1),Map!$G$2:$H$10,2,FALSE),""))</f>
        <v/>
      </c>
      <c r="Q580" t="str">
        <f>IF(A580="","",IFERROR(VLOOKUP(MID(A580,4,1),Map!$O$2:$P$10,2,FALSE),""))</f>
        <v/>
      </c>
    </row>
    <row r="581" spans="2:17" x14ac:dyDescent="0.25">
      <c r="B581" t="str">
        <f t="shared" si="90"/>
        <v/>
      </c>
      <c r="C581" t="str">
        <f t="shared" si="91"/>
        <v>**</v>
      </c>
      <c r="D581" t="str">
        <f t="shared" si="92"/>
        <v/>
      </c>
      <c r="E581" t="str">
        <f>IFERROR(VLOOKUP(MID(A581,7,2),Map!$A$2:$B$20,2,FALSE),"")</f>
        <v/>
      </c>
      <c r="F581" t="str">
        <f>IF(A581="","",IFERROR(VLOOKUP(MID(A581,9,2),Map!$R$2:$S$14,2,FALSE),""))</f>
        <v/>
      </c>
      <c r="G581" t="str">
        <f t="shared" si="93"/>
        <v/>
      </c>
      <c r="H581" t="str">
        <f t="shared" si="94"/>
        <v/>
      </c>
      <c r="I581" t="str">
        <f>IF(A581="","",IFERROR(VLOOKUP(LEFT(A581,1),Map!$D$2:$E$20,2,FALSE),""))</f>
        <v/>
      </c>
      <c r="J581" t="str">
        <f>IF(OR(H581="",NOT(OR(LEFT(H581,1)="G",LEFT(H581,1)="R"))),"",IFERROR(VLOOKUP(MID(H581,2,1),Map!$J$2:$M$10,2,FALSE),""))</f>
        <v/>
      </c>
      <c r="K581" t="str">
        <f t="shared" si="95"/>
        <v/>
      </c>
      <c r="L581" t="str">
        <f t="shared" si="96"/>
        <v/>
      </c>
      <c r="M581" t="str">
        <f t="shared" si="97"/>
        <v/>
      </c>
      <c r="N581" t="str">
        <f t="shared" si="98"/>
        <v/>
      </c>
      <c r="O581" t="str">
        <f t="shared" si="99"/>
        <v/>
      </c>
      <c r="P581" t="str">
        <f>IF(OR(H581="",NOT(OR(LEFT(H581,1)="G",LEFT(H581,1)="R"))),"",IFERROR(VLOOKUP(MID(H581,3,1),Map!$G$2:$H$10,2,FALSE),""))</f>
        <v/>
      </c>
      <c r="Q581" t="str">
        <f>IF(A581="","",IFERROR(VLOOKUP(MID(A581,4,1),Map!$O$2:$P$10,2,FALSE),""))</f>
        <v/>
      </c>
    </row>
    <row r="582" spans="2:17" x14ac:dyDescent="0.25">
      <c r="B582" t="str">
        <f t="shared" si="90"/>
        <v/>
      </c>
      <c r="C582" t="str">
        <f t="shared" si="91"/>
        <v>**</v>
      </c>
      <c r="D582" t="str">
        <f t="shared" si="92"/>
        <v/>
      </c>
      <c r="E582" t="str">
        <f>IFERROR(VLOOKUP(MID(A582,7,2),Map!$A$2:$B$20,2,FALSE),"")</f>
        <v/>
      </c>
      <c r="F582" t="str">
        <f>IF(A582="","",IFERROR(VLOOKUP(MID(A582,9,2),Map!$R$2:$S$14,2,FALSE),""))</f>
        <v/>
      </c>
      <c r="G582" t="str">
        <f t="shared" si="93"/>
        <v/>
      </c>
      <c r="H582" t="str">
        <f t="shared" si="94"/>
        <v/>
      </c>
      <c r="I582" t="str">
        <f>IF(A582="","",IFERROR(VLOOKUP(LEFT(A582,1),Map!$D$2:$E$20,2,FALSE),""))</f>
        <v/>
      </c>
      <c r="J582" t="str">
        <f>IF(OR(H582="",NOT(OR(LEFT(H582,1)="G",LEFT(H582,1)="R"))),"",IFERROR(VLOOKUP(MID(H582,2,1),Map!$J$2:$M$10,2,FALSE),""))</f>
        <v/>
      </c>
      <c r="K582" t="str">
        <f t="shared" si="95"/>
        <v/>
      </c>
      <c r="L582" t="str">
        <f t="shared" si="96"/>
        <v/>
      </c>
      <c r="M582" t="str">
        <f t="shared" si="97"/>
        <v/>
      </c>
      <c r="N582" t="str">
        <f t="shared" si="98"/>
        <v/>
      </c>
      <c r="O582" t="str">
        <f t="shared" si="99"/>
        <v/>
      </c>
      <c r="P582" t="str">
        <f>IF(OR(H582="",NOT(OR(LEFT(H582,1)="G",LEFT(H582,1)="R"))),"",IFERROR(VLOOKUP(MID(H582,3,1),Map!$G$2:$H$10,2,FALSE),""))</f>
        <v/>
      </c>
      <c r="Q582" t="str">
        <f>IF(A582="","",IFERROR(VLOOKUP(MID(A582,4,1),Map!$O$2:$P$10,2,FALSE),""))</f>
        <v/>
      </c>
    </row>
    <row r="583" spans="2:17" x14ac:dyDescent="0.25">
      <c r="B583" t="str">
        <f t="shared" si="90"/>
        <v/>
      </c>
      <c r="C583" t="str">
        <f t="shared" si="91"/>
        <v>**</v>
      </c>
      <c r="D583" t="str">
        <f t="shared" si="92"/>
        <v/>
      </c>
      <c r="E583" t="str">
        <f>IFERROR(VLOOKUP(MID(A583,7,2),Map!$A$2:$B$20,2,FALSE),"")</f>
        <v/>
      </c>
      <c r="F583" t="str">
        <f>IF(A583="","",IFERROR(VLOOKUP(MID(A583,9,2),Map!$R$2:$S$14,2,FALSE),""))</f>
        <v/>
      </c>
      <c r="G583" t="str">
        <f t="shared" si="93"/>
        <v/>
      </c>
      <c r="H583" t="str">
        <f t="shared" si="94"/>
        <v/>
      </c>
      <c r="I583" t="str">
        <f>IF(A583="","",IFERROR(VLOOKUP(LEFT(A583,1),Map!$D$2:$E$20,2,FALSE),""))</f>
        <v/>
      </c>
      <c r="J583" t="str">
        <f>IF(OR(H583="",NOT(OR(LEFT(H583,1)="G",LEFT(H583,1)="R"))),"",IFERROR(VLOOKUP(MID(H583,2,1),Map!$J$2:$M$10,2,FALSE),""))</f>
        <v/>
      </c>
      <c r="K583" t="str">
        <f t="shared" si="95"/>
        <v/>
      </c>
      <c r="L583" t="str">
        <f t="shared" si="96"/>
        <v/>
      </c>
      <c r="M583" t="str">
        <f t="shared" si="97"/>
        <v/>
      </c>
      <c r="N583" t="str">
        <f t="shared" si="98"/>
        <v/>
      </c>
      <c r="O583" t="str">
        <f t="shared" si="99"/>
        <v/>
      </c>
      <c r="P583" t="str">
        <f>IF(OR(H583="",NOT(OR(LEFT(H583,1)="G",LEFT(H583,1)="R"))),"",IFERROR(VLOOKUP(MID(H583,3,1),Map!$G$2:$H$10,2,FALSE),""))</f>
        <v/>
      </c>
      <c r="Q583" t="str">
        <f>IF(A583="","",IFERROR(VLOOKUP(MID(A583,4,1),Map!$O$2:$P$10,2,FALSE),""))</f>
        <v/>
      </c>
    </row>
    <row r="584" spans="2:17" x14ac:dyDescent="0.25">
      <c r="B584" t="str">
        <f t="shared" si="90"/>
        <v/>
      </c>
      <c r="C584" t="str">
        <f t="shared" si="91"/>
        <v>**</v>
      </c>
      <c r="D584" t="str">
        <f t="shared" si="92"/>
        <v/>
      </c>
      <c r="E584" t="str">
        <f>IFERROR(VLOOKUP(MID(A584,7,2),Map!$A$2:$B$20,2,FALSE),"")</f>
        <v/>
      </c>
      <c r="F584" t="str">
        <f>IF(A584="","",IFERROR(VLOOKUP(MID(A584,9,2),Map!$R$2:$S$14,2,FALSE),""))</f>
        <v/>
      </c>
      <c r="G584" t="str">
        <f t="shared" si="93"/>
        <v/>
      </c>
      <c r="H584" t="str">
        <f t="shared" si="94"/>
        <v/>
      </c>
      <c r="I584" t="str">
        <f>IF(A584="","",IFERROR(VLOOKUP(LEFT(A584,1),Map!$D$2:$E$20,2,FALSE),""))</f>
        <v/>
      </c>
      <c r="J584" t="str">
        <f>IF(OR(H584="",NOT(OR(LEFT(H584,1)="G",LEFT(H584,1)="R"))),"",IFERROR(VLOOKUP(MID(H584,2,1),Map!$J$2:$M$10,2,FALSE),""))</f>
        <v/>
      </c>
      <c r="K584" t="str">
        <f t="shared" si="95"/>
        <v/>
      </c>
      <c r="L584" t="str">
        <f t="shared" si="96"/>
        <v/>
      </c>
      <c r="M584" t="str">
        <f t="shared" si="97"/>
        <v/>
      </c>
      <c r="N584" t="str">
        <f t="shared" si="98"/>
        <v/>
      </c>
      <c r="O584" t="str">
        <f t="shared" si="99"/>
        <v/>
      </c>
      <c r="P584" t="str">
        <f>IF(OR(H584="",NOT(OR(LEFT(H584,1)="G",LEFT(H584,1)="R"))),"",IFERROR(VLOOKUP(MID(H584,3,1),Map!$G$2:$H$10,2,FALSE),""))</f>
        <v/>
      </c>
      <c r="Q584" t="str">
        <f>IF(A584="","",IFERROR(VLOOKUP(MID(A584,4,1),Map!$O$2:$P$10,2,FALSE),""))</f>
        <v/>
      </c>
    </row>
    <row r="585" spans="2:17" x14ac:dyDescent="0.25">
      <c r="B585" t="str">
        <f t="shared" si="90"/>
        <v/>
      </c>
      <c r="C585" t="str">
        <f t="shared" si="91"/>
        <v>**</v>
      </c>
      <c r="D585" t="str">
        <f t="shared" si="92"/>
        <v/>
      </c>
      <c r="E585" t="str">
        <f>IFERROR(VLOOKUP(MID(A585,7,2),Map!$A$2:$B$20,2,FALSE),"")</f>
        <v/>
      </c>
      <c r="F585" t="str">
        <f>IF(A585="","",IFERROR(VLOOKUP(MID(A585,9,2),Map!$R$2:$S$14,2,FALSE),""))</f>
        <v/>
      </c>
      <c r="G585" t="str">
        <f t="shared" si="93"/>
        <v/>
      </c>
      <c r="H585" t="str">
        <f t="shared" si="94"/>
        <v/>
      </c>
      <c r="I585" t="str">
        <f>IF(A585="","",IFERROR(VLOOKUP(LEFT(A585,1),Map!$D$2:$E$20,2,FALSE),""))</f>
        <v/>
      </c>
      <c r="J585" t="str">
        <f>IF(OR(H585="",NOT(OR(LEFT(H585,1)="G",LEFT(H585,1)="R"))),"",IFERROR(VLOOKUP(MID(H585,2,1),Map!$J$2:$M$10,2,FALSE),""))</f>
        <v/>
      </c>
      <c r="K585" t="str">
        <f t="shared" si="95"/>
        <v/>
      </c>
      <c r="L585" t="str">
        <f t="shared" si="96"/>
        <v/>
      </c>
      <c r="M585" t="str">
        <f t="shared" si="97"/>
        <v/>
      </c>
      <c r="N585" t="str">
        <f t="shared" si="98"/>
        <v/>
      </c>
      <c r="O585" t="str">
        <f t="shared" si="99"/>
        <v/>
      </c>
      <c r="P585" t="str">
        <f>IF(OR(H585="",NOT(OR(LEFT(H585,1)="G",LEFT(H585,1)="R"))),"",IFERROR(VLOOKUP(MID(H585,3,1),Map!$G$2:$H$10,2,FALSE),""))</f>
        <v/>
      </c>
      <c r="Q585" t="str">
        <f>IF(A585="","",IFERROR(VLOOKUP(MID(A585,4,1),Map!$O$2:$P$10,2,FALSE),""))</f>
        <v/>
      </c>
    </row>
    <row r="586" spans="2:17" x14ac:dyDescent="0.25">
      <c r="B586" t="str">
        <f t="shared" si="90"/>
        <v/>
      </c>
      <c r="C586" t="str">
        <f t="shared" si="91"/>
        <v>**</v>
      </c>
      <c r="D586" t="str">
        <f t="shared" si="92"/>
        <v/>
      </c>
      <c r="E586" t="str">
        <f>IFERROR(VLOOKUP(MID(A586,7,2),Map!$A$2:$B$20,2,FALSE),"")</f>
        <v/>
      </c>
      <c r="F586" t="str">
        <f>IF(A586="","",IFERROR(VLOOKUP(MID(A586,9,2),Map!$R$2:$S$14,2,FALSE),""))</f>
        <v/>
      </c>
      <c r="G586" t="str">
        <f t="shared" si="93"/>
        <v/>
      </c>
      <c r="H586" t="str">
        <f t="shared" si="94"/>
        <v/>
      </c>
      <c r="I586" t="str">
        <f>IF(A586="","",IFERROR(VLOOKUP(LEFT(A586,1),Map!$D$2:$E$20,2,FALSE),""))</f>
        <v/>
      </c>
      <c r="J586" t="str">
        <f>IF(OR(H586="",NOT(OR(LEFT(H586,1)="G",LEFT(H586,1)="R"))),"",IFERROR(VLOOKUP(MID(H586,2,1),Map!$J$2:$M$10,2,FALSE),""))</f>
        <v/>
      </c>
      <c r="K586" t="str">
        <f t="shared" si="95"/>
        <v/>
      </c>
      <c r="L586" t="str">
        <f t="shared" si="96"/>
        <v/>
      </c>
      <c r="M586" t="str">
        <f t="shared" si="97"/>
        <v/>
      </c>
      <c r="N586" t="str">
        <f t="shared" si="98"/>
        <v/>
      </c>
      <c r="O586" t="str">
        <f t="shared" si="99"/>
        <v/>
      </c>
      <c r="P586" t="str">
        <f>IF(OR(H586="",NOT(OR(LEFT(H586,1)="G",LEFT(H586,1)="R"))),"",IFERROR(VLOOKUP(MID(H586,3,1),Map!$G$2:$H$10,2,FALSE),""))</f>
        <v/>
      </c>
      <c r="Q586" t="str">
        <f>IF(A586="","",IFERROR(VLOOKUP(MID(A586,4,1),Map!$O$2:$P$10,2,FALSE),""))</f>
        <v/>
      </c>
    </row>
    <row r="587" spans="2:17" x14ac:dyDescent="0.25">
      <c r="B587" t="str">
        <f t="shared" si="90"/>
        <v/>
      </c>
      <c r="C587" t="str">
        <f t="shared" si="91"/>
        <v>**</v>
      </c>
      <c r="D587" t="str">
        <f t="shared" si="92"/>
        <v/>
      </c>
      <c r="E587" t="str">
        <f>IFERROR(VLOOKUP(MID(A587,7,2),Map!$A$2:$B$20,2,FALSE),"")</f>
        <v/>
      </c>
      <c r="F587" t="str">
        <f>IF(A587="","",IFERROR(VLOOKUP(MID(A587,9,2),Map!$R$2:$S$14,2,FALSE),""))</f>
        <v/>
      </c>
      <c r="G587" t="str">
        <f t="shared" si="93"/>
        <v/>
      </c>
      <c r="H587" t="str">
        <f t="shared" si="94"/>
        <v/>
      </c>
      <c r="I587" t="str">
        <f>IF(A587="","",IFERROR(VLOOKUP(LEFT(A587,1),Map!$D$2:$E$20,2,FALSE),""))</f>
        <v/>
      </c>
      <c r="J587" t="str">
        <f>IF(OR(H587="",NOT(OR(LEFT(H587,1)="G",LEFT(H587,1)="R"))),"",IFERROR(VLOOKUP(MID(H587,2,1),Map!$J$2:$M$10,2,FALSE),""))</f>
        <v/>
      </c>
      <c r="K587" t="str">
        <f t="shared" si="95"/>
        <v/>
      </c>
      <c r="L587" t="str">
        <f t="shared" si="96"/>
        <v/>
      </c>
      <c r="M587" t="str">
        <f t="shared" si="97"/>
        <v/>
      </c>
      <c r="N587" t="str">
        <f t="shared" si="98"/>
        <v/>
      </c>
      <c r="O587" t="str">
        <f t="shared" si="99"/>
        <v/>
      </c>
      <c r="P587" t="str">
        <f>IF(OR(H587="",NOT(OR(LEFT(H587,1)="G",LEFT(H587,1)="R"))),"",IFERROR(VLOOKUP(MID(H587,3,1),Map!$G$2:$H$10,2,FALSE),""))</f>
        <v/>
      </c>
      <c r="Q587" t="str">
        <f>IF(A587="","",IFERROR(VLOOKUP(MID(A587,4,1),Map!$O$2:$P$10,2,FALSE),""))</f>
        <v/>
      </c>
    </row>
    <row r="588" spans="2:17" x14ac:dyDescent="0.25">
      <c r="B588" t="str">
        <f t="shared" si="90"/>
        <v/>
      </c>
      <c r="C588" t="str">
        <f t="shared" si="91"/>
        <v>**</v>
      </c>
      <c r="D588" t="str">
        <f t="shared" si="92"/>
        <v/>
      </c>
      <c r="E588" t="str">
        <f>IFERROR(VLOOKUP(MID(A588,7,2),Map!$A$2:$B$20,2,FALSE),"")</f>
        <v/>
      </c>
      <c r="F588" t="str">
        <f>IF(A588="","",IFERROR(VLOOKUP(MID(A588,9,2),Map!$R$2:$S$14,2,FALSE),""))</f>
        <v/>
      </c>
      <c r="G588" t="str">
        <f t="shared" si="93"/>
        <v/>
      </c>
      <c r="H588" t="str">
        <f t="shared" si="94"/>
        <v/>
      </c>
      <c r="I588" t="str">
        <f>IF(A588="","",IFERROR(VLOOKUP(LEFT(A588,1),Map!$D$2:$E$20,2,FALSE),""))</f>
        <v/>
      </c>
      <c r="J588" t="str">
        <f>IF(OR(H588="",NOT(OR(LEFT(H588,1)="G",LEFT(H588,1)="R"))),"",IFERROR(VLOOKUP(MID(H588,2,1),Map!$J$2:$M$10,2,FALSE),""))</f>
        <v/>
      </c>
      <c r="K588" t="str">
        <f t="shared" si="95"/>
        <v/>
      </c>
      <c r="L588" t="str">
        <f t="shared" si="96"/>
        <v/>
      </c>
      <c r="M588" t="str">
        <f t="shared" si="97"/>
        <v/>
      </c>
      <c r="N588" t="str">
        <f t="shared" si="98"/>
        <v/>
      </c>
      <c r="O588" t="str">
        <f t="shared" si="99"/>
        <v/>
      </c>
      <c r="P588" t="str">
        <f>IF(OR(H588="",NOT(OR(LEFT(H588,1)="G",LEFT(H588,1)="R"))),"",IFERROR(VLOOKUP(MID(H588,3,1),Map!$G$2:$H$10,2,FALSE),""))</f>
        <v/>
      </c>
      <c r="Q588" t="str">
        <f>IF(A588="","",IFERROR(VLOOKUP(MID(A588,4,1),Map!$O$2:$P$10,2,FALSE),""))</f>
        <v/>
      </c>
    </row>
    <row r="589" spans="2:17" x14ac:dyDescent="0.25">
      <c r="B589" t="str">
        <f t="shared" si="90"/>
        <v/>
      </c>
      <c r="C589" t="str">
        <f t="shared" si="91"/>
        <v>**</v>
      </c>
      <c r="D589" t="str">
        <f t="shared" si="92"/>
        <v/>
      </c>
      <c r="E589" t="str">
        <f>IFERROR(VLOOKUP(MID(A589,7,2),Map!$A$2:$B$20,2,FALSE),"")</f>
        <v/>
      </c>
      <c r="F589" t="str">
        <f>IF(A589="","",IFERROR(VLOOKUP(MID(A589,9,2),Map!$R$2:$S$14,2,FALSE),""))</f>
        <v/>
      </c>
      <c r="G589" t="str">
        <f t="shared" si="93"/>
        <v/>
      </c>
      <c r="H589" t="str">
        <f t="shared" si="94"/>
        <v/>
      </c>
      <c r="I589" t="str">
        <f>IF(A589="","",IFERROR(VLOOKUP(LEFT(A589,1),Map!$D$2:$E$20,2,FALSE),""))</f>
        <v/>
      </c>
      <c r="J589" t="str">
        <f>IF(OR(H589="",NOT(OR(LEFT(H589,1)="G",LEFT(H589,1)="R"))),"",IFERROR(VLOOKUP(MID(H589,2,1),Map!$J$2:$M$10,2,FALSE),""))</f>
        <v/>
      </c>
      <c r="K589" t="str">
        <f t="shared" si="95"/>
        <v/>
      </c>
      <c r="L589" t="str">
        <f t="shared" si="96"/>
        <v/>
      </c>
      <c r="M589" t="str">
        <f t="shared" si="97"/>
        <v/>
      </c>
      <c r="N589" t="str">
        <f t="shared" si="98"/>
        <v/>
      </c>
      <c r="O589" t="str">
        <f t="shared" si="99"/>
        <v/>
      </c>
      <c r="P589" t="str">
        <f>IF(OR(H589="",NOT(OR(LEFT(H589,1)="G",LEFT(H589,1)="R"))),"",IFERROR(VLOOKUP(MID(H589,3,1),Map!$G$2:$H$10,2,FALSE),""))</f>
        <v/>
      </c>
      <c r="Q589" t="str">
        <f>IF(A589="","",IFERROR(VLOOKUP(MID(A589,4,1),Map!$O$2:$P$10,2,FALSE),""))</f>
        <v/>
      </c>
    </row>
    <row r="590" spans="2:17" x14ac:dyDescent="0.25">
      <c r="B590" t="str">
        <f t="shared" si="90"/>
        <v/>
      </c>
      <c r="C590" t="str">
        <f t="shared" si="91"/>
        <v>**</v>
      </c>
      <c r="D590" t="str">
        <f t="shared" si="92"/>
        <v/>
      </c>
      <c r="E590" t="str">
        <f>IFERROR(VLOOKUP(MID(A590,7,2),Map!$A$2:$B$20,2,FALSE),"")</f>
        <v/>
      </c>
      <c r="F590" t="str">
        <f>IF(A590="","",IFERROR(VLOOKUP(MID(A590,9,2),Map!$R$2:$S$14,2,FALSE),""))</f>
        <v/>
      </c>
      <c r="G590" t="str">
        <f t="shared" si="93"/>
        <v/>
      </c>
      <c r="H590" t="str">
        <f t="shared" si="94"/>
        <v/>
      </c>
      <c r="I590" t="str">
        <f>IF(A590="","",IFERROR(VLOOKUP(LEFT(A590,1),Map!$D$2:$E$20,2,FALSE),""))</f>
        <v/>
      </c>
      <c r="J590" t="str">
        <f>IF(OR(H590="",NOT(OR(LEFT(H590,1)="G",LEFT(H590,1)="R"))),"",IFERROR(VLOOKUP(MID(H590,2,1),Map!$J$2:$M$10,2,FALSE),""))</f>
        <v/>
      </c>
      <c r="K590" t="str">
        <f t="shared" si="95"/>
        <v/>
      </c>
      <c r="L590" t="str">
        <f t="shared" si="96"/>
        <v/>
      </c>
      <c r="M590" t="str">
        <f t="shared" si="97"/>
        <v/>
      </c>
      <c r="N590" t="str">
        <f t="shared" si="98"/>
        <v/>
      </c>
      <c r="O590" t="str">
        <f t="shared" si="99"/>
        <v/>
      </c>
      <c r="P590" t="str">
        <f>IF(OR(H590="",NOT(OR(LEFT(H590,1)="G",LEFT(H590,1)="R"))),"",IFERROR(VLOOKUP(MID(H590,3,1),Map!$G$2:$H$10,2,FALSE),""))</f>
        <v/>
      </c>
      <c r="Q590" t="str">
        <f>IF(A590="","",IFERROR(VLOOKUP(MID(A590,4,1),Map!$O$2:$P$10,2,FALSE),""))</f>
        <v/>
      </c>
    </row>
    <row r="591" spans="2:17" x14ac:dyDescent="0.25">
      <c r="B591" t="str">
        <f t="shared" si="90"/>
        <v/>
      </c>
      <c r="C591" t="str">
        <f t="shared" si="91"/>
        <v>**</v>
      </c>
      <c r="D591" t="str">
        <f t="shared" si="92"/>
        <v/>
      </c>
      <c r="E591" t="str">
        <f>IFERROR(VLOOKUP(MID(A591,7,2),Map!$A$2:$B$20,2,FALSE),"")</f>
        <v/>
      </c>
      <c r="F591" t="str">
        <f>IF(A591="","",IFERROR(VLOOKUP(MID(A591,9,2),Map!$R$2:$S$14,2,FALSE),""))</f>
        <v/>
      </c>
      <c r="G591" t="str">
        <f t="shared" si="93"/>
        <v/>
      </c>
      <c r="H591" t="str">
        <f t="shared" si="94"/>
        <v/>
      </c>
      <c r="I591" t="str">
        <f>IF(A591="","",IFERROR(VLOOKUP(LEFT(A591,1),Map!$D$2:$E$20,2,FALSE),""))</f>
        <v/>
      </c>
      <c r="J591" t="str">
        <f>IF(OR(H591="",NOT(OR(LEFT(H591,1)="G",LEFT(H591,1)="R"))),"",IFERROR(VLOOKUP(MID(H591,2,1),Map!$J$2:$M$10,2,FALSE),""))</f>
        <v/>
      </c>
      <c r="K591" t="str">
        <f t="shared" si="95"/>
        <v/>
      </c>
      <c r="L591" t="str">
        <f t="shared" si="96"/>
        <v/>
      </c>
      <c r="M591" t="str">
        <f t="shared" si="97"/>
        <v/>
      </c>
      <c r="N591" t="str">
        <f t="shared" si="98"/>
        <v/>
      </c>
      <c r="O591" t="str">
        <f t="shared" si="99"/>
        <v/>
      </c>
      <c r="P591" t="str">
        <f>IF(OR(H591="",NOT(OR(LEFT(H591,1)="G",LEFT(H591,1)="R"))),"",IFERROR(VLOOKUP(MID(H591,3,1),Map!$G$2:$H$10,2,FALSE),""))</f>
        <v/>
      </c>
      <c r="Q591" t="str">
        <f>IF(A591="","",IFERROR(VLOOKUP(MID(A591,4,1),Map!$O$2:$P$10,2,FALSE),""))</f>
        <v/>
      </c>
    </row>
    <row r="592" spans="2:17" x14ac:dyDescent="0.25">
      <c r="B592" t="str">
        <f t="shared" si="90"/>
        <v/>
      </c>
      <c r="C592" t="str">
        <f t="shared" si="91"/>
        <v>**</v>
      </c>
      <c r="D592" t="str">
        <f t="shared" si="92"/>
        <v/>
      </c>
      <c r="E592" t="str">
        <f>IFERROR(VLOOKUP(MID(A592,7,2),Map!$A$2:$B$20,2,FALSE),"")</f>
        <v/>
      </c>
      <c r="F592" t="str">
        <f>IF(A592="","",IFERROR(VLOOKUP(MID(A592,9,2),Map!$R$2:$S$14,2,FALSE),""))</f>
        <v/>
      </c>
      <c r="G592" t="str">
        <f t="shared" si="93"/>
        <v/>
      </c>
      <c r="H592" t="str">
        <f t="shared" si="94"/>
        <v/>
      </c>
      <c r="I592" t="str">
        <f>IF(A592="","",IFERROR(VLOOKUP(LEFT(A592,1),Map!$D$2:$E$20,2,FALSE),""))</f>
        <v/>
      </c>
      <c r="J592" t="str">
        <f>IF(OR(H592="",NOT(OR(LEFT(H592,1)="G",LEFT(H592,1)="R"))),"",IFERROR(VLOOKUP(MID(H592,2,1),Map!$J$2:$M$10,2,FALSE),""))</f>
        <v/>
      </c>
      <c r="K592" t="str">
        <f t="shared" si="95"/>
        <v/>
      </c>
      <c r="L592" t="str">
        <f t="shared" si="96"/>
        <v/>
      </c>
      <c r="M592" t="str">
        <f t="shared" si="97"/>
        <v/>
      </c>
      <c r="N592" t="str">
        <f t="shared" si="98"/>
        <v/>
      </c>
      <c r="O592" t="str">
        <f t="shared" si="99"/>
        <v/>
      </c>
      <c r="P592" t="str">
        <f>IF(OR(H592="",NOT(OR(LEFT(H592,1)="G",LEFT(H592,1)="R"))),"",IFERROR(VLOOKUP(MID(H592,3,1),Map!$G$2:$H$10,2,FALSE),""))</f>
        <v/>
      </c>
      <c r="Q592" t="str">
        <f>IF(A592="","",IFERROR(VLOOKUP(MID(A592,4,1),Map!$O$2:$P$10,2,FALSE),""))</f>
        <v/>
      </c>
    </row>
    <row r="593" spans="2:17" x14ac:dyDescent="0.25">
      <c r="B593" t="str">
        <f t="shared" si="90"/>
        <v/>
      </c>
      <c r="C593" t="str">
        <f t="shared" si="91"/>
        <v>**</v>
      </c>
      <c r="D593" t="str">
        <f t="shared" si="92"/>
        <v/>
      </c>
      <c r="E593" t="str">
        <f>IFERROR(VLOOKUP(MID(A593,7,2),Map!$A$2:$B$20,2,FALSE),"")</f>
        <v/>
      </c>
      <c r="F593" t="str">
        <f>IF(A593="","",IFERROR(VLOOKUP(MID(A593,9,2),Map!$R$2:$S$14,2,FALSE),""))</f>
        <v/>
      </c>
      <c r="G593" t="str">
        <f t="shared" si="93"/>
        <v/>
      </c>
      <c r="H593" t="str">
        <f t="shared" si="94"/>
        <v/>
      </c>
      <c r="I593" t="str">
        <f>IF(A593="","",IFERROR(VLOOKUP(LEFT(A593,1),Map!$D$2:$E$20,2,FALSE),""))</f>
        <v/>
      </c>
      <c r="J593" t="str">
        <f>IF(OR(H593="",NOT(OR(LEFT(H593,1)="G",LEFT(H593,1)="R"))),"",IFERROR(VLOOKUP(MID(H593,2,1),Map!$J$2:$M$10,2,FALSE),""))</f>
        <v/>
      </c>
      <c r="K593" t="str">
        <f t="shared" si="95"/>
        <v/>
      </c>
      <c r="L593" t="str">
        <f t="shared" si="96"/>
        <v/>
      </c>
      <c r="M593" t="str">
        <f t="shared" si="97"/>
        <v/>
      </c>
      <c r="N593" t="str">
        <f t="shared" si="98"/>
        <v/>
      </c>
      <c r="O593" t="str">
        <f t="shared" si="99"/>
        <v/>
      </c>
      <c r="P593" t="str">
        <f>IF(OR(H593="",NOT(OR(LEFT(H593,1)="G",LEFT(H593,1)="R"))),"",IFERROR(VLOOKUP(MID(H593,3,1),Map!$G$2:$H$10,2,FALSE),""))</f>
        <v/>
      </c>
      <c r="Q593" t="str">
        <f>IF(A593="","",IFERROR(VLOOKUP(MID(A593,4,1),Map!$O$2:$P$10,2,FALSE),""))</f>
        <v/>
      </c>
    </row>
    <row r="594" spans="2:17" x14ac:dyDescent="0.25">
      <c r="B594" t="str">
        <f t="shared" si="90"/>
        <v/>
      </c>
      <c r="C594" t="str">
        <f t="shared" si="91"/>
        <v>**</v>
      </c>
      <c r="D594" t="str">
        <f t="shared" si="92"/>
        <v/>
      </c>
      <c r="E594" t="str">
        <f>IFERROR(VLOOKUP(MID(A594,7,2),Map!$A$2:$B$20,2,FALSE),"")</f>
        <v/>
      </c>
      <c r="F594" t="str">
        <f>IF(A594="","",IFERROR(VLOOKUP(MID(A594,9,2),Map!$R$2:$S$14,2,FALSE),""))</f>
        <v/>
      </c>
      <c r="G594" t="str">
        <f t="shared" si="93"/>
        <v/>
      </c>
      <c r="H594" t="str">
        <f t="shared" si="94"/>
        <v/>
      </c>
      <c r="I594" t="str">
        <f>IF(A594="","",IFERROR(VLOOKUP(LEFT(A594,1),Map!$D$2:$E$20,2,FALSE),""))</f>
        <v/>
      </c>
      <c r="J594" t="str">
        <f>IF(OR(H594="",NOT(OR(LEFT(H594,1)="G",LEFT(H594,1)="R"))),"",IFERROR(VLOOKUP(MID(H594,2,1),Map!$J$2:$M$10,2,FALSE),""))</f>
        <v/>
      </c>
      <c r="K594" t="str">
        <f t="shared" si="95"/>
        <v/>
      </c>
      <c r="L594" t="str">
        <f t="shared" si="96"/>
        <v/>
      </c>
      <c r="M594" t="str">
        <f t="shared" si="97"/>
        <v/>
      </c>
      <c r="N594" t="str">
        <f t="shared" si="98"/>
        <v/>
      </c>
      <c r="O594" t="str">
        <f t="shared" si="99"/>
        <v/>
      </c>
      <c r="P594" t="str">
        <f>IF(OR(H594="",NOT(OR(LEFT(H594,1)="G",LEFT(H594,1)="R"))),"",IFERROR(VLOOKUP(MID(H594,3,1),Map!$G$2:$H$10,2,FALSE),""))</f>
        <v/>
      </c>
      <c r="Q594" t="str">
        <f>IF(A594="","",IFERROR(VLOOKUP(MID(A594,4,1),Map!$O$2:$P$10,2,FALSE),""))</f>
        <v/>
      </c>
    </row>
    <row r="595" spans="2:17" x14ac:dyDescent="0.25">
      <c r="B595" t="str">
        <f t="shared" si="90"/>
        <v/>
      </c>
      <c r="C595" t="str">
        <f t="shared" si="91"/>
        <v>**</v>
      </c>
      <c r="D595" t="str">
        <f t="shared" si="92"/>
        <v/>
      </c>
      <c r="E595" t="str">
        <f>IFERROR(VLOOKUP(MID(A595,7,2),Map!$A$2:$B$20,2,FALSE),"")</f>
        <v/>
      </c>
      <c r="F595" t="str">
        <f>IF(A595="","",IFERROR(VLOOKUP(MID(A595,9,2),Map!$R$2:$S$14,2,FALSE),""))</f>
        <v/>
      </c>
      <c r="G595" t="str">
        <f t="shared" si="93"/>
        <v/>
      </c>
      <c r="H595" t="str">
        <f t="shared" si="94"/>
        <v/>
      </c>
      <c r="I595" t="str">
        <f>IF(A595="","",IFERROR(VLOOKUP(LEFT(A595,1),Map!$D$2:$E$20,2,FALSE),""))</f>
        <v/>
      </c>
      <c r="J595" t="str">
        <f>IF(OR(H595="",NOT(OR(LEFT(H595,1)="G",LEFT(H595,1)="R"))),"",IFERROR(VLOOKUP(MID(H595,2,1),Map!$J$2:$M$10,2,FALSE),""))</f>
        <v/>
      </c>
      <c r="K595" t="str">
        <f t="shared" si="95"/>
        <v/>
      </c>
      <c r="L595" t="str">
        <f t="shared" si="96"/>
        <v/>
      </c>
      <c r="M595" t="str">
        <f t="shared" si="97"/>
        <v/>
      </c>
      <c r="N595" t="str">
        <f t="shared" si="98"/>
        <v/>
      </c>
      <c r="O595" t="str">
        <f t="shared" si="99"/>
        <v/>
      </c>
      <c r="P595" t="str">
        <f>IF(OR(H595="",NOT(OR(LEFT(H595,1)="G",LEFT(H595,1)="R"))),"",IFERROR(VLOOKUP(MID(H595,3,1),Map!$G$2:$H$10,2,FALSE),""))</f>
        <v/>
      </c>
      <c r="Q595" t="str">
        <f>IF(A595="","",IFERROR(VLOOKUP(MID(A595,4,1),Map!$O$2:$P$10,2,FALSE),""))</f>
        <v/>
      </c>
    </row>
    <row r="596" spans="2:17" x14ac:dyDescent="0.25">
      <c r="B596" t="str">
        <f t="shared" si="90"/>
        <v/>
      </c>
      <c r="C596" t="str">
        <f t="shared" si="91"/>
        <v>**</v>
      </c>
      <c r="D596" t="str">
        <f t="shared" si="92"/>
        <v/>
      </c>
      <c r="E596" t="str">
        <f>IFERROR(VLOOKUP(MID(A596,7,2),Map!$A$2:$B$20,2,FALSE),"")</f>
        <v/>
      </c>
      <c r="F596" t="str">
        <f>IF(A596="","",IFERROR(VLOOKUP(MID(A596,9,2),Map!$R$2:$S$14,2,FALSE),""))</f>
        <v/>
      </c>
      <c r="G596" t="str">
        <f t="shared" si="93"/>
        <v/>
      </c>
      <c r="H596" t="str">
        <f t="shared" si="94"/>
        <v/>
      </c>
      <c r="I596" t="str">
        <f>IF(A596="","",IFERROR(VLOOKUP(LEFT(A596,1),Map!$D$2:$E$20,2,FALSE),""))</f>
        <v/>
      </c>
      <c r="J596" t="str">
        <f>IF(OR(H596="",NOT(OR(LEFT(H596,1)="G",LEFT(H596,1)="R"))),"",IFERROR(VLOOKUP(MID(H596,2,1),Map!$J$2:$M$10,2,FALSE),""))</f>
        <v/>
      </c>
      <c r="K596" t="str">
        <f t="shared" si="95"/>
        <v/>
      </c>
      <c r="L596" t="str">
        <f t="shared" si="96"/>
        <v/>
      </c>
      <c r="M596" t="str">
        <f t="shared" si="97"/>
        <v/>
      </c>
      <c r="N596" t="str">
        <f t="shared" si="98"/>
        <v/>
      </c>
      <c r="O596" t="str">
        <f t="shared" si="99"/>
        <v/>
      </c>
      <c r="P596" t="str">
        <f>IF(OR(H596="",NOT(OR(LEFT(H596,1)="G",LEFT(H596,1)="R"))),"",IFERROR(VLOOKUP(MID(H596,3,1),Map!$G$2:$H$10,2,FALSE),""))</f>
        <v/>
      </c>
      <c r="Q596" t="str">
        <f>IF(A596="","",IFERROR(VLOOKUP(MID(A596,4,1),Map!$O$2:$P$10,2,FALSE),""))</f>
        <v/>
      </c>
    </row>
    <row r="597" spans="2:17" x14ac:dyDescent="0.25">
      <c r="B597" t="str">
        <f t="shared" si="90"/>
        <v/>
      </c>
      <c r="C597" t="str">
        <f t="shared" si="91"/>
        <v>**</v>
      </c>
      <c r="D597" t="str">
        <f t="shared" si="92"/>
        <v/>
      </c>
      <c r="E597" t="str">
        <f>IFERROR(VLOOKUP(MID(A597,7,2),Map!$A$2:$B$20,2,FALSE),"")</f>
        <v/>
      </c>
      <c r="F597" t="str">
        <f>IF(A597="","",IFERROR(VLOOKUP(MID(A597,9,2),Map!$R$2:$S$14,2,FALSE),""))</f>
        <v/>
      </c>
      <c r="G597" t="str">
        <f t="shared" si="93"/>
        <v/>
      </c>
      <c r="H597" t="str">
        <f t="shared" si="94"/>
        <v/>
      </c>
      <c r="I597" t="str">
        <f>IF(A597="","",IFERROR(VLOOKUP(LEFT(A597,1),Map!$D$2:$E$20,2,FALSE),""))</f>
        <v/>
      </c>
      <c r="J597" t="str">
        <f>IF(OR(H597="",NOT(OR(LEFT(H597,1)="G",LEFT(H597,1)="R"))),"",IFERROR(VLOOKUP(MID(H597,2,1),Map!$J$2:$M$10,2,FALSE),""))</f>
        <v/>
      </c>
      <c r="K597" t="str">
        <f t="shared" si="95"/>
        <v/>
      </c>
      <c r="L597" t="str">
        <f t="shared" si="96"/>
        <v/>
      </c>
      <c r="M597" t="str">
        <f t="shared" si="97"/>
        <v/>
      </c>
      <c r="N597" t="str">
        <f t="shared" si="98"/>
        <v/>
      </c>
      <c r="O597" t="str">
        <f t="shared" si="99"/>
        <v/>
      </c>
      <c r="P597" t="str">
        <f>IF(OR(H597="",NOT(OR(LEFT(H597,1)="G",LEFT(H597,1)="R"))),"",IFERROR(VLOOKUP(MID(H597,3,1),Map!$G$2:$H$10,2,FALSE),""))</f>
        <v/>
      </c>
      <c r="Q597" t="str">
        <f>IF(A597="","",IFERROR(VLOOKUP(MID(A597,4,1),Map!$O$2:$P$10,2,FALSE),""))</f>
        <v/>
      </c>
    </row>
    <row r="598" spans="2:17" x14ac:dyDescent="0.25">
      <c r="B598" t="str">
        <f t="shared" si="90"/>
        <v/>
      </c>
      <c r="C598" t="str">
        <f t="shared" si="91"/>
        <v>**</v>
      </c>
      <c r="D598" t="str">
        <f t="shared" si="92"/>
        <v/>
      </c>
      <c r="E598" t="str">
        <f>IFERROR(VLOOKUP(MID(A598,7,2),Map!$A$2:$B$20,2,FALSE),"")</f>
        <v/>
      </c>
      <c r="F598" t="str">
        <f>IF(A598="","",IFERROR(VLOOKUP(MID(A598,9,2),Map!$R$2:$S$14,2,FALSE),""))</f>
        <v/>
      </c>
      <c r="G598" t="str">
        <f t="shared" si="93"/>
        <v/>
      </c>
      <c r="H598" t="str">
        <f t="shared" si="94"/>
        <v/>
      </c>
      <c r="I598" t="str">
        <f>IF(A598="","",IFERROR(VLOOKUP(LEFT(A598,1),Map!$D$2:$E$20,2,FALSE),""))</f>
        <v/>
      </c>
      <c r="J598" t="str">
        <f>IF(OR(H598="",NOT(OR(LEFT(H598,1)="G",LEFT(H598,1)="R"))),"",IFERROR(VLOOKUP(MID(H598,2,1),Map!$J$2:$M$10,2,FALSE),""))</f>
        <v/>
      </c>
      <c r="K598" t="str">
        <f t="shared" si="95"/>
        <v/>
      </c>
      <c r="L598" t="str">
        <f t="shared" si="96"/>
        <v/>
      </c>
      <c r="M598" t="str">
        <f t="shared" si="97"/>
        <v/>
      </c>
      <c r="N598" t="str">
        <f t="shared" si="98"/>
        <v/>
      </c>
      <c r="O598" t="str">
        <f t="shared" si="99"/>
        <v/>
      </c>
      <c r="P598" t="str">
        <f>IF(OR(H598="",NOT(OR(LEFT(H598,1)="G",LEFT(H598,1)="R"))),"",IFERROR(VLOOKUP(MID(H598,3,1),Map!$G$2:$H$10,2,FALSE),""))</f>
        <v/>
      </c>
      <c r="Q598" t="str">
        <f>IF(A598="","",IFERROR(VLOOKUP(MID(A598,4,1),Map!$O$2:$P$10,2,FALSE),""))</f>
        <v/>
      </c>
    </row>
    <row r="599" spans="2:17" x14ac:dyDescent="0.25">
      <c r="B599" t="str">
        <f t="shared" si="90"/>
        <v/>
      </c>
      <c r="C599" t="str">
        <f t="shared" si="91"/>
        <v>**</v>
      </c>
      <c r="D599" t="str">
        <f t="shared" si="92"/>
        <v/>
      </c>
      <c r="E599" t="str">
        <f>IFERROR(VLOOKUP(MID(A599,7,2),Map!$A$2:$B$20,2,FALSE),"")</f>
        <v/>
      </c>
      <c r="F599" t="str">
        <f>IF(A599="","",IFERROR(VLOOKUP(MID(A599,9,2),Map!$R$2:$S$14,2,FALSE),""))</f>
        <v/>
      </c>
      <c r="G599" t="str">
        <f t="shared" si="93"/>
        <v/>
      </c>
      <c r="H599" t="str">
        <f t="shared" si="94"/>
        <v/>
      </c>
      <c r="I599" t="str">
        <f>IF(A599="","",IFERROR(VLOOKUP(LEFT(A599,1),Map!$D$2:$E$20,2,FALSE),""))</f>
        <v/>
      </c>
      <c r="J599" t="str">
        <f>IF(OR(H599="",NOT(OR(LEFT(H599,1)="G",LEFT(H599,1)="R"))),"",IFERROR(VLOOKUP(MID(H599,2,1),Map!$J$2:$M$10,2,FALSE),""))</f>
        <v/>
      </c>
      <c r="K599" t="str">
        <f t="shared" si="95"/>
        <v/>
      </c>
      <c r="L599" t="str">
        <f t="shared" si="96"/>
        <v/>
      </c>
      <c r="M599" t="str">
        <f t="shared" si="97"/>
        <v/>
      </c>
      <c r="N599" t="str">
        <f t="shared" si="98"/>
        <v/>
      </c>
      <c r="O599" t="str">
        <f t="shared" si="99"/>
        <v/>
      </c>
      <c r="P599" t="str">
        <f>IF(OR(H599="",NOT(OR(LEFT(H599,1)="G",LEFT(H599,1)="R"))),"",IFERROR(VLOOKUP(MID(H599,3,1),Map!$G$2:$H$10,2,FALSE),""))</f>
        <v/>
      </c>
      <c r="Q599" t="str">
        <f>IF(A599="","",IFERROR(VLOOKUP(MID(A599,4,1),Map!$O$2:$P$10,2,FALSE),""))</f>
        <v/>
      </c>
    </row>
    <row r="600" spans="2:17" x14ac:dyDescent="0.25">
      <c r="B600" t="str">
        <f t="shared" si="90"/>
        <v/>
      </c>
      <c r="C600" t="str">
        <f t="shared" si="91"/>
        <v>**</v>
      </c>
      <c r="D600" t="str">
        <f t="shared" si="92"/>
        <v/>
      </c>
      <c r="E600" t="str">
        <f>IFERROR(VLOOKUP(MID(A600,7,2),Map!$A$2:$B$20,2,FALSE),"")</f>
        <v/>
      </c>
      <c r="F600" t="str">
        <f>IF(A600="","",IFERROR(VLOOKUP(MID(A600,9,2),Map!$R$2:$S$14,2,FALSE),""))</f>
        <v/>
      </c>
      <c r="G600" t="str">
        <f t="shared" si="93"/>
        <v/>
      </c>
      <c r="H600" t="str">
        <f t="shared" si="94"/>
        <v/>
      </c>
      <c r="I600" t="str">
        <f>IF(A600="","",IFERROR(VLOOKUP(LEFT(A600,1),Map!$D$2:$E$20,2,FALSE),""))</f>
        <v/>
      </c>
      <c r="J600" t="str">
        <f>IF(OR(H600="",NOT(OR(LEFT(H600,1)="G",LEFT(H600,1)="R"))),"",IFERROR(VLOOKUP(MID(H600,2,1),Map!$J$2:$M$10,2,FALSE),""))</f>
        <v/>
      </c>
      <c r="K600" t="str">
        <f t="shared" si="95"/>
        <v/>
      </c>
      <c r="L600" t="str">
        <f t="shared" si="96"/>
        <v/>
      </c>
      <c r="M600" t="str">
        <f t="shared" si="97"/>
        <v/>
      </c>
      <c r="N600" t="str">
        <f t="shared" si="98"/>
        <v/>
      </c>
      <c r="O600" t="str">
        <f t="shared" si="99"/>
        <v/>
      </c>
      <c r="P600" t="str">
        <f>IF(OR(H600="",NOT(OR(LEFT(H600,1)="G",LEFT(H600,1)="R"))),"",IFERROR(VLOOKUP(MID(H600,3,1),Map!$G$2:$H$10,2,FALSE),""))</f>
        <v/>
      </c>
      <c r="Q600" t="str">
        <f>IF(A600="","",IFERROR(VLOOKUP(MID(A600,4,1),Map!$O$2:$P$10,2,FALSE),""))</f>
        <v/>
      </c>
    </row>
    <row r="601" spans="2:17" x14ac:dyDescent="0.25">
      <c r="B601" t="str">
        <f t="shared" si="90"/>
        <v/>
      </c>
      <c r="C601" t="str">
        <f t="shared" si="91"/>
        <v>**</v>
      </c>
      <c r="D601" t="str">
        <f t="shared" si="92"/>
        <v/>
      </c>
      <c r="E601" t="str">
        <f>IFERROR(VLOOKUP(MID(A601,7,2),Map!$A$2:$B$20,2,FALSE),"")</f>
        <v/>
      </c>
      <c r="F601" t="str">
        <f>IF(A601="","",IFERROR(VLOOKUP(MID(A601,9,2),Map!$R$2:$S$14,2,FALSE),""))</f>
        <v/>
      </c>
      <c r="G601" t="str">
        <f t="shared" si="93"/>
        <v/>
      </c>
      <c r="H601" t="str">
        <f t="shared" si="94"/>
        <v/>
      </c>
      <c r="I601" t="str">
        <f>IF(A601="","",IFERROR(VLOOKUP(LEFT(A601,1),Map!$D$2:$E$20,2,FALSE),""))</f>
        <v/>
      </c>
      <c r="J601" t="str">
        <f>IF(OR(H601="",NOT(OR(LEFT(H601,1)="G",LEFT(H601,1)="R"))),"",IFERROR(VLOOKUP(MID(H601,2,1),Map!$J$2:$M$10,2,FALSE),""))</f>
        <v/>
      </c>
      <c r="K601" t="str">
        <f t="shared" si="95"/>
        <v/>
      </c>
      <c r="L601" t="str">
        <f t="shared" si="96"/>
        <v/>
      </c>
      <c r="M601" t="str">
        <f t="shared" si="97"/>
        <v/>
      </c>
      <c r="N601" t="str">
        <f t="shared" si="98"/>
        <v/>
      </c>
      <c r="O601" t="str">
        <f t="shared" si="99"/>
        <v/>
      </c>
      <c r="P601" t="str">
        <f>IF(OR(H601="",NOT(OR(LEFT(H601,1)="G",LEFT(H601,1)="R"))),"",IFERROR(VLOOKUP(MID(H601,3,1),Map!$G$2:$H$10,2,FALSE),""))</f>
        <v/>
      </c>
      <c r="Q601" t="str">
        <f>IF(A601="","",IFERROR(VLOOKUP(MID(A601,4,1),Map!$O$2:$P$10,2,FALSE),""))</f>
        <v/>
      </c>
    </row>
    <row r="602" spans="2:17" x14ac:dyDescent="0.25">
      <c r="B602" t="str">
        <f t="shared" si="90"/>
        <v/>
      </c>
      <c r="C602" t="str">
        <f t="shared" si="91"/>
        <v>**</v>
      </c>
      <c r="D602" t="str">
        <f t="shared" si="92"/>
        <v/>
      </c>
      <c r="E602" t="str">
        <f>IFERROR(VLOOKUP(MID(A602,7,2),Map!$A$2:$B$20,2,FALSE),"")</f>
        <v/>
      </c>
      <c r="F602" t="str">
        <f>IF(A602="","",IFERROR(VLOOKUP(MID(A602,9,2),Map!$R$2:$S$14,2,FALSE),""))</f>
        <v/>
      </c>
      <c r="G602" t="str">
        <f t="shared" si="93"/>
        <v/>
      </c>
      <c r="H602" t="str">
        <f t="shared" si="94"/>
        <v/>
      </c>
      <c r="I602" t="str">
        <f>IF(A602="","",IFERROR(VLOOKUP(LEFT(A602,1),Map!$D$2:$E$20,2,FALSE),""))</f>
        <v/>
      </c>
      <c r="J602" t="str">
        <f>IF(OR(H602="",NOT(OR(LEFT(H602,1)="G",LEFT(H602,1)="R"))),"",IFERROR(VLOOKUP(MID(H602,2,1),Map!$J$2:$M$10,2,FALSE),""))</f>
        <v/>
      </c>
      <c r="K602" t="str">
        <f t="shared" si="95"/>
        <v/>
      </c>
      <c r="L602" t="str">
        <f t="shared" si="96"/>
        <v/>
      </c>
      <c r="M602" t="str">
        <f t="shared" si="97"/>
        <v/>
      </c>
      <c r="N602" t="str">
        <f t="shared" si="98"/>
        <v/>
      </c>
      <c r="O602" t="str">
        <f t="shared" si="99"/>
        <v/>
      </c>
      <c r="P602" t="str">
        <f>IF(OR(H602="",NOT(OR(LEFT(H602,1)="G",LEFT(H602,1)="R"))),"",IFERROR(VLOOKUP(MID(H602,3,1),Map!$G$2:$H$10,2,FALSE),""))</f>
        <v/>
      </c>
      <c r="Q602" t="str">
        <f>IF(A602="","",IFERROR(VLOOKUP(MID(A602,4,1),Map!$O$2:$P$10,2,FALSE),""))</f>
        <v/>
      </c>
    </row>
    <row r="603" spans="2:17" x14ac:dyDescent="0.25">
      <c r="B603" t="str">
        <f t="shared" si="90"/>
        <v/>
      </c>
      <c r="C603" t="str">
        <f t="shared" si="91"/>
        <v>**</v>
      </c>
      <c r="D603" t="str">
        <f t="shared" si="92"/>
        <v/>
      </c>
      <c r="E603" t="str">
        <f>IFERROR(VLOOKUP(MID(A603,7,2),Map!$A$2:$B$20,2,FALSE),"")</f>
        <v/>
      </c>
      <c r="F603" t="str">
        <f>IF(A603="","",IFERROR(VLOOKUP(MID(A603,9,2),Map!$R$2:$S$14,2,FALSE),""))</f>
        <v/>
      </c>
      <c r="G603" t="str">
        <f t="shared" si="93"/>
        <v/>
      </c>
      <c r="H603" t="str">
        <f t="shared" si="94"/>
        <v/>
      </c>
      <c r="I603" t="str">
        <f>IF(A603="","",IFERROR(VLOOKUP(LEFT(A603,1),Map!$D$2:$E$20,2,FALSE),""))</f>
        <v/>
      </c>
      <c r="J603" t="str">
        <f>IF(OR(H603="",NOT(OR(LEFT(H603,1)="G",LEFT(H603,1)="R"))),"",IFERROR(VLOOKUP(MID(H603,2,1),Map!$J$2:$M$10,2,FALSE),""))</f>
        <v/>
      </c>
      <c r="K603" t="str">
        <f t="shared" si="95"/>
        <v/>
      </c>
      <c r="L603" t="str">
        <f t="shared" si="96"/>
        <v/>
      </c>
      <c r="M603" t="str">
        <f t="shared" si="97"/>
        <v/>
      </c>
      <c r="N603" t="str">
        <f t="shared" si="98"/>
        <v/>
      </c>
      <c r="O603" t="str">
        <f t="shared" si="99"/>
        <v/>
      </c>
      <c r="P603" t="str">
        <f>IF(OR(H603="",NOT(OR(LEFT(H603,1)="G",LEFT(H603,1)="R"))),"",IFERROR(VLOOKUP(MID(H603,3,1),Map!$G$2:$H$10,2,FALSE),""))</f>
        <v/>
      </c>
      <c r="Q603" t="str">
        <f>IF(A603="","",IFERROR(VLOOKUP(MID(A603,4,1),Map!$O$2:$P$10,2,FALSE),""))</f>
        <v/>
      </c>
    </row>
    <row r="604" spans="2:17" x14ac:dyDescent="0.25">
      <c r="B604" t="str">
        <f t="shared" si="90"/>
        <v/>
      </c>
      <c r="C604" t="str">
        <f t="shared" si="91"/>
        <v>**</v>
      </c>
      <c r="D604" t="str">
        <f t="shared" si="92"/>
        <v/>
      </c>
      <c r="E604" t="str">
        <f>IFERROR(VLOOKUP(MID(A604,7,2),Map!$A$2:$B$20,2,FALSE),"")</f>
        <v/>
      </c>
      <c r="F604" t="str">
        <f>IF(A604="","",IFERROR(VLOOKUP(MID(A604,9,2),Map!$R$2:$S$14,2,FALSE),""))</f>
        <v/>
      </c>
      <c r="G604" t="str">
        <f t="shared" si="93"/>
        <v/>
      </c>
      <c r="H604" t="str">
        <f t="shared" si="94"/>
        <v/>
      </c>
      <c r="I604" t="str">
        <f>IF(A604="","",IFERROR(VLOOKUP(LEFT(A604,1),Map!$D$2:$E$20,2,FALSE),""))</f>
        <v/>
      </c>
      <c r="J604" t="str">
        <f>IF(OR(H604="",NOT(OR(LEFT(H604,1)="G",LEFT(H604,1)="R"))),"",IFERROR(VLOOKUP(MID(H604,2,1),Map!$J$2:$M$10,2,FALSE),""))</f>
        <v/>
      </c>
      <c r="K604" t="str">
        <f t="shared" si="95"/>
        <v/>
      </c>
      <c r="L604" t="str">
        <f t="shared" si="96"/>
        <v/>
      </c>
      <c r="M604" t="str">
        <f t="shared" si="97"/>
        <v/>
      </c>
      <c r="N604" t="str">
        <f t="shared" si="98"/>
        <v/>
      </c>
      <c r="O604" t="str">
        <f t="shared" si="99"/>
        <v/>
      </c>
      <c r="P604" t="str">
        <f>IF(OR(H604="",NOT(OR(LEFT(H604,1)="G",LEFT(H604,1)="R"))),"",IFERROR(VLOOKUP(MID(H604,3,1),Map!$G$2:$H$10,2,FALSE),""))</f>
        <v/>
      </c>
      <c r="Q604" t="str">
        <f>IF(A604="","",IFERROR(VLOOKUP(MID(A604,4,1),Map!$O$2:$P$10,2,FALSE),""))</f>
        <v/>
      </c>
    </row>
    <row r="605" spans="2:17" x14ac:dyDescent="0.25">
      <c r="B605" t="str">
        <f t="shared" si="90"/>
        <v/>
      </c>
      <c r="C605" t="str">
        <f t="shared" si="91"/>
        <v>**</v>
      </c>
      <c r="D605" t="str">
        <f t="shared" si="92"/>
        <v/>
      </c>
      <c r="E605" t="str">
        <f>IFERROR(VLOOKUP(MID(A605,7,2),Map!$A$2:$B$20,2,FALSE),"")</f>
        <v/>
      </c>
      <c r="F605" t="str">
        <f>IF(A605="","",IFERROR(VLOOKUP(MID(A605,9,2),Map!$R$2:$S$14,2,FALSE),""))</f>
        <v/>
      </c>
      <c r="G605" t="str">
        <f t="shared" si="93"/>
        <v/>
      </c>
      <c r="H605" t="str">
        <f t="shared" si="94"/>
        <v/>
      </c>
      <c r="I605" t="str">
        <f>IF(A605="","",IFERROR(VLOOKUP(LEFT(A605,1),Map!$D$2:$E$20,2,FALSE),""))</f>
        <v/>
      </c>
      <c r="J605" t="str">
        <f>IF(OR(H605="",NOT(OR(LEFT(H605,1)="G",LEFT(H605,1)="R"))),"",IFERROR(VLOOKUP(MID(H605,2,1),Map!$J$2:$M$10,2,FALSE),""))</f>
        <v/>
      </c>
      <c r="K605" t="str">
        <f t="shared" si="95"/>
        <v/>
      </c>
      <c r="L605" t="str">
        <f t="shared" si="96"/>
        <v/>
      </c>
      <c r="M605" t="str">
        <f t="shared" si="97"/>
        <v/>
      </c>
      <c r="N605" t="str">
        <f t="shared" si="98"/>
        <v/>
      </c>
      <c r="O605" t="str">
        <f t="shared" si="99"/>
        <v/>
      </c>
      <c r="P605" t="str">
        <f>IF(OR(H605="",NOT(OR(LEFT(H605,1)="G",LEFT(H605,1)="R"))),"",IFERROR(VLOOKUP(MID(H605,3,1),Map!$G$2:$H$10,2,FALSE),""))</f>
        <v/>
      </c>
      <c r="Q605" t="str">
        <f>IF(A605="","",IFERROR(VLOOKUP(MID(A605,4,1),Map!$O$2:$P$10,2,FALSE),""))</f>
        <v/>
      </c>
    </row>
    <row r="606" spans="2:17" x14ac:dyDescent="0.25">
      <c r="B606" t="str">
        <f t="shared" si="90"/>
        <v/>
      </c>
      <c r="C606" t="str">
        <f t="shared" si="91"/>
        <v>**</v>
      </c>
      <c r="D606" t="str">
        <f t="shared" si="92"/>
        <v/>
      </c>
      <c r="E606" t="str">
        <f>IFERROR(VLOOKUP(MID(A606,7,2),Map!$A$2:$B$20,2,FALSE),"")</f>
        <v/>
      </c>
      <c r="F606" t="str">
        <f>IF(A606="","",IFERROR(VLOOKUP(MID(A606,9,2),Map!$R$2:$S$14,2,FALSE),""))</f>
        <v/>
      </c>
      <c r="G606" t="str">
        <f t="shared" si="93"/>
        <v/>
      </c>
      <c r="H606" t="str">
        <f t="shared" si="94"/>
        <v/>
      </c>
      <c r="I606" t="str">
        <f>IF(A606="","",IFERROR(VLOOKUP(LEFT(A606,1),Map!$D$2:$E$20,2,FALSE),""))</f>
        <v/>
      </c>
      <c r="J606" t="str">
        <f>IF(OR(H606="",NOT(OR(LEFT(H606,1)="G",LEFT(H606,1)="R"))),"",IFERROR(VLOOKUP(MID(H606,2,1),Map!$J$2:$M$10,2,FALSE),""))</f>
        <v/>
      </c>
      <c r="K606" t="str">
        <f t="shared" si="95"/>
        <v/>
      </c>
      <c r="L606" t="str">
        <f t="shared" si="96"/>
        <v/>
      </c>
      <c r="M606" t="str">
        <f t="shared" si="97"/>
        <v/>
      </c>
      <c r="N606" t="str">
        <f t="shared" si="98"/>
        <v/>
      </c>
      <c r="O606" t="str">
        <f t="shared" si="99"/>
        <v/>
      </c>
      <c r="P606" t="str">
        <f>IF(OR(H606="",NOT(OR(LEFT(H606,1)="G",LEFT(H606,1)="R"))),"",IFERROR(VLOOKUP(MID(H606,3,1),Map!$G$2:$H$10,2,FALSE),""))</f>
        <v/>
      </c>
      <c r="Q606" t="str">
        <f>IF(A606="","",IFERROR(VLOOKUP(MID(A606,4,1),Map!$O$2:$P$10,2,FALSE),""))</f>
        <v/>
      </c>
    </row>
    <row r="607" spans="2:17" x14ac:dyDescent="0.25">
      <c r="B607" t="str">
        <f t="shared" si="90"/>
        <v/>
      </c>
      <c r="C607" t="str">
        <f t="shared" si="91"/>
        <v>**</v>
      </c>
      <c r="D607" t="str">
        <f t="shared" si="92"/>
        <v/>
      </c>
      <c r="E607" t="str">
        <f>IFERROR(VLOOKUP(MID(A607,7,2),Map!$A$2:$B$20,2,FALSE),"")</f>
        <v/>
      </c>
      <c r="F607" t="str">
        <f>IF(A607="","",IFERROR(VLOOKUP(MID(A607,9,2),Map!$R$2:$S$14,2,FALSE),""))</f>
        <v/>
      </c>
      <c r="G607" t="str">
        <f t="shared" si="93"/>
        <v/>
      </c>
      <c r="H607" t="str">
        <f t="shared" si="94"/>
        <v/>
      </c>
      <c r="I607" t="str">
        <f>IF(A607="","",IFERROR(VLOOKUP(LEFT(A607,1),Map!$D$2:$E$20,2,FALSE),""))</f>
        <v/>
      </c>
      <c r="J607" t="str">
        <f>IF(OR(H607="",NOT(OR(LEFT(H607,1)="G",LEFT(H607,1)="R"))),"",IFERROR(VLOOKUP(MID(H607,2,1),Map!$J$2:$M$10,2,FALSE),""))</f>
        <v/>
      </c>
      <c r="K607" t="str">
        <f t="shared" si="95"/>
        <v/>
      </c>
      <c r="L607" t="str">
        <f t="shared" si="96"/>
        <v/>
      </c>
      <c r="M607" t="str">
        <f t="shared" si="97"/>
        <v/>
      </c>
      <c r="N607" t="str">
        <f t="shared" si="98"/>
        <v/>
      </c>
      <c r="O607" t="str">
        <f t="shared" si="99"/>
        <v/>
      </c>
      <c r="P607" t="str">
        <f>IF(OR(H607="",NOT(OR(LEFT(H607,1)="G",LEFT(H607,1)="R"))),"",IFERROR(VLOOKUP(MID(H607,3,1),Map!$G$2:$H$10,2,FALSE),""))</f>
        <v/>
      </c>
      <c r="Q607" t="str">
        <f>IF(A607="","",IFERROR(VLOOKUP(MID(A607,4,1),Map!$O$2:$P$10,2,FALSE),""))</f>
        <v/>
      </c>
    </row>
    <row r="608" spans="2:17" x14ac:dyDescent="0.25">
      <c r="B608" t="str">
        <f t="shared" si="90"/>
        <v/>
      </c>
      <c r="C608" t="str">
        <f t="shared" si="91"/>
        <v>**</v>
      </c>
      <c r="D608" t="str">
        <f t="shared" si="92"/>
        <v/>
      </c>
      <c r="E608" t="str">
        <f>IFERROR(VLOOKUP(MID(A608,7,2),Map!$A$2:$B$20,2,FALSE),"")</f>
        <v/>
      </c>
      <c r="F608" t="str">
        <f>IF(A608="","",IFERROR(VLOOKUP(MID(A608,9,2),Map!$R$2:$S$14,2,FALSE),""))</f>
        <v/>
      </c>
      <c r="G608" t="str">
        <f t="shared" si="93"/>
        <v/>
      </c>
      <c r="H608" t="str">
        <f t="shared" si="94"/>
        <v/>
      </c>
      <c r="I608" t="str">
        <f>IF(A608="","",IFERROR(VLOOKUP(LEFT(A608,1),Map!$D$2:$E$20,2,FALSE),""))</f>
        <v/>
      </c>
      <c r="J608" t="str">
        <f>IF(OR(H608="",NOT(OR(LEFT(H608,1)="G",LEFT(H608,1)="R"))),"",IFERROR(VLOOKUP(MID(H608,2,1),Map!$J$2:$M$10,2,FALSE),""))</f>
        <v/>
      </c>
      <c r="K608" t="str">
        <f t="shared" si="95"/>
        <v/>
      </c>
      <c r="L608" t="str">
        <f t="shared" si="96"/>
        <v/>
      </c>
      <c r="M608" t="str">
        <f t="shared" si="97"/>
        <v/>
      </c>
      <c r="N608" t="str">
        <f t="shared" si="98"/>
        <v/>
      </c>
      <c r="O608" t="str">
        <f t="shared" si="99"/>
        <v/>
      </c>
      <c r="P608" t="str">
        <f>IF(OR(H608="",NOT(OR(LEFT(H608,1)="G",LEFT(H608,1)="R"))),"",IFERROR(VLOOKUP(MID(H608,3,1),Map!$G$2:$H$10,2,FALSE),""))</f>
        <v/>
      </c>
      <c r="Q608" t="str">
        <f>IF(A608="","",IFERROR(VLOOKUP(MID(A608,4,1),Map!$O$2:$P$10,2,FALSE),""))</f>
        <v/>
      </c>
    </row>
    <row r="609" spans="2:17" x14ac:dyDescent="0.25">
      <c r="B609" t="str">
        <f t="shared" si="90"/>
        <v/>
      </c>
      <c r="C609" t="str">
        <f t="shared" si="91"/>
        <v>**</v>
      </c>
      <c r="D609" t="str">
        <f t="shared" si="92"/>
        <v/>
      </c>
      <c r="E609" t="str">
        <f>IFERROR(VLOOKUP(MID(A609,7,2),Map!$A$2:$B$20,2,FALSE),"")</f>
        <v/>
      </c>
      <c r="F609" t="str">
        <f>IF(A609="","",IFERROR(VLOOKUP(MID(A609,9,2),Map!$R$2:$S$14,2,FALSE),""))</f>
        <v/>
      </c>
      <c r="G609" t="str">
        <f t="shared" si="93"/>
        <v/>
      </c>
      <c r="H609" t="str">
        <f t="shared" si="94"/>
        <v/>
      </c>
      <c r="I609" t="str">
        <f>IF(A609="","",IFERROR(VLOOKUP(LEFT(A609,1),Map!$D$2:$E$20,2,FALSE),""))</f>
        <v/>
      </c>
      <c r="J609" t="str">
        <f>IF(OR(H609="",NOT(OR(LEFT(H609,1)="G",LEFT(H609,1)="R"))),"",IFERROR(VLOOKUP(MID(H609,2,1),Map!$J$2:$M$10,2,FALSE),""))</f>
        <v/>
      </c>
      <c r="K609" t="str">
        <f t="shared" si="95"/>
        <v/>
      </c>
      <c r="L609" t="str">
        <f t="shared" si="96"/>
        <v/>
      </c>
      <c r="M609" t="str">
        <f t="shared" si="97"/>
        <v/>
      </c>
      <c r="N609" t="str">
        <f t="shared" si="98"/>
        <v/>
      </c>
      <c r="O609" t="str">
        <f t="shared" si="99"/>
        <v/>
      </c>
      <c r="P609" t="str">
        <f>IF(OR(H609="",NOT(OR(LEFT(H609,1)="G",LEFT(H609,1)="R"))),"",IFERROR(VLOOKUP(MID(H609,3,1),Map!$G$2:$H$10,2,FALSE),""))</f>
        <v/>
      </c>
      <c r="Q609" t="str">
        <f>IF(A609="","",IFERROR(VLOOKUP(MID(A609,4,1),Map!$O$2:$P$10,2,FALSE),""))</f>
        <v/>
      </c>
    </row>
    <row r="610" spans="2:17" x14ac:dyDescent="0.25">
      <c r="B610" t="str">
        <f t="shared" si="90"/>
        <v/>
      </c>
      <c r="C610" t="str">
        <f t="shared" si="91"/>
        <v>**</v>
      </c>
      <c r="D610" t="str">
        <f t="shared" si="92"/>
        <v/>
      </c>
      <c r="E610" t="str">
        <f>IFERROR(VLOOKUP(MID(A610,7,2),Map!$A$2:$B$20,2,FALSE),"")</f>
        <v/>
      </c>
      <c r="F610" t="str">
        <f>IF(A610="","",IFERROR(VLOOKUP(MID(A610,9,2),Map!$R$2:$S$14,2,FALSE),""))</f>
        <v/>
      </c>
      <c r="G610" t="str">
        <f t="shared" si="93"/>
        <v/>
      </c>
      <c r="H610" t="str">
        <f t="shared" si="94"/>
        <v/>
      </c>
      <c r="I610" t="str">
        <f>IF(A610="","",IFERROR(VLOOKUP(LEFT(A610,1),Map!$D$2:$E$20,2,FALSE),""))</f>
        <v/>
      </c>
      <c r="J610" t="str">
        <f>IF(OR(H610="",NOT(OR(LEFT(H610,1)="G",LEFT(H610,1)="R"))),"",IFERROR(VLOOKUP(MID(H610,2,1),Map!$J$2:$M$10,2,FALSE),""))</f>
        <v/>
      </c>
      <c r="K610" t="str">
        <f t="shared" si="95"/>
        <v/>
      </c>
      <c r="L610" t="str">
        <f t="shared" si="96"/>
        <v/>
      </c>
      <c r="M610" t="str">
        <f t="shared" si="97"/>
        <v/>
      </c>
      <c r="N610" t="str">
        <f t="shared" si="98"/>
        <v/>
      </c>
      <c r="O610" t="str">
        <f t="shared" si="99"/>
        <v/>
      </c>
      <c r="P610" t="str">
        <f>IF(OR(H610="",NOT(OR(LEFT(H610,1)="G",LEFT(H610,1)="R"))),"",IFERROR(VLOOKUP(MID(H610,3,1),Map!$G$2:$H$10,2,FALSE),""))</f>
        <v/>
      </c>
      <c r="Q610" t="str">
        <f>IF(A610="","",IFERROR(VLOOKUP(MID(A610,4,1),Map!$O$2:$P$10,2,FALSE),""))</f>
        <v/>
      </c>
    </row>
    <row r="611" spans="2:17" x14ac:dyDescent="0.25">
      <c r="B611" t="str">
        <f t="shared" si="90"/>
        <v/>
      </c>
      <c r="C611" t="str">
        <f t="shared" si="91"/>
        <v>**</v>
      </c>
      <c r="D611" t="str">
        <f t="shared" si="92"/>
        <v/>
      </c>
      <c r="E611" t="str">
        <f>IFERROR(VLOOKUP(MID(A611,7,2),Map!$A$2:$B$20,2,FALSE),"")</f>
        <v/>
      </c>
      <c r="F611" t="str">
        <f>IF(A611="","",IFERROR(VLOOKUP(MID(A611,9,2),Map!$R$2:$S$14,2,FALSE),""))</f>
        <v/>
      </c>
      <c r="G611" t="str">
        <f t="shared" si="93"/>
        <v/>
      </c>
      <c r="H611" t="str">
        <f t="shared" si="94"/>
        <v/>
      </c>
      <c r="I611" t="str">
        <f>IF(A611="","",IFERROR(VLOOKUP(LEFT(A611,1),Map!$D$2:$E$20,2,FALSE),""))</f>
        <v/>
      </c>
      <c r="J611" t="str">
        <f>IF(OR(H611="",NOT(OR(LEFT(H611,1)="G",LEFT(H611,1)="R"))),"",IFERROR(VLOOKUP(MID(H611,2,1),Map!$J$2:$M$10,2,FALSE),""))</f>
        <v/>
      </c>
      <c r="K611" t="str">
        <f t="shared" si="95"/>
        <v/>
      </c>
      <c r="L611" t="str">
        <f t="shared" si="96"/>
        <v/>
      </c>
      <c r="M611" t="str">
        <f t="shared" si="97"/>
        <v/>
      </c>
      <c r="N611" t="str">
        <f t="shared" si="98"/>
        <v/>
      </c>
      <c r="O611" t="str">
        <f t="shared" si="99"/>
        <v/>
      </c>
      <c r="P611" t="str">
        <f>IF(OR(H611="",NOT(OR(LEFT(H611,1)="G",LEFT(H611,1)="R"))),"",IFERROR(VLOOKUP(MID(H611,3,1),Map!$G$2:$H$10,2,FALSE),""))</f>
        <v/>
      </c>
      <c r="Q611" t="str">
        <f>IF(A611="","",IFERROR(VLOOKUP(MID(A611,4,1),Map!$O$2:$P$10,2,FALSE),""))</f>
        <v/>
      </c>
    </row>
    <row r="612" spans="2:17" x14ac:dyDescent="0.25">
      <c r="B612" t="str">
        <f t="shared" si="90"/>
        <v/>
      </c>
      <c r="C612" t="str">
        <f t="shared" si="91"/>
        <v>**</v>
      </c>
      <c r="D612" t="str">
        <f t="shared" si="92"/>
        <v/>
      </c>
      <c r="E612" t="str">
        <f>IFERROR(VLOOKUP(MID(A612,7,2),Map!$A$2:$B$20,2,FALSE),"")</f>
        <v/>
      </c>
      <c r="F612" t="str">
        <f>IF(A612="","",IFERROR(VLOOKUP(MID(A612,9,2),Map!$R$2:$S$14,2,FALSE),""))</f>
        <v/>
      </c>
      <c r="G612" t="str">
        <f t="shared" si="93"/>
        <v/>
      </c>
      <c r="H612" t="str">
        <f t="shared" si="94"/>
        <v/>
      </c>
      <c r="I612" t="str">
        <f>IF(A612="","",IFERROR(VLOOKUP(LEFT(A612,1),Map!$D$2:$E$20,2,FALSE),""))</f>
        <v/>
      </c>
      <c r="J612" t="str">
        <f>IF(OR(H612="",NOT(OR(LEFT(H612,1)="G",LEFT(H612,1)="R"))),"",IFERROR(VLOOKUP(MID(H612,2,1),Map!$J$2:$M$10,2,FALSE),""))</f>
        <v/>
      </c>
      <c r="K612" t="str">
        <f t="shared" si="95"/>
        <v/>
      </c>
      <c r="L612" t="str">
        <f t="shared" si="96"/>
        <v/>
      </c>
      <c r="M612" t="str">
        <f t="shared" si="97"/>
        <v/>
      </c>
      <c r="N612" t="str">
        <f t="shared" si="98"/>
        <v/>
      </c>
      <c r="O612" t="str">
        <f t="shared" si="99"/>
        <v/>
      </c>
      <c r="P612" t="str">
        <f>IF(OR(H612="",NOT(OR(LEFT(H612,1)="G",LEFT(H612,1)="R"))),"",IFERROR(VLOOKUP(MID(H612,3,1),Map!$G$2:$H$10,2,FALSE),""))</f>
        <v/>
      </c>
      <c r="Q612" t="str">
        <f>IF(A612="","",IFERROR(VLOOKUP(MID(A612,4,1),Map!$O$2:$P$10,2,FALSE),""))</f>
        <v/>
      </c>
    </row>
    <row r="613" spans="2:17" x14ac:dyDescent="0.25">
      <c r="B613" t="str">
        <f t="shared" si="90"/>
        <v/>
      </c>
      <c r="C613" t="str">
        <f t="shared" si="91"/>
        <v>**</v>
      </c>
      <c r="D613" t="str">
        <f t="shared" si="92"/>
        <v/>
      </c>
      <c r="E613" t="str">
        <f>IFERROR(VLOOKUP(MID(A613,7,2),Map!$A$2:$B$20,2,FALSE),"")</f>
        <v/>
      </c>
      <c r="F613" t="str">
        <f>IF(A613="","",IFERROR(VLOOKUP(MID(A613,9,2),Map!$R$2:$S$14,2,FALSE),""))</f>
        <v/>
      </c>
      <c r="G613" t="str">
        <f t="shared" si="93"/>
        <v/>
      </c>
      <c r="H613" t="str">
        <f t="shared" si="94"/>
        <v/>
      </c>
      <c r="I613" t="str">
        <f>IF(A613="","",IFERROR(VLOOKUP(LEFT(A613,1),Map!$D$2:$E$20,2,FALSE),""))</f>
        <v/>
      </c>
      <c r="J613" t="str">
        <f>IF(OR(H613="",NOT(OR(LEFT(H613,1)="G",LEFT(H613,1)="R"))),"",IFERROR(VLOOKUP(MID(H613,2,1),Map!$J$2:$M$10,2,FALSE),""))</f>
        <v/>
      </c>
      <c r="K613" t="str">
        <f t="shared" si="95"/>
        <v/>
      </c>
      <c r="L613" t="str">
        <f t="shared" si="96"/>
        <v/>
      </c>
      <c r="M613" t="str">
        <f t="shared" si="97"/>
        <v/>
      </c>
      <c r="N613" t="str">
        <f t="shared" si="98"/>
        <v/>
      </c>
      <c r="O613" t="str">
        <f t="shared" si="99"/>
        <v/>
      </c>
      <c r="P613" t="str">
        <f>IF(OR(H613="",NOT(OR(LEFT(H613,1)="G",LEFT(H613,1)="R"))),"",IFERROR(VLOOKUP(MID(H613,3,1),Map!$G$2:$H$10,2,FALSE),""))</f>
        <v/>
      </c>
      <c r="Q613" t="str">
        <f>IF(A613="","",IFERROR(VLOOKUP(MID(A613,4,1),Map!$O$2:$P$10,2,FALSE),""))</f>
        <v/>
      </c>
    </row>
    <row r="614" spans="2:17" x14ac:dyDescent="0.25">
      <c r="B614" t="str">
        <f t="shared" si="90"/>
        <v/>
      </c>
      <c r="C614" t="str">
        <f t="shared" si="91"/>
        <v>**</v>
      </c>
      <c r="D614" t="str">
        <f t="shared" si="92"/>
        <v/>
      </c>
      <c r="E614" t="str">
        <f>IFERROR(VLOOKUP(MID(A614,7,2),Map!$A$2:$B$20,2,FALSE),"")</f>
        <v/>
      </c>
      <c r="F614" t="str">
        <f>IF(A614="","",IFERROR(VLOOKUP(MID(A614,9,2),Map!$R$2:$S$14,2,FALSE),""))</f>
        <v/>
      </c>
      <c r="G614" t="str">
        <f t="shared" si="93"/>
        <v/>
      </c>
      <c r="H614" t="str">
        <f t="shared" si="94"/>
        <v/>
      </c>
      <c r="I614" t="str">
        <f>IF(A614="","",IFERROR(VLOOKUP(LEFT(A614,1),Map!$D$2:$E$20,2,FALSE),""))</f>
        <v/>
      </c>
      <c r="J614" t="str">
        <f>IF(OR(H614="",NOT(OR(LEFT(H614,1)="G",LEFT(H614,1)="R"))),"",IFERROR(VLOOKUP(MID(H614,2,1),Map!$J$2:$M$10,2,FALSE),""))</f>
        <v/>
      </c>
      <c r="K614" t="str">
        <f t="shared" si="95"/>
        <v/>
      </c>
      <c r="L614" t="str">
        <f t="shared" si="96"/>
        <v/>
      </c>
      <c r="M614" t="str">
        <f t="shared" si="97"/>
        <v/>
      </c>
      <c r="N614" t="str">
        <f t="shared" si="98"/>
        <v/>
      </c>
      <c r="O614" t="str">
        <f t="shared" si="99"/>
        <v/>
      </c>
      <c r="P614" t="str">
        <f>IF(OR(H614="",NOT(OR(LEFT(H614,1)="G",LEFT(H614,1)="R"))),"",IFERROR(VLOOKUP(MID(H614,3,1),Map!$G$2:$H$10,2,FALSE),""))</f>
        <v/>
      </c>
      <c r="Q614" t="str">
        <f>IF(A614="","",IFERROR(VLOOKUP(MID(A614,4,1),Map!$O$2:$P$10,2,FALSE),""))</f>
        <v/>
      </c>
    </row>
    <row r="615" spans="2:17" x14ac:dyDescent="0.25">
      <c r="B615" t="str">
        <f t="shared" si="90"/>
        <v/>
      </c>
      <c r="C615" t="str">
        <f t="shared" si="91"/>
        <v>**</v>
      </c>
      <c r="D615" t="str">
        <f t="shared" si="92"/>
        <v/>
      </c>
      <c r="E615" t="str">
        <f>IFERROR(VLOOKUP(MID(A615,7,2),Map!$A$2:$B$20,2,FALSE),"")</f>
        <v/>
      </c>
      <c r="F615" t="str">
        <f>IF(A615="","",IFERROR(VLOOKUP(MID(A615,9,2),Map!$R$2:$S$14,2,FALSE),""))</f>
        <v/>
      </c>
      <c r="G615" t="str">
        <f t="shared" si="93"/>
        <v/>
      </c>
      <c r="H615" t="str">
        <f t="shared" si="94"/>
        <v/>
      </c>
      <c r="I615" t="str">
        <f>IF(A615="","",IFERROR(VLOOKUP(LEFT(A615,1),Map!$D$2:$E$20,2,FALSE),""))</f>
        <v/>
      </c>
      <c r="J615" t="str">
        <f>IF(OR(H615="",NOT(OR(LEFT(H615,1)="G",LEFT(H615,1)="R"))),"",IFERROR(VLOOKUP(MID(H615,2,1),Map!$J$2:$M$10,2,FALSE),""))</f>
        <v/>
      </c>
      <c r="K615" t="str">
        <f t="shared" si="95"/>
        <v/>
      </c>
      <c r="L615" t="str">
        <f t="shared" si="96"/>
        <v/>
      </c>
      <c r="M615" t="str">
        <f t="shared" si="97"/>
        <v/>
      </c>
      <c r="N615" t="str">
        <f t="shared" si="98"/>
        <v/>
      </c>
      <c r="O615" t="str">
        <f t="shared" si="99"/>
        <v/>
      </c>
      <c r="P615" t="str">
        <f>IF(OR(H615="",NOT(OR(LEFT(H615,1)="G",LEFT(H615,1)="R"))),"",IFERROR(VLOOKUP(MID(H615,3,1),Map!$G$2:$H$10,2,FALSE),""))</f>
        <v/>
      </c>
      <c r="Q615" t="str">
        <f>IF(A615="","",IFERROR(VLOOKUP(MID(A615,4,1),Map!$O$2:$P$10,2,FALSE),""))</f>
        <v/>
      </c>
    </row>
    <row r="616" spans="2:17" x14ac:dyDescent="0.25">
      <c r="B616" t="str">
        <f t="shared" si="90"/>
        <v/>
      </c>
      <c r="C616" t="str">
        <f t="shared" si="91"/>
        <v>**</v>
      </c>
      <c r="D616" t="str">
        <f t="shared" si="92"/>
        <v/>
      </c>
      <c r="E616" t="str">
        <f>IFERROR(VLOOKUP(MID(A616,7,2),Map!$A$2:$B$20,2,FALSE),"")</f>
        <v/>
      </c>
      <c r="F616" t="str">
        <f>IF(A616="","",IFERROR(VLOOKUP(MID(A616,9,2),Map!$R$2:$S$14,2,FALSE),""))</f>
        <v/>
      </c>
      <c r="G616" t="str">
        <f t="shared" si="93"/>
        <v/>
      </c>
      <c r="H616" t="str">
        <f t="shared" si="94"/>
        <v/>
      </c>
      <c r="I616" t="str">
        <f>IF(A616="","",IFERROR(VLOOKUP(LEFT(A616,1),Map!$D$2:$E$20,2,FALSE),""))</f>
        <v/>
      </c>
      <c r="J616" t="str">
        <f>IF(OR(H616="",NOT(OR(LEFT(H616,1)="G",LEFT(H616,1)="R"))),"",IFERROR(VLOOKUP(MID(H616,2,1),Map!$J$2:$M$10,2,FALSE),""))</f>
        <v/>
      </c>
      <c r="K616" t="str">
        <f t="shared" si="95"/>
        <v/>
      </c>
      <c r="L616" t="str">
        <f t="shared" si="96"/>
        <v/>
      </c>
      <c r="M616" t="str">
        <f t="shared" si="97"/>
        <v/>
      </c>
      <c r="N616" t="str">
        <f t="shared" si="98"/>
        <v/>
      </c>
      <c r="O616" t="str">
        <f t="shared" si="99"/>
        <v/>
      </c>
      <c r="P616" t="str">
        <f>IF(OR(H616="",NOT(OR(LEFT(H616,1)="G",LEFT(H616,1)="R"))),"",IFERROR(VLOOKUP(MID(H616,3,1),Map!$G$2:$H$10,2,FALSE),""))</f>
        <v/>
      </c>
      <c r="Q616" t="str">
        <f>IF(A616="","",IFERROR(VLOOKUP(MID(A616,4,1),Map!$O$2:$P$10,2,FALSE),""))</f>
        <v/>
      </c>
    </row>
    <row r="617" spans="2:17" x14ac:dyDescent="0.25">
      <c r="B617" t="str">
        <f t="shared" si="90"/>
        <v/>
      </c>
      <c r="C617" t="str">
        <f t="shared" si="91"/>
        <v>**</v>
      </c>
      <c r="D617" t="str">
        <f t="shared" si="92"/>
        <v/>
      </c>
      <c r="E617" t="str">
        <f>IFERROR(VLOOKUP(MID(A617,7,2),Map!$A$2:$B$20,2,FALSE),"")</f>
        <v/>
      </c>
      <c r="F617" t="str">
        <f>IF(A617="","",IFERROR(VLOOKUP(MID(A617,9,2),Map!$R$2:$S$14,2,FALSE),""))</f>
        <v/>
      </c>
      <c r="G617" t="str">
        <f t="shared" si="93"/>
        <v/>
      </c>
      <c r="H617" t="str">
        <f t="shared" si="94"/>
        <v/>
      </c>
      <c r="I617" t="str">
        <f>IF(A617="","",IFERROR(VLOOKUP(LEFT(A617,1),Map!$D$2:$E$20,2,FALSE),""))</f>
        <v/>
      </c>
      <c r="J617" t="str">
        <f>IF(OR(H617="",NOT(OR(LEFT(H617,1)="G",LEFT(H617,1)="R"))),"",IFERROR(VLOOKUP(MID(H617,2,1),Map!$J$2:$M$10,2,FALSE),""))</f>
        <v/>
      </c>
      <c r="K617" t="str">
        <f t="shared" si="95"/>
        <v/>
      </c>
      <c r="L617" t="str">
        <f t="shared" si="96"/>
        <v/>
      </c>
      <c r="M617" t="str">
        <f t="shared" si="97"/>
        <v/>
      </c>
      <c r="N617" t="str">
        <f t="shared" si="98"/>
        <v/>
      </c>
      <c r="O617" t="str">
        <f t="shared" si="99"/>
        <v/>
      </c>
      <c r="P617" t="str">
        <f>IF(OR(H617="",NOT(OR(LEFT(H617,1)="G",LEFT(H617,1)="R"))),"",IFERROR(VLOOKUP(MID(H617,3,1),Map!$G$2:$H$10,2,FALSE),""))</f>
        <v/>
      </c>
      <c r="Q617" t="str">
        <f>IF(A617="","",IFERROR(VLOOKUP(MID(A617,4,1),Map!$O$2:$P$10,2,FALSE),""))</f>
        <v/>
      </c>
    </row>
    <row r="618" spans="2:17" x14ac:dyDescent="0.25">
      <c r="B618" t="str">
        <f t="shared" si="90"/>
        <v/>
      </c>
      <c r="C618" t="str">
        <f t="shared" si="91"/>
        <v>**</v>
      </c>
      <c r="D618" t="str">
        <f t="shared" si="92"/>
        <v/>
      </c>
      <c r="E618" t="str">
        <f>IFERROR(VLOOKUP(MID(A618,7,2),Map!$A$2:$B$20,2,FALSE),"")</f>
        <v/>
      </c>
      <c r="F618" t="str">
        <f>IF(A618="","",IFERROR(VLOOKUP(MID(A618,9,2),Map!$R$2:$S$14,2,FALSE),""))</f>
        <v/>
      </c>
      <c r="G618" t="str">
        <f t="shared" si="93"/>
        <v/>
      </c>
      <c r="H618" t="str">
        <f t="shared" si="94"/>
        <v/>
      </c>
      <c r="I618" t="str">
        <f>IF(A618="","",IFERROR(VLOOKUP(LEFT(A618,1),Map!$D$2:$E$20,2,FALSE),""))</f>
        <v/>
      </c>
      <c r="J618" t="str">
        <f>IF(OR(H618="",NOT(OR(LEFT(H618,1)="G",LEFT(H618,1)="R"))),"",IFERROR(VLOOKUP(MID(H618,2,1),Map!$J$2:$M$10,2,FALSE),""))</f>
        <v/>
      </c>
      <c r="K618" t="str">
        <f t="shared" si="95"/>
        <v/>
      </c>
      <c r="L618" t="str">
        <f t="shared" si="96"/>
        <v/>
      </c>
      <c r="M618" t="str">
        <f t="shared" si="97"/>
        <v/>
      </c>
      <c r="N618" t="str">
        <f t="shared" si="98"/>
        <v/>
      </c>
      <c r="O618" t="str">
        <f t="shared" si="99"/>
        <v/>
      </c>
      <c r="P618" t="str">
        <f>IF(OR(H618="",NOT(OR(LEFT(H618,1)="G",LEFT(H618,1)="R"))),"",IFERROR(VLOOKUP(MID(H618,3,1),Map!$G$2:$H$10,2,FALSE),""))</f>
        <v/>
      </c>
      <c r="Q618" t="str">
        <f>IF(A618="","",IFERROR(VLOOKUP(MID(A618,4,1),Map!$O$2:$P$10,2,FALSE),""))</f>
        <v/>
      </c>
    </row>
    <row r="619" spans="2:17" x14ac:dyDescent="0.25">
      <c r="B619" t="str">
        <f t="shared" si="90"/>
        <v/>
      </c>
      <c r="C619" t="str">
        <f t="shared" si="91"/>
        <v>**</v>
      </c>
      <c r="D619" t="str">
        <f t="shared" si="92"/>
        <v/>
      </c>
      <c r="E619" t="str">
        <f>IFERROR(VLOOKUP(MID(A619,7,2),Map!$A$2:$B$20,2,FALSE),"")</f>
        <v/>
      </c>
      <c r="F619" t="str">
        <f>IF(A619="","",IFERROR(VLOOKUP(MID(A619,9,2),Map!$R$2:$S$14,2,FALSE),""))</f>
        <v/>
      </c>
      <c r="G619" t="str">
        <f t="shared" si="93"/>
        <v/>
      </c>
      <c r="H619" t="str">
        <f t="shared" si="94"/>
        <v/>
      </c>
      <c r="I619" t="str">
        <f>IF(A619="","",IFERROR(VLOOKUP(LEFT(A619,1),Map!$D$2:$E$20,2,FALSE),""))</f>
        <v/>
      </c>
      <c r="J619" t="str">
        <f>IF(OR(H619="",NOT(OR(LEFT(H619,1)="G",LEFT(H619,1)="R"))),"",IFERROR(VLOOKUP(MID(H619,2,1),Map!$J$2:$M$10,2,FALSE),""))</f>
        <v/>
      </c>
      <c r="K619" t="str">
        <f t="shared" si="95"/>
        <v/>
      </c>
      <c r="L619" t="str">
        <f t="shared" si="96"/>
        <v/>
      </c>
      <c r="M619" t="str">
        <f t="shared" si="97"/>
        <v/>
      </c>
      <c r="N619" t="str">
        <f t="shared" si="98"/>
        <v/>
      </c>
      <c r="O619" t="str">
        <f t="shared" si="99"/>
        <v/>
      </c>
      <c r="P619" t="str">
        <f>IF(OR(H619="",NOT(OR(LEFT(H619,1)="G",LEFT(H619,1)="R"))),"",IFERROR(VLOOKUP(MID(H619,3,1),Map!$G$2:$H$10,2,FALSE),""))</f>
        <v/>
      </c>
      <c r="Q619" t="str">
        <f>IF(A619="","",IFERROR(VLOOKUP(MID(A619,4,1),Map!$O$2:$P$10,2,FALSE),""))</f>
        <v/>
      </c>
    </row>
    <row r="620" spans="2:17" x14ac:dyDescent="0.25">
      <c r="B620" t="str">
        <f t="shared" si="90"/>
        <v/>
      </c>
      <c r="C620" t="str">
        <f t="shared" si="91"/>
        <v>**</v>
      </c>
      <c r="D620" t="str">
        <f t="shared" si="92"/>
        <v/>
      </c>
      <c r="E620" t="str">
        <f>IFERROR(VLOOKUP(MID(A620,7,2),Map!$A$2:$B$20,2,FALSE),"")</f>
        <v/>
      </c>
      <c r="F620" t="str">
        <f>IF(A620="","",IFERROR(VLOOKUP(MID(A620,9,2),Map!$R$2:$S$14,2,FALSE),""))</f>
        <v/>
      </c>
      <c r="G620" t="str">
        <f t="shared" si="93"/>
        <v/>
      </c>
      <c r="H620" t="str">
        <f t="shared" si="94"/>
        <v/>
      </c>
      <c r="I620" t="str">
        <f>IF(A620="","",IFERROR(VLOOKUP(LEFT(A620,1),Map!$D$2:$E$20,2,FALSE),""))</f>
        <v/>
      </c>
      <c r="J620" t="str">
        <f>IF(OR(H620="",NOT(OR(LEFT(H620,1)="G",LEFT(H620,1)="R"))),"",IFERROR(VLOOKUP(MID(H620,2,1),Map!$J$2:$M$10,2,FALSE),""))</f>
        <v/>
      </c>
      <c r="K620" t="str">
        <f t="shared" si="95"/>
        <v/>
      </c>
      <c r="L620" t="str">
        <f t="shared" si="96"/>
        <v/>
      </c>
      <c r="M620" t="str">
        <f t="shared" si="97"/>
        <v/>
      </c>
      <c r="N620" t="str">
        <f t="shared" si="98"/>
        <v/>
      </c>
      <c r="O620" t="str">
        <f t="shared" si="99"/>
        <v/>
      </c>
      <c r="P620" t="str">
        <f>IF(OR(H620="",NOT(OR(LEFT(H620,1)="G",LEFT(H620,1)="R"))),"",IFERROR(VLOOKUP(MID(H620,3,1),Map!$G$2:$H$10,2,FALSE),""))</f>
        <v/>
      </c>
      <c r="Q620" t="str">
        <f>IF(A620="","",IFERROR(VLOOKUP(MID(A620,4,1),Map!$O$2:$P$10,2,FALSE),""))</f>
        <v/>
      </c>
    </row>
    <row r="621" spans="2:17" x14ac:dyDescent="0.25">
      <c r="B621" t="str">
        <f t="shared" si="90"/>
        <v/>
      </c>
      <c r="C621" t="str">
        <f t="shared" si="91"/>
        <v>**</v>
      </c>
      <c r="D621" t="str">
        <f t="shared" si="92"/>
        <v/>
      </c>
      <c r="E621" t="str">
        <f>IFERROR(VLOOKUP(MID(A621,7,2),Map!$A$2:$B$20,2,FALSE),"")</f>
        <v/>
      </c>
      <c r="F621" t="str">
        <f>IF(A621="","",IFERROR(VLOOKUP(MID(A621,9,2),Map!$R$2:$S$14,2,FALSE),""))</f>
        <v/>
      </c>
      <c r="G621" t="str">
        <f t="shared" si="93"/>
        <v/>
      </c>
      <c r="H621" t="str">
        <f t="shared" si="94"/>
        <v/>
      </c>
      <c r="I621" t="str">
        <f>IF(A621="","",IFERROR(VLOOKUP(LEFT(A621,1),Map!$D$2:$E$20,2,FALSE),""))</f>
        <v/>
      </c>
      <c r="J621" t="str">
        <f>IF(OR(H621="",NOT(OR(LEFT(H621,1)="G",LEFT(H621,1)="R"))),"",IFERROR(VLOOKUP(MID(H621,2,1),Map!$J$2:$M$10,2,FALSE),""))</f>
        <v/>
      </c>
      <c r="K621" t="str">
        <f t="shared" si="95"/>
        <v/>
      </c>
      <c r="L621" t="str">
        <f t="shared" si="96"/>
        <v/>
      </c>
      <c r="M621" t="str">
        <f t="shared" si="97"/>
        <v/>
      </c>
      <c r="N621" t="str">
        <f t="shared" si="98"/>
        <v/>
      </c>
      <c r="O621" t="str">
        <f t="shared" si="99"/>
        <v/>
      </c>
      <c r="P621" t="str">
        <f>IF(OR(H621="",NOT(OR(LEFT(H621,1)="G",LEFT(H621,1)="R"))),"",IFERROR(VLOOKUP(MID(H621,3,1),Map!$G$2:$H$10,2,FALSE),""))</f>
        <v/>
      </c>
      <c r="Q621" t="str">
        <f>IF(A621="","",IFERROR(VLOOKUP(MID(A621,4,1),Map!$O$2:$P$10,2,FALSE),""))</f>
        <v/>
      </c>
    </row>
    <row r="622" spans="2:17" x14ac:dyDescent="0.25">
      <c r="B622" t="str">
        <f t="shared" si="90"/>
        <v/>
      </c>
      <c r="C622" t="str">
        <f t="shared" si="91"/>
        <v>**</v>
      </c>
      <c r="D622" t="str">
        <f t="shared" si="92"/>
        <v/>
      </c>
      <c r="E622" t="str">
        <f>IFERROR(VLOOKUP(MID(A622,7,2),Map!$A$2:$B$20,2,FALSE),"")</f>
        <v/>
      </c>
      <c r="F622" t="str">
        <f>IF(A622="","",IFERROR(VLOOKUP(MID(A622,9,2),Map!$R$2:$S$14,2,FALSE),""))</f>
        <v/>
      </c>
      <c r="G622" t="str">
        <f t="shared" si="93"/>
        <v/>
      </c>
      <c r="H622" t="str">
        <f t="shared" si="94"/>
        <v/>
      </c>
      <c r="I622" t="str">
        <f>IF(A622="","",IFERROR(VLOOKUP(LEFT(A622,1),Map!$D$2:$E$20,2,FALSE),""))</f>
        <v/>
      </c>
      <c r="J622" t="str">
        <f>IF(OR(H622="",NOT(OR(LEFT(H622,1)="G",LEFT(H622,1)="R"))),"",IFERROR(VLOOKUP(MID(H622,2,1),Map!$J$2:$M$10,2,FALSE),""))</f>
        <v/>
      </c>
      <c r="K622" t="str">
        <f t="shared" si="95"/>
        <v/>
      </c>
      <c r="L622" t="str">
        <f t="shared" si="96"/>
        <v/>
      </c>
      <c r="M622" t="str">
        <f t="shared" si="97"/>
        <v/>
      </c>
      <c r="N622" t="str">
        <f t="shared" si="98"/>
        <v/>
      </c>
      <c r="O622" t="str">
        <f t="shared" si="99"/>
        <v/>
      </c>
      <c r="P622" t="str">
        <f>IF(OR(H622="",NOT(OR(LEFT(H622,1)="G",LEFT(H622,1)="R"))),"",IFERROR(VLOOKUP(MID(H622,3,1),Map!$G$2:$H$10,2,FALSE),""))</f>
        <v/>
      </c>
      <c r="Q622" t="str">
        <f>IF(A622="","",IFERROR(VLOOKUP(MID(A622,4,1),Map!$O$2:$P$10,2,FALSE),""))</f>
        <v/>
      </c>
    </row>
    <row r="623" spans="2:17" x14ac:dyDescent="0.25">
      <c r="B623" t="str">
        <f t="shared" si="90"/>
        <v/>
      </c>
      <c r="C623" t="str">
        <f t="shared" si="91"/>
        <v>**</v>
      </c>
      <c r="D623" t="str">
        <f t="shared" si="92"/>
        <v/>
      </c>
      <c r="E623" t="str">
        <f>IFERROR(VLOOKUP(MID(A623,7,2),Map!$A$2:$B$20,2,FALSE),"")</f>
        <v/>
      </c>
      <c r="F623" t="str">
        <f>IF(A623="","",IFERROR(VLOOKUP(MID(A623,9,2),Map!$R$2:$S$14,2,FALSE),""))</f>
        <v/>
      </c>
      <c r="G623" t="str">
        <f t="shared" si="93"/>
        <v/>
      </c>
      <c r="H623" t="str">
        <f t="shared" si="94"/>
        <v/>
      </c>
      <c r="I623" t="str">
        <f>IF(A623="","",IFERROR(VLOOKUP(LEFT(A623,1),Map!$D$2:$E$20,2,FALSE),""))</f>
        <v/>
      </c>
      <c r="J623" t="str">
        <f>IF(OR(H623="",NOT(OR(LEFT(H623,1)="G",LEFT(H623,1)="R"))),"",IFERROR(VLOOKUP(MID(H623,2,1),Map!$J$2:$M$10,2,FALSE),""))</f>
        <v/>
      </c>
      <c r="K623" t="str">
        <f t="shared" si="95"/>
        <v/>
      </c>
      <c r="L623" t="str">
        <f t="shared" si="96"/>
        <v/>
      </c>
      <c r="M623" t="str">
        <f t="shared" si="97"/>
        <v/>
      </c>
      <c r="N623" t="str">
        <f t="shared" si="98"/>
        <v/>
      </c>
      <c r="O623" t="str">
        <f t="shared" si="99"/>
        <v/>
      </c>
      <c r="P623" t="str">
        <f>IF(OR(H623="",NOT(OR(LEFT(H623,1)="G",LEFT(H623,1)="R"))),"",IFERROR(VLOOKUP(MID(H623,3,1),Map!$G$2:$H$10,2,FALSE),""))</f>
        <v/>
      </c>
      <c r="Q623" t="str">
        <f>IF(A623="","",IFERROR(VLOOKUP(MID(A623,4,1),Map!$O$2:$P$10,2,FALSE),""))</f>
        <v/>
      </c>
    </row>
    <row r="624" spans="2:17" x14ac:dyDescent="0.25">
      <c r="B624" t="str">
        <f t="shared" si="90"/>
        <v/>
      </c>
      <c r="C624" t="str">
        <f t="shared" si="91"/>
        <v>**</v>
      </c>
      <c r="D624" t="str">
        <f t="shared" si="92"/>
        <v/>
      </c>
      <c r="E624" t="str">
        <f>IFERROR(VLOOKUP(MID(A624,7,2),Map!$A$2:$B$20,2,FALSE),"")</f>
        <v/>
      </c>
      <c r="F624" t="str">
        <f>IF(A624="","",IFERROR(VLOOKUP(MID(A624,9,2),Map!$R$2:$S$14,2,FALSE),""))</f>
        <v/>
      </c>
      <c r="G624" t="str">
        <f t="shared" si="93"/>
        <v/>
      </c>
      <c r="H624" t="str">
        <f t="shared" si="94"/>
        <v/>
      </c>
      <c r="I624" t="str">
        <f>IF(A624="","",IFERROR(VLOOKUP(LEFT(A624,1),Map!$D$2:$E$20,2,FALSE),""))</f>
        <v/>
      </c>
      <c r="J624" t="str">
        <f>IF(OR(H624="",NOT(OR(LEFT(H624,1)="G",LEFT(H624,1)="R"))),"",IFERROR(VLOOKUP(MID(H624,2,1),Map!$J$2:$M$10,2,FALSE),""))</f>
        <v/>
      </c>
      <c r="K624" t="str">
        <f t="shared" si="95"/>
        <v/>
      </c>
      <c r="L624" t="str">
        <f t="shared" si="96"/>
        <v/>
      </c>
      <c r="M624" t="str">
        <f t="shared" si="97"/>
        <v/>
      </c>
      <c r="N624" t="str">
        <f t="shared" si="98"/>
        <v/>
      </c>
      <c r="O624" t="str">
        <f t="shared" si="99"/>
        <v/>
      </c>
      <c r="P624" t="str">
        <f>IF(OR(H624="",NOT(OR(LEFT(H624,1)="G",LEFT(H624,1)="R"))),"",IFERROR(VLOOKUP(MID(H624,3,1),Map!$G$2:$H$10,2,FALSE),""))</f>
        <v/>
      </c>
      <c r="Q624" t="str">
        <f>IF(A624="","",IFERROR(VLOOKUP(MID(A624,4,1),Map!$O$2:$P$10,2,FALSE),""))</f>
        <v/>
      </c>
    </row>
    <row r="625" spans="2:17" x14ac:dyDescent="0.25">
      <c r="B625" t="str">
        <f t="shared" si="90"/>
        <v/>
      </c>
      <c r="C625" t="str">
        <f t="shared" si="91"/>
        <v>**</v>
      </c>
      <c r="D625" t="str">
        <f t="shared" si="92"/>
        <v/>
      </c>
      <c r="E625" t="str">
        <f>IFERROR(VLOOKUP(MID(A625,7,2),Map!$A$2:$B$20,2,FALSE),"")</f>
        <v/>
      </c>
      <c r="F625" t="str">
        <f>IF(A625="","",IFERROR(VLOOKUP(MID(A625,9,2),Map!$R$2:$S$14,2,FALSE),""))</f>
        <v/>
      </c>
      <c r="G625" t="str">
        <f t="shared" si="93"/>
        <v/>
      </c>
      <c r="H625" t="str">
        <f t="shared" si="94"/>
        <v/>
      </c>
      <c r="I625" t="str">
        <f>IF(A625="","",IFERROR(VLOOKUP(LEFT(A625,1),Map!$D$2:$E$20,2,FALSE),""))</f>
        <v/>
      </c>
      <c r="J625" t="str">
        <f>IF(OR(H625="",NOT(OR(LEFT(H625,1)="G",LEFT(H625,1)="R"))),"",IFERROR(VLOOKUP(MID(H625,2,1),Map!$J$2:$M$10,2,FALSE),""))</f>
        <v/>
      </c>
      <c r="K625" t="str">
        <f t="shared" si="95"/>
        <v/>
      </c>
      <c r="L625" t="str">
        <f t="shared" si="96"/>
        <v/>
      </c>
      <c r="M625" t="str">
        <f t="shared" si="97"/>
        <v/>
      </c>
      <c r="N625" t="str">
        <f t="shared" si="98"/>
        <v/>
      </c>
      <c r="O625" t="str">
        <f t="shared" si="99"/>
        <v/>
      </c>
      <c r="P625" t="str">
        <f>IF(OR(H625="",NOT(OR(LEFT(H625,1)="G",LEFT(H625,1)="R"))),"",IFERROR(VLOOKUP(MID(H625,3,1),Map!$G$2:$H$10,2,FALSE),""))</f>
        <v/>
      </c>
      <c r="Q625" t="str">
        <f>IF(A625="","",IFERROR(VLOOKUP(MID(A625,4,1),Map!$O$2:$P$10,2,FALSE),""))</f>
        <v/>
      </c>
    </row>
    <row r="626" spans="2:17" x14ac:dyDescent="0.25">
      <c r="B626" t="str">
        <f t="shared" si="90"/>
        <v/>
      </c>
      <c r="C626" t="str">
        <f t="shared" si="91"/>
        <v>**</v>
      </c>
      <c r="D626" t="str">
        <f t="shared" si="92"/>
        <v/>
      </c>
      <c r="E626" t="str">
        <f>IFERROR(VLOOKUP(MID(A626,7,2),Map!$A$2:$B$20,2,FALSE),"")</f>
        <v/>
      </c>
      <c r="F626" t="str">
        <f>IF(A626="","",IFERROR(VLOOKUP(MID(A626,9,2),Map!$R$2:$S$14,2,FALSE),""))</f>
        <v/>
      </c>
      <c r="G626" t="str">
        <f t="shared" si="93"/>
        <v/>
      </c>
      <c r="H626" t="str">
        <f t="shared" si="94"/>
        <v/>
      </c>
      <c r="I626" t="str">
        <f>IF(A626="","",IFERROR(VLOOKUP(LEFT(A626,1),Map!$D$2:$E$20,2,FALSE),""))</f>
        <v/>
      </c>
      <c r="J626" t="str">
        <f>IF(OR(H626="",NOT(OR(LEFT(H626,1)="G",LEFT(H626,1)="R"))),"",IFERROR(VLOOKUP(MID(H626,2,1),Map!$J$2:$M$10,2,FALSE),""))</f>
        <v/>
      </c>
      <c r="K626" t="str">
        <f t="shared" si="95"/>
        <v/>
      </c>
      <c r="L626" t="str">
        <f t="shared" si="96"/>
        <v/>
      </c>
      <c r="M626" t="str">
        <f t="shared" si="97"/>
        <v/>
      </c>
      <c r="N626" t="str">
        <f t="shared" si="98"/>
        <v/>
      </c>
      <c r="O626" t="str">
        <f t="shared" si="99"/>
        <v/>
      </c>
      <c r="P626" t="str">
        <f>IF(OR(H626="",NOT(OR(LEFT(H626,1)="G",LEFT(H626,1)="R"))),"",IFERROR(VLOOKUP(MID(H626,3,1),Map!$G$2:$H$10,2,FALSE),""))</f>
        <v/>
      </c>
      <c r="Q626" t="str">
        <f>IF(A626="","",IFERROR(VLOOKUP(MID(A626,4,1),Map!$O$2:$P$10,2,FALSE),""))</f>
        <v/>
      </c>
    </row>
    <row r="627" spans="2:17" x14ac:dyDescent="0.25">
      <c r="B627" t="str">
        <f t="shared" si="90"/>
        <v/>
      </c>
      <c r="C627" t="str">
        <f t="shared" si="91"/>
        <v>**</v>
      </c>
      <c r="D627" t="str">
        <f t="shared" si="92"/>
        <v/>
      </c>
      <c r="E627" t="str">
        <f>IFERROR(VLOOKUP(MID(A627,7,2),Map!$A$2:$B$20,2,FALSE),"")</f>
        <v/>
      </c>
      <c r="F627" t="str">
        <f>IF(A627="","",IFERROR(VLOOKUP(MID(A627,9,2),Map!$R$2:$S$14,2,FALSE),""))</f>
        <v/>
      </c>
      <c r="G627" t="str">
        <f t="shared" si="93"/>
        <v/>
      </c>
      <c r="H627" t="str">
        <f t="shared" si="94"/>
        <v/>
      </c>
      <c r="I627" t="str">
        <f>IF(A627="","",IFERROR(VLOOKUP(LEFT(A627,1),Map!$D$2:$E$20,2,FALSE),""))</f>
        <v/>
      </c>
      <c r="J627" t="str">
        <f>IF(OR(H627="",NOT(OR(LEFT(H627,1)="G",LEFT(H627,1)="R"))),"",IFERROR(VLOOKUP(MID(H627,2,1),Map!$J$2:$M$10,2,FALSE),""))</f>
        <v/>
      </c>
      <c r="K627" t="str">
        <f t="shared" si="95"/>
        <v/>
      </c>
      <c r="L627" t="str">
        <f t="shared" si="96"/>
        <v/>
      </c>
      <c r="M627" t="str">
        <f t="shared" si="97"/>
        <v/>
      </c>
      <c r="N627" t="str">
        <f t="shared" si="98"/>
        <v/>
      </c>
      <c r="O627" t="str">
        <f t="shared" si="99"/>
        <v/>
      </c>
      <c r="P627" t="str">
        <f>IF(OR(H627="",NOT(OR(LEFT(H627,1)="G",LEFT(H627,1)="R"))),"",IFERROR(VLOOKUP(MID(H627,3,1),Map!$G$2:$H$10,2,FALSE),""))</f>
        <v/>
      </c>
      <c r="Q627" t="str">
        <f>IF(A627="","",IFERROR(VLOOKUP(MID(A627,4,1),Map!$O$2:$P$10,2,FALSE),""))</f>
        <v/>
      </c>
    </row>
    <row r="628" spans="2:17" x14ac:dyDescent="0.25">
      <c r="B628" t="str">
        <f t="shared" si="90"/>
        <v/>
      </c>
      <c r="C628" t="str">
        <f t="shared" si="91"/>
        <v>**</v>
      </c>
      <c r="D628" t="str">
        <f t="shared" si="92"/>
        <v/>
      </c>
      <c r="E628" t="str">
        <f>IFERROR(VLOOKUP(MID(A628,7,2),Map!$A$2:$B$20,2,FALSE),"")</f>
        <v/>
      </c>
      <c r="F628" t="str">
        <f>IF(A628="","",IFERROR(VLOOKUP(MID(A628,9,2),Map!$R$2:$S$14,2,FALSE),""))</f>
        <v/>
      </c>
      <c r="G628" t="str">
        <f t="shared" si="93"/>
        <v/>
      </c>
      <c r="H628" t="str">
        <f t="shared" si="94"/>
        <v/>
      </c>
      <c r="I628" t="str">
        <f>IF(A628="","",IFERROR(VLOOKUP(LEFT(A628,1),Map!$D$2:$E$20,2,FALSE),""))</f>
        <v/>
      </c>
      <c r="J628" t="str">
        <f>IF(OR(H628="",NOT(OR(LEFT(H628,1)="G",LEFT(H628,1)="R"))),"",IFERROR(VLOOKUP(MID(H628,2,1),Map!$J$2:$M$10,2,FALSE),""))</f>
        <v/>
      </c>
      <c r="K628" t="str">
        <f t="shared" si="95"/>
        <v/>
      </c>
      <c r="L628" t="str">
        <f t="shared" si="96"/>
        <v/>
      </c>
      <c r="M628" t="str">
        <f t="shared" si="97"/>
        <v/>
      </c>
      <c r="N628" t="str">
        <f t="shared" si="98"/>
        <v/>
      </c>
      <c r="O628" t="str">
        <f t="shared" si="99"/>
        <v/>
      </c>
      <c r="P628" t="str">
        <f>IF(OR(H628="",NOT(OR(LEFT(H628,1)="G",LEFT(H628,1)="R"))),"",IFERROR(VLOOKUP(MID(H628,3,1),Map!$G$2:$H$10,2,FALSE),""))</f>
        <v/>
      </c>
      <c r="Q628" t="str">
        <f>IF(A628="","",IFERROR(VLOOKUP(MID(A628,4,1),Map!$O$2:$P$10,2,FALSE),""))</f>
        <v/>
      </c>
    </row>
    <row r="629" spans="2:17" x14ac:dyDescent="0.25">
      <c r="B629" t="str">
        <f t="shared" si="90"/>
        <v/>
      </c>
      <c r="C629" t="str">
        <f t="shared" si="91"/>
        <v>**</v>
      </c>
      <c r="D629" t="str">
        <f t="shared" si="92"/>
        <v/>
      </c>
      <c r="E629" t="str">
        <f>IFERROR(VLOOKUP(MID(A629,7,2),Map!$A$2:$B$20,2,FALSE),"")</f>
        <v/>
      </c>
      <c r="F629" t="str">
        <f>IF(A629="","",IFERROR(VLOOKUP(MID(A629,9,2),Map!$R$2:$S$14,2,FALSE),""))</f>
        <v/>
      </c>
      <c r="G629" t="str">
        <f t="shared" si="93"/>
        <v/>
      </c>
      <c r="H629" t="str">
        <f t="shared" si="94"/>
        <v/>
      </c>
      <c r="I629" t="str">
        <f>IF(A629="","",IFERROR(VLOOKUP(LEFT(A629,1),Map!$D$2:$E$20,2,FALSE),""))</f>
        <v/>
      </c>
      <c r="J629" t="str">
        <f>IF(OR(H629="",NOT(OR(LEFT(H629,1)="G",LEFT(H629,1)="R"))),"",IFERROR(VLOOKUP(MID(H629,2,1),Map!$J$2:$M$10,2,FALSE),""))</f>
        <v/>
      </c>
      <c r="K629" t="str">
        <f t="shared" si="95"/>
        <v/>
      </c>
      <c r="L629" t="str">
        <f t="shared" si="96"/>
        <v/>
      </c>
      <c r="M629" t="str">
        <f t="shared" si="97"/>
        <v/>
      </c>
      <c r="N629" t="str">
        <f t="shared" si="98"/>
        <v/>
      </c>
      <c r="O629" t="str">
        <f t="shared" si="99"/>
        <v/>
      </c>
      <c r="P629" t="str">
        <f>IF(OR(H629="",NOT(OR(LEFT(H629,1)="G",LEFT(H629,1)="R"))),"",IFERROR(VLOOKUP(MID(H629,3,1),Map!$G$2:$H$10,2,FALSE),""))</f>
        <v/>
      </c>
      <c r="Q629" t="str">
        <f>IF(A629="","",IFERROR(VLOOKUP(MID(A629,4,1),Map!$O$2:$P$10,2,FALSE),""))</f>
        <v/>
      </c>
    </row>
    <row r="630" spans="2:17" x14ac:dyDescent="0.25">
      <c r="B630" t="str">
        <f t="shared" si="90"/>
        <v/>
      </c>
      <c r="C630" t="str">
        <f t="shared" si="91"/>
        <v>**</v>
      </c>
      <c r="D630" t="str">
        <f t="shared" si="92"/>
        <v/>
      </c>
      <c r="E630" t="str">
        <f>IFERROR(VLOOKUP(MID(A630,7,2),Map!$A$2:$B$20,2,FALSE),"")</f>
        <v/>
      </c>
      <c r="F630" t="str">
        <f>IF(A630="","",IFERROR(VLOOKUP(MID(A630,9,2),Map!$R$2:$S$14,2,FALSE),""))</f>
        <v/>
      </c>
      <c r="G630" t="str">
        <f t="shared" si="93"/>
        <v/>
      </c>
      <c r="H630" t="str">
        <f t="shared" si="94"/>
        <v/>
      </c>
      <c r="I630" t="str">
        <f>IF(A630="","",IFERROR(VLOOKUP(LEFT(A630,1),Map!$D$2:$E$20,2,FALSE),""))</f>
        <v/>
      </c>
      <c r="J630" t="str">
        <f>IF(OR(H630="",NOT(OR(LEFT(H630,1)="G",LEFT(H630,1)="R"))),"",IFERROR(VLOOKUP(MID(H630,2,1),Map!$J$2:$M$10,2,FALSE),""))</f>
        <v/>
      </c>
      <c r="K630" t="str">
        <f t="shared" si="95"/>
        <v/>
      </c>
      <c r="L630" t="str">
        <f t="shared" si="96"/>
        <v/>
      </c>
      <c r="M630" t="str">
        <f t="shared" si="97"/>
        <v/>
      </c>
      <c r="N630" t="str">
        <f t="shared" si="98"/>
        <v/>
      </c>
      <c r="O630" t="str">
        <f t="shared" si="99"/>
        <v/>
      </c>
      <c r="P630" t="str">
        <f>IF(OR(H630="",NOT(OR(LEFT(H630,1)="G",LEFT(H630,1)="R"))),"",IFERROR(VLOOKUP(MID(H630,3,1),Map!$G$2:$H$10,2,FALSE),""))</f>
        <v/>
      </c>
      <c r="Q630" t="str">
        <f>IF(A630="","",IFERROR(VLOOKUP(MID(A630,4,1),Map!$O$2:$P$10,2,FALSE),""))</f>
        <v/>
      </c>
    </row>
    <row r="631" spans="2:17" x14ac:dyDescent="0.25">
      <c r="B631" t="str">
        <f t="shared" si="90"/>
        <v/>
      </c>
      <c r="C631" t="str">
        <f t="shared" si="91"/>
        <v>**</v>
      </c>
      <c r="D631" t="str">
        <f t="shared" si="92"/>
        <v/>
      </c>
      <c r="E631" t="str">
        <f>IFERROR(VLOOKUP(MID(A631,7,2),Map!$A$2:$B$20,2,FALSE),"")</f>
        <v/>
      </c>
      <c r="F631" t="str">
        <f>IF(A631="","",IFERROR(VLOOKUP(MID(A631,9,2),Map!$R$2:$S$14,2,FALSE),""))</f>
        <v/>
      </c>
      <c r="G631" t="str">
        <f t="shared" si="93"/>
        <v/>
      </c>
      <c r="H631" t="str">
        <f t="shared" si="94"/>
        <v/>
      </c>
      <c r="I631" t="str">
        <f>IF(A631="","",IFERROR(VLOOKUP(LEFT(A631,1),Map!$D$2:$E$20,2,FALSE),""))</f>
        <v/>
      </c>
      <c r="J631" t="str">
        <f>IF(OR(H631="",NOT(OR(LEFT(H631,1)="G",LEFT(H631,1)="R"))),"",IFERROR(VLOOKUP(MID(H631,2,1),Map!$J$2:$M$10,2,FALSE),""))</f>
        <v/>
      </c>
      <c r="K631" t="str">
        <f t="shared" si="95"/>
        <v/>
      </c>
      <c r="L631" t="str">
        <f t="shared" si="96"/>
        <v/>
      </c>
      <c r="M631" t="str">
        <f t="shared" si="97"/>
        <v/>
      </c>
      <c r="N631" t="str">
        <f t="shared" si="98"/>
        <v/>
      </c>
      <c r="O631" t="str">
        <f t="shared" si="99"/>
        <v/>
      </c>
      <c r="P631" t="str">
        <f>IF(OR(H631="",NOT(OR(LEFT(H631,1)="G",LEFT(H631,1)="R"))),"",IFERROR(VLOOKUP(MID(H631,3,1),Map!$G$2:$H$10,2,FALSE),""))</f>
        <v/>
      </c>
      <c r="Q631" t="str">
        <f>IF(A631="","",IFERROR(VLOOKUP(MID(A631,4,1),Map!$O$2:$P$10,2,FALSE),""))</f>
        <v/>
      </c>
    </row>
    <row r="632" spans="2:17" x14ac:dyDescent="0.25">
      <c r="B632" t="str">
        <f t="shared" si="90"/>
        <v/>
      </c>
      <c r="C632" t="str">
        <f t="shared" si="91"/>
        <v>**</v>
      </c>
      <c r="D632" t="str">
        <f t="shared" si="92"/>
        <v/>
      </c>
      <c r="E632" t="str">
        <f>IFERROR(VLOOKUP(MID(A632,7,2),Map!$A$2:$B$20,2,FALSE),"")</f>
        <v/>
      </c>
      <c r="F632" t="str">
        <f>IF(A632="","",IFERROR(VLOOKUP(MID(A632,9,2),Map!$R$2:$S$14,2,FALSE),""))</f>
        <v/>
      </c>
      <c r="G632" t="str">
        <f t="shared" si="93"/>
        <v/>
      </c>
      <c r="H632" t="str">
        <f t="shared" si="94"/>
        <v/>
      </c>
      <c r="I632" t="str">
        <f>IF(A632="","",IFERROR(VLOOKUP(LEFT(A632,1),Map!$D$2:$E$20,2,FALSE),""))</f>
        <v/>
      </c>
      <c r="J632" t="str">
        <f>IF(OR(H632="",NOT(OR(LEFT(H632,1)="G",LEFT(H632,1)="R"))),"",IFERROR(VLOOKUP(MID(H632,2,1),Map!$J$2:$M$10,2,FALSE),""))</f>
        <v/>
      </c>
      <c r="K632" t="str">
        <f t="shared" si="95"/>
        <v/>
      </c>
      <c r="L632" t="str">
        <f t="shared" si="96"/>
        <v/>
      </c>
      <c r="M632" t="str">
        <f t="shared" si="97"/>
        <v/>
      </c>
      <c r="N632" t="str">
        <f t="shared" si="98"/>
        <v/>
      </c>
      <c r="O632" t="str">
        <f t="shared" si="99"/>
        <v/>
      </c>
      <c r="P632" t="str">
        <f>IF(OR(H632="",NOT(OR(LEFT(H632,1)="G",LEFT(H632,1)="R"))),"",IFERROR(VLOOKUP(MID(H632,3,1),Map!$G$2:$H$10,2,FALSE),""))</f>
        <v/>
      </c>
      <c r="Q632" t="str">
        <f>IF(A632="","",IFERROR(VLOOKUP(MID(A632,4,1),Map!$O$2:$P$10,2,FALSE),""))</f>
        <v/>
      </c>
    </row>
    <row r="633" spans="2:17" x14ac:dyDescent="0.25">
      <c r="B633" t="str">
        <f t="shared" si="90"/>
        <v/>
      </c>
      <c r="C633" t="str">
        <f t="shared" si="91"/>
        <v>**</v>
      </c>
      <c r="D633" t="str">
        <f t="shared" si="92"/>
        <v/>
      </c>
      <c r="E633" t="str">
        <f>IFERROR(VLOOKUP(MID(A633,7,2),Map!$A$2:$B$20,2,FALSE),"")</f>
        <v/>
      </c>
      <c r="F633" t="str">
        <f>IF(A633="","",IFERROR(VLOOKUP(MID(A633,9,2),Map!$R$2:$S$14,2,FALSE),""))</f>
        <v/>
      </c>
      <c r="G633" t="str">
        <f t="shared" si="93"/>
        <v/>
      </c>
      <c r="H633" t="str">
        <f t="shared" si="94"/>
        <v/>
      </c>
      <c r="I633" t="str">
        <f>IF(A633="","",IFERROR(VLOOKUP(LEFT(A633,1),Map!$D$2:$E$20,2,FALSE),""))</f>
        <v/>
      </c>
      <c r="J633" t="str">
        <f>IF(OR(H633="",NOT(OR(LEFT(H633,1)="G",LEFT(H633,1)="R"))),"",IFERROR(VLOOKUP(MID(H633,2,1),Map!$J$2:$M$10,2,FALSE),""))</f>
        <v/>
      </c>
      <c r="K633" t="str">
        <f t="shared" si="95"/>
        <v/>
      </c>
      <c r="L633" t="str">
        <f t="shared" si="96"/>
        <v/>
      </c>
      <c r="M633" t="str">
        <f t="shared" si="97"/>
        <v/>
      </c>
      <c r="N633" t="str">
        <f t="shared" si="98"/>
        <v/>
      </c>
      <c r="O633" t="str">
        <f t="shared" si="99"/>
        <v/>
      </c>
      <c r="P633" t="str">
        <f>IF(OR(H633="",NOT(OR(LEFT(H633,1)="G",LEFT(H633,1)="R"))),"",IFERROR(VLOOKUP(MID(H633,3,1),Map!$G$2:$H$10,2,FALSE),""))</f>
        <v/>
      </c>
      <c r="Q633" t="str">
        <f>IF(A633="","",IFERROR(VLOOKUP(MID(A633,4,1),Map!$O$2:$P$10,2,FALSE),""))</f>
        <v/>
      </c>
    </row>
    <row r="634" spans="2:17" x14ac:dyDescent="0.25">
      <c r="B634" t="str">
        <f t="shared" si="90"/>
        <v/>
      </c>
      <c r="C634" t="str">
        <f t="shared" si="91"/>
        <v>**</v>
      </c>
      <c r="D634" t="str">
        <f t="shared" si="92"/>
        <v/>
      </c>
      <c r="E634" t="str">
        <f>IFERROR(VLOOKUP(MID(A634,7,2),Map!$A$2:$B$20,2,FALSE),"")</f>
        <v/>
      </c>
      <c r="F634" t="str">
        <f>IF(A634="","",IFERROR(VLOOKUP(MID(A634,9,2),Map!$R$2:$S$14,2,FALSE),""))</f>
        <v/>
      </c>
      <c r="G634" t="str">
        <f t="shared" si="93"/>
        <v/>
      </c>
      <c r="H634" t="str">
        <f t="shared" si="94"/>
        <v/>
      </c>
      <c r="I634" t="str">
        <f>IF(A634="","",IFERROR(VLOOKUP(LEFT(A634,1),Map!$D$2:$E$20,2,FALSE),""))</f>
        <v/>
      </c>
      <c r="J634" t="str">
        <f>IF(OR(H634="",NOT(OR(LEFT(H634,1)="G",LEFT(H634,1)="R"))),"",IFERROR(VLOOKUP(MID(H634,2,1),Map!$J$2:$M$10,2,FALSE),""))</f>
        <v/>
      </c>
      <c r="K634" t="str">
        <f t="shared" si="95"/>
        <v/>
      </c>
      <c r="L634" t="str">
        <f t="shared" si="96"/>
        <v/>
      </c>
      <c r="M634" t="str">
        <f t="shared" si="97"/>
        <v/>
      </c>
      <c r="N634" t="str">
        <f t="shared" si="98"/>
        <v/>
      </c>
      <c r="O634" t="str">
        <f t="shared" si="99"/>
        <v/>
      </c>
      <c r="P634" t="str">
        <f>IF(OR(H634="",NOT(OR(LEFT(H634,1)="G",LEFT(H634,1)="R"))),"",IFERROR(VLOOKUP(MID(H634,3,1),Map!$G$2:$H$10,2,FALSE),""))</f>
        <v/>
      </c>
      <c r="Q634" t="str">
        <f>IF(A634="","",IFERROR(VLOOKUP(MID(A634,4,1),Map!$O$2:$P$10,2,FALSE),""))</f>
        <v/>
      </c>
    </row>
    <row r="635" spans="2:17" x14ac:dyDescent="0.25">
      <c r="B635" t="str">
        <f t="shared" si="90"/>
        <v/>
      </c>
      <c r="C635" t="str">
        <f t="shared" si="91"/>
        <v>**</v>
      </c>
      <c r="D635" t="str">
        <f t="shared" si="92"/>
        <v/>
      </c>
      <c r="E635" t="str">
        <f>IFERROR(VLOOKUP(MID(A635,7,2),Map!$A$2:$B$20,2,FALSE),"")</f>
        <v/>
      </c>
      <c r="F635" t="str">
        <f>IF(A635="","",IFERROR(VLOOKUP(MID(A635,9,2),Map!$R$2:$S$14,2,FALSE),""))</f>
        <v/>
      </c>
      <c r="G635" t="str">
        <f t="shared" si="93"/>
        <v/>
      </c>
      <c r="H635" t="str">
        <f t="shared" si="94"/>
        <v/>
      </c>
      <c r="I635" t="str">
        <f>IF(A635="","",IFERROR(VLOOKUP(LEFT(A635,1),Map!$D$2:$E$20,2,FALSE),""))</f>
        <v/>
      </c>
      <c r="J635" t="str">
        <f>IF(OR(H635="",NOT(OR(LEFT(H635,1)="G",LEFT(H635,1)="R"))),"",IFERROR(VLOOKUP(MID(H635,2,1),Map!$J$2:$M$10,2,FALSE),""))</f>
        <v/>
      </c>
      <c r="K635" t="str">
        <f t="shared" si="95"/>
        <v/>
      </c>
      <c r="L635" t="str">
        <f t="shared" si="96"/>
        <v/>
      </c>
      <c r="M635" t="str">
        <f t="shared" si="97"/>
        <v/>
      </c>
      <c r="N635" t="str">
        <f t="shared" si="98"/>
        <v/>
      </c>
      <c r="O635" t="str">
        <f t="shared" si="99"/>
        <v/>
      </c>
      <c r="P635" t="str">
        <f>IF(OR(H635="",NOT(OR(LEFT(H635,1)="G",LEFT(H635,1)="R"))),"",IFERROR(VLOOKUP(MID(H635,3,1),Map!$G$2:$H$10,2,FALSE),""))</f>
        <v/>
      </c>
      <c r="Q635" t="str">
        <f>IF(A635="","",IFERROR(VLOOKUP(MID(A635,4,1),Map!$O$2:$P$10,2,FALSE),""))</f>
        <v/>
      </c>
    </row>
    <row r="636" spans="2:17" x14ac:dyDescent="0.25">
      <c r="B636" t="str">
        <f t="shared" si="90"/>
        <v/>
      </c>
      <c r="C636" t="str">
        <f t="shared" si="91"/>
        <v>**</v>
      </c>
      <c r="D636" t="str">
        <f t="shared" si="92"/>
        <v/>
      </c>
      <c r="E636" t="str">
        <f>IFERROR(VLOOKUP(MID(A636,7,2),Map!$A$2:$B$20,2,FALSE),"")</f>
        <v/>
      </c>
      <c r="F636" t="str">
        <f>IF(A636="","",IFERROR(VLOOKUP(MID(A636,9,2),Map!$R$2:$S$14,2,FALSE),""))</f>
        <v/>
      </c>
      <c r="G636" t="str">
        <f t="shared" si="93"/>
        <v/>
      </c>
      <c r="H636" t="str">
        <f t="shared" si="94"/>
        <v/>
      </c>
      <c r="I636" t="str">
        <f>IF(A636="","",IFERROR(VLOOKUP(LEFT(A636,1),Map!$D$2:$E$20,2,FALSE),""))</f>
        <v/>
      </c>
      <c r="J636" t="str">
        <f>IF(OR(H636="",NOT(OR(LEFT(H636,1)="G",LEFT(H636,1)="R"))),"",IFERROR(VLOOKUP(MID(H636,2,1),Map!$J$2:$M$10,2,FALSE),""))</f>
        <v/>
      </c>
      <c r="K636" t="str">
        <f t="shared" si="95"/>
        <v/>
      </c>
      <c r="L636" t="str">
        <f t="shared" si="96"/>
        <v/>
      </c>
      <c r="M636" t="str">
        <f t="shared" si="97"/>
        <v/>
      </c>
      <c r="N636" t="str">
        <f t="shared" si="98"/>
        <v/>
      </c>
      <c r="O636" t="str">
        <f t="shared" si="99"/>
        <v/>
      </c>
      <c r="P636" t="str">
        <f>IF(OR(H636="",NOT(OR(LEFT(H636,1)="G",LEFT(H636,1)="R"))),"",IFERROR(VLOOKUP(MID(H636,3,1),Map!$G$2:$H$10,2,FALSE),""))</f>
        <v/>
      </c>
      <c r="Q636" t="str">
        <f>IF(A636="","",IFERROR(VLOOKUP(MID(A636,4,1),Map!$O$2:$P$10,2,FALSE),""))</f>
        <v/>
      </c>
    </row>
    <row r="637" spans="2:17" x14ac:dyDescent="0.25">
      <c r="B637" t="str">
        <f t="shared" si="90"/>
        <v/>
      </c>
      <c r="C637" t="str">
        <f t="shared" si="91"/>
        <v>**</v>
      </c>
      <c r="D637" t="str">
        <f t="shared" si="92"/>
        <v/>
      </c>
      <c r="E637" t="str">
        <f>IFERROR(VLOOKUP(MID(A637,7,2),Map!$A$2:$B$20,2,FALSE),"")</f>
        <v/>
      </c>
      <c r="F637" t="str">
        <f>IF(A637="","",IFERROR(VLOOKUP(MID(A637,9,2),Map!$R$2:$S$14,2,FALSE),""))</f>
        <v/>
      </c>
      <c r="G637" t="str">
        <f t="shared" si="93"/>
        <v/>
      </c>
      <c r="H637" t="str">
        <f t="shared" si="94"/>
        <v/>
      </c>
      <c r="I637" t="str">
        <f>IF(A637="","",IFERROR(VLOOKUP(LEFT(A637,1),Map!$D$2:$E$20,2,FALSE),""))</f>
        <v/>
      </c>
      <c r="J637" t="str">
        <f>IF(OR(H637="",NOT(OR(LEFT(H637,1)="G",LEFT(H637,1)="R"))),"",IFERROR(VLOOKUP(MID(H637,2,1),Map!$J$2:$M$10,2,FALSE),""))</f>
        <v/>
      </c>
      <c r="K637" t="str">
        <f t="shared" si="95"/>
        <v/>
      </c>
      <c r="L637" t="str">
        <f t="shared" si="96"/>
        <v/>
      </c>
      <c r="M637" t="str">
        <f t="shared" si="97"/>
        <v/>
      </c>
      <c r="N637" t="str">
        <f t="shared" si="98"/>
        <v/>
      </c>
      <c r="O637" t="str">
        <f t="shared" si="99"/>
        <v/>
      </c>
      <c r="P637" t="str">
        <f>IF(OR(H637="",NOT(OR(LEFT(H637,1)="G",LEFT(H637,1)="R"))),"",IFERROR(VLOOKUP(MID(H637,3,1),Map!$G$2:$H$10,2,FALSE),""))</f>
        <v/>
      </c>
      <c r="Q637" t="str">
        <f>IF(A637="","",IFERROR(VLOOKUP(MID(A637,4,1),Map!$O$2:$P$10,2,FALSE),""))</f>
        <v/>
      </c>
    </row>
    <row r="638" spans="2:17" x14ac:dyDescent="0.25">
      <c r="B638" t="str">
        <f t="shared" si="90"/>
        <v/>
      </c>
      <c r="C638" t="str">
        <f t="shared" si="91"/>
        <v>**</v>
      </c>
      <c r="D638" t="str">
        <f t="shared" si="92"/>
        <v/>
      </c>
      <c r="E638" t="str">
        <f>IFERROR(VLOOKUP(MID(A638,7,2),Map!$A$2:$B$20,2,FALSE),"")</f>
        <v/>
      </c>
      <c r="F638" t="str">
        <f>IF(A638="","",IFERROR(VLOOKUP(MID(A638,9,2),Map!$R$2:$S$14,2,FALSE),""))</f>
        <v/>
      </c>
      <c r="G638" t="str">
        <f t="shared" si="93"/>
        <v/>
      </c>
      <c r="H638" t="str">
        <f t="shared" si="94"/>
        <v/>
      </c>
      <c r="I638" t="str">
        <f>IF(A638="","",IFERROR(VLOOKUP(LEFT(A638,1),Map!$D$2:$E$20,2,FALSE),""))</f>
        <v/>
      </c>
      <c r="J638" t="str">
        <f>IF(OR(H638="",NOT(OR(LEFT(H638,1)="G",LEFT(H638,1)="R"))),"",IFERROR(VLOOKUP(MID(H638,2,1),Map!$J$2:$M$10,2,FALSE),""))</f>
        <v/>
      </c>
      <c r="K638" t="str">
        <f t="shared" si="95"/>
        <v/>
      </c>
      <c r="L638" t="str">
        <f t="shared" si="96"/>
        <v/>
      </c>
      <c r="M638" t="str">
        <f t="shared" si="97"/>
        <v/>
      </c>
      <c r="N638" t="str">
        <f t="shared" si="98"/>
        <v/>
      </c>
      <c r="O638" t="str">
        <f t="shared" si="99"/>
        <v/>
      </c>
      <c r="P638" t="str">
        <f>IF(OR(H638="",NOT(OR(LEFT(H638,1)="G",LEFT(H638,1)="R"))),"",IFERROR(VLOOKUP(MID(H638,3,1),Map!$G$2:$H$10,2,FALSE),""))</f>
        <v/>
      </c>
      <c r="Q638" t="str">
        <f>IF(A638="","",IFERROR(VLOOKUP(MID(A638,4,1),Map!$O$2:$P$10,2,FALSE),""))</f>
        <v/>
      </c>
    </row>
    <row r="639" spans="2:17" x14ac:dyDescent="0.25">
      <c r="B639" t="str">
        <f t="shared" si="90"/>
        <v/>
      </c>
      <c r="C639" t="str">
        <f t="shared" si="91"/>
        <v>**</v>
      </c>
      <c r="D639" t="str">
        <f t="shared" si="92"/>
        <v/>
      </c>
      <c r="E639" t="str">
        <f>IFERROR(VLOOKUP(MID(A639,7,2),Map!$A$2:$B$20,2,FALSE),"")</f>
        <v/>
      </c>
      <c r="F639" t="str">
        <f>IF(A639="","",IFERROR(VLOOKUP(MID(A639,9,2),Map!$R$2:$S$14,2,FALSE),""))</f>
        <v/>
      </c>
      <c r="G639" t="str">
        <f t="shared" si="93"/>
        <v/>
      </c>
      <c r="H639" t="str">
        <f t="shared" si="94"/>
        <v/>
      </c>
      <c r="I639" t="str">
        <f>IF(A639="","",IFERROR(VLOOKUP(LEFT(A639,1),Map!$D$2:$E$20,2,FALSE),""))</f>
        <v/>
      </c>
      <c r="J639" t="str">
        <f>IF(OR(H639="",NOT(OR(LEFT(H639,1)="G",LEFT(H639,1)="R"))),"",IFERROR(VLOOKUP(MID(H639,2,1),Map!$J$2:$M$10,2,FALSE),""))</f>
        <v/>
      </c>
      <c r="K639" t="str">
        <f t="shared" si="95"/>
        <v/>
      </c>
      <c r="L639" t="str">
        <f t="shared" si="96"/>
        <v/>
      </c>
      <c r="M639" t="str">
        <f t="shared" si="97"/>
        <v/>
      </c>
      <c r="N639" t="str">
        <f t="shared" si="98"/>
        <v/>
      </c>
      <c r="O639" t="str">
        <f t="shared" si="99"/>
        <v/>
      </c>
      <c r="P639" t="str">
        <f>IF(OR(H639="",NOT(OR(LEFT(H639,1)="G",LEFT(H639,1)="R"))),"",IFERROR(VLOOKUP(MID(H639,3,1),Map!$G$2:$H$10,2,FALSE),""))</f>
        <v/>
      </c>
      <c r="Q639" t="str">
        <f>IF(A639="","",IFERROR(VLOOKUP(MID(A639,4,1),Map!$O$2:$P$10,2,FALSE),""))</f>
        <v/>
      </c>
    </row>
    <row r="640" spans="2:17" x14ac:dyDescent="0.25">
      <c r="B640" t="str">
        <f t="shared" si="90"/>
        <v/>
      </c>
      <c r="C640" t="str">
        <f t="shared" si="91"/>
        <v>**</v>
      </c>
      <c r="D640" t="str">
        <f t="shared" si="92"/>
        <v/>
      </c>
      <c r="E640" t="str">
        <f>IFERROR(VLOOKUP(MID(A640,7,2),Map!$A$2:$B$20,2,FALSE),"")</f>
        <v/>
      </c>
      <c r="F640" t="str">
        <f>IF(A640="","",IFERROR(VLOOKUP(MID(A640,9,2),Map!$R$2:$S$14,2,FALSE),""))</f>
        <v/>
      </c>
      <c r="G640" t="str">
        <f t="shared" si="93"/>
        <v/>
      </c>
      <c r="H640" t="str">
        <f t="shared" si="94"/>
        <v/>
      </c>
      <c r="I640" t="str">
        <f>IF(A640="","",IFERROR(VLOOKUP(LEFT(A640,1),Map!$D$2:$E$20,2,FALSE),""))</f>
        <v/>
      </c>
      <c r="J640" t="str">
        <f>IF(OR(H640="",NOT(OR(LEFT(H640,1)="G",LEFT(H640,1)="R"))),"",IFERROR(VLOOKUP(MID(H640,2,1),Map!$J$2:$M$10,2,FALSE),""))</f>
        <v/>
      </c>
      <c r="K640" t="str">
        <f t="shared" si="95"/>
        <v/>
      </c>
      <c r="L640" t="str">
        <f t="shared" si="96"/>
        <v/>
      </c>
      <c r="M640" t="str">
        <f t="shared" si="97"/>
        <v/>
      </c>
      <c r="N640" t="str">
        <f t="shared" si="98"/>
        <v/>
      </c>
      <c r="O640" t="str">
        <f t="shared" si="99"/>
        <v/>
      </c>
      <c r="P640" t="str">
        <f>IF(OR(H640="",NOT(OR(LEFT(H640,1)="G",LEFT(H640,1)="R"))),"",IFERROR(VLOOKUP(MID(H640,3,1),Map!$G$2:$H$10,2,FALSE),""))</f>
        <v/>
      </c>
      <c r="Q640" t="str">
        <f>IF(A640="","",IFERROR(VLOOKUP(MID(A640,4,1),Map!$O$2:$P$10,2,FALSE),""))</f>
        <v/>
      </c>
    </row>
    <row r="641" spans="2:17" x14ac:dyDescent="0.25">
      <c r="B641" t="str">
        <f t="shared" si="90"/>
        <v/>
      </c>
      <c r="C641" t="str">
        <f t="shared" si="91"/>
        <v>**</v>
      </c>
      <c r="D641" t="str">
        <f t="shared" si="92"/>
        <v/>
      </c>
      <c r="E641" t="str">
        <f>IFERROR(VLOOKUP(MID(A641,7,2),Map!$A$2:$B$20,2,FALSE),"")</f>
        <v/>
      </c>
      <c r="F641" t="str">
        <f>IF(A641="","",IFERROR(VLOOKUP(MID(A641,9,2),Map!$R$2:$S$14,2,FALSE),""))</f>
        <v/>
      </c>
      <c r="G641" t="str">
        <f t="shared" si="93"/>
        <v/>
      </c>
      <c r="H641" t="str">
        <f t="shared" si="94"/>
        <v/>
      </c>
      <c r="I641" t="str">
        <f>IF(A641="","",IFERROR(VLOOKUP(LEFT(A641,1),Map!$D$2:$E$20,2,FALSE),""))</f>
        <v/>
      </c>
      <c r="J641" t="str">
        <f>IF(OR(H641="",NOT(OR(LEFT(H641,1)="G",LEFT(H641,1)="R"))),"",IFERROR(VLOOKUP(MID(H641,2,1),Map!$J$2:$M$10,2,FALSE),""))</f>
        <v/>
      </c>
      <c r="K641" t="str">
        <f t="shared" si="95"/>
        <v/>
      </c>
      <c r="L641" t="str">
        <f t="shared" si="96"/>
        <v/>
      </c>
      <c r="M641" t="str">
        <f t="shared" si="97"/>
        <v/>
      </c>
      <c r="N641" t="str">
        <f t="shared" si="98"/>
        <v/>
      </c>
      <c r="O641" t="str">
        <f t="shared" si="99"/>
        <v/>
      </c>
      <c r="P641" t="str">
        <f>IF(OR(H641="",NOT(OR(LEFT(H641,1)="G",LEFT(H641,1)="R"))),"",IFERROR(VLOOKUP(MID(H641,3,1),Map!$G$2:$H$10,2,FALSE),""))</f>
        <v/>
      </c>
      <c r="Q641" t="str">
        <f>IF(A641="","",IFERROR(VLOOKUP(MID(A641,4,1),Map!$O$2:$P$10,2,FALSE),""))</f>
        <v/>
      </c>
    </row>
    <row r="642" spans="2:17" x14ac:dyDescent="0.25">
      <c r="B642" t="str">
        <f t="shared" ref="B642:B705" si="100">LEFT(A642,4)</f>
        <v/>
      </c>
      <c r="C642" t="str">
        <f t="shared" ref="C642:C705" si="101">LEFT(A642,2)&amp;"**"</f>
        <v>**</v>
      </c>
      <c r="D642" t="str">
        <f t="shared" ref="D642:D705" si="102">MID(A642,5,2)</f>
        <v/>
      </c>
      <c r="E642" t="str">
        <f>IFERROR(VLOOKUP(MID(A642,7,2),Map!$A$2:$B$20,2,FALSE),"")</f>
        <v/>
      </c>
      <c r="F642" t="str">
        <f>IF(A642="","",IFERROR(VLOOKUP(MID(A642,9,2),Map!$R$2:$S$14,2,FALSE),""))</f>
        <v/>
      </c>
      <c r="G642" t="str">
        <f t="shared" ref="G642:G705" si="103">IFERROR(MID(A642,FIND("-",A642)+1,FIND("-",A642,FIND("-",A642)+1)-FIND("-",A642)-1),"")</f>
        <v/>
      </c>
      <c r="H642" t="str">
        <f t="shared" ref="H642:H705" si="104">IFERROR(RIGHT(A642,LEN(A642)-FIND("-",A642,FIND("-",A642)+1)),"")</f>
        <v/>
      </c>
      <c r="I642" t="str">
        <f>IF(A642="","",IFERROR(VLOOKUP(LEFT(A642,1),Map!$D$2:$E$20,2,FALSE),""))</f>
        <v/>
      </c>
      <c r="J642" t="str">
        <f>IF(OR(H642="",NOT(OR(LEFT(H642,1)="G",LEFT(H642,1)="R"))),"",IFERROR(VLOOKUP(MID(H642,2,1),Map!$J$2:$M$10,2,FALSE),""))</f>
        <v/>
      </c>
      <c r="K642" t="str">
        <f t="shared" ref="K642:K705" si="105">IF(OR(H642="",NOT(OR(LEFT(H642,1)="G",LEFT(H642,1)="R")),MID(H642,2,1)&lt;&gt;"A"),"","M")</f>
        <v/>
      </c>
      <c r="L642" t="str">
        <f t="shared" ref="L642:L705" si="106">IF(OR(H642="",NOT(OR(LEFT(H642,1)="G",LEFT(H642,1)="R")),MID(H642,2,1)&lt;&gt;"A"),"","K")</f>
        <v/>
      </c>
      <c r="M642" t="str">
        <f t="shared" ref="M642:M705" si="107">IF(OR(H642="",NOT(OR(LEFT(H642,1)="G",LEFT(H642,1)="R"))),"","")</f>
        <v/>
      </c>
      <c r="N642" t="str">
        <f t="shared" ref="N642:N705" si="108">IF(OR(H642="",NOT(OR(LEFT(H642,1)="G",LEFT(H642,1)="R"))),"","")</f>
        <v/>
      </c>
      <c r="O642" t="str">
        <f t="shared" ref="O642:O705" si="109">IF(OR(H642="",NOT(OR(LEFT(H642,1)="G",LEFT(H642,1)="R"))),"","")</f>
        <v/>
      </c>
      <c r="P642" t="str">
        <f>IF(OR(H642="",NOT(OR(LEFT(H642,1)="G",LEFT(H642,1)="R"))),"",IFERROR(VLOOKUP(MID(H642,3,1),Map!$G$2:$H$10,2,FALSE),""))</f>
        <v/>
      </c>
      <c r="Q642" t="str">
        <f>IF(A642="","",IFERROR(VLOOKUP(MID(A642,4,1),Map!$O$2:$P$10,2,FALSE),""))</f>
        <v/>
      </c>
    </row>
    <row r="643" spans="2:17" x14ac:dyDescent="0.25">
      <c r="B643" t="str">
        <f t="shared" si="100"/>
        <v/>
      </c>
      <c r="C643" t="str">
        <f t="shared" si="101"/>
        <v>**</v>
      </c>
      <c r="D643" t="str">
        <f t="shared" si="102"/>
        <v/>
      </c>
      <c r="E643" t="str">
        <f>IFERROR(VLOOKUP(MID(A643,7,2),Map!$A$2:$B$20,2,FALSE),"")</f>
        <v/>
      </c>
      <c r="F643" t="str">
        <f>IF(A643="","",IFERROR(VLOOKUP(MID(A643,9,2),Map!$R$2:$S$14,2,FALSE),""))</f>
        <v/>
      </c>
      <c r="G643" t="str">
        <f t="shared" si="103"/>
        <v/>
      </c>
      <c r="H643" t="str">
        <f t="shared" si="104"/>
        <v/>
      </c>
      <c r="I643" t="str">
        <f>IF(A643="","",IFERROR(VLOOKUP(LEFT(A643,1),Map!$D$2:$E$20,2,FALSE),""))</f>
        <v/>
      </c>
      <c r="J643" t="str">
        <f>IF(OR(H643="",NOT(OR(LEFT(H643,1)="G",LEFT(H643,1)="R"))),"",IFERROR(VLOOKUP(MID(H643,2,1),Map!$J$2:$M$10,2,FALSE),""))</f>
        <v/>
      </c>
      <c r="K643" t="str">
        <f t="shared" si="105"/>
        <v/>
      </c>
      <c r="L643" t="str">
        <f t="shared" si="106"/>
        <v/>
      </c>
      <c r="M643" t="str">
        <f t="shared" si="107"/>
        <v/>
      </c>
      <c r="N643" t="str">
        <f t="shared" si="108"/>
        <v/>
      </c>
      <c r="O643" t="str">
        <f t="shared" si="109"/>
        <v/>
      </c>
      <c r="P643" t="str">
        <f>IF(OR(H643="",NOT(OR(LEFT(H643,1)="G",LEFT(H643,1)="R"))),"",IFERROR(VLOOKUP(MID(H643,3,1),Map!$G$2:$H$10,2,FALSE),""))</f>
        <v/>
      </c>
      <c r="Q643" t="str">
        <f>IF(A643="","",IFERROR(VLOOKUP(MID(A643,4,1),Map!$O$2:$P$10,2,FALSE),""))</f>
        <v/>
      </c>
    </row>
    <row r="644" spans="2:17" x14ac:dyDescent="0.25">
      <c r="B644" t="str">
        <f t="shared" si="100"/>
        <v/>
      </c>
      <c r="C644" t="str">
        <f t="shared" si="101"/>
        <v>**</v>
      </c>
      <c r="D644" t="str">
        <f t="shared" si="102"/>
        <v/>
      </c>
      <c r="E644" t="str">
        <f>IFERROR(VLOOKUP(MID(A644,7,2),Map!$A$2:$B$20,2,FALSE),"")</f>
        <v/>
      </c>
      <c r="F644" t="str">
        <f>IF(A644="","",IFERROR(VLOOKUP(MID(A644,9,2),Map!$R$2:$S$14,2,FALSE),""))</f>
        <v/>
      </c>
      <c r="G644" t="str">
        <f t="shared" si="103"/>
        <v/>
      </c>
      <c r="H644" t="str">
        <f t="shared" si="104"/>
        <v/>
      </c>
      <c r="I644" t="str">
        <f>IF(A644="","",IFERROR(VLOOKUP(LEFT(A644,1),Map!$D$2:$E$20,2,FALSE),""))</f>
        <v/>
      </c>
      <c r="J644" t="str">
        <f>IF(OR(H644="",NOT(OR(LEFT(H644,1)="G",LEFT(H644,1)="R"))),"",IFERROR(VLOOKUP(MID(H644,2,1),Map!$J$2:$M$10,2,FALSE),""))</f>
        <v/>
      </c>
      <c r="K644" t="str">
        <f t="shared" si="105"/>
        <v/>
      </c>
      <c r="L644" t="str">
        <f t="shared" si="106"/>
        <v/>
      </c>
      <c r="M644" t="str">
        <f t="shared" si="107"/>
        <v/>
      </c>
      <c r="N644" t="str">
        <f t="shared" si="108"/>
        <v/>
      </c>
      <c r="O644" t="str">
        <f t="shared" si="109"/>
        <v/>
      </c>
      <c r="P644" t="str">
        <f>IF(OR(H644="",NOT(OR(LEFT(H644,1)="G",LEFT(H644,1)="R"))),"",IFERROR(VLOOKUP(MID(H644,3,1),Map!$G$2:$H$10,2,FALSE),""))</f>
        <v/>
      </c>
      <c r="Q644" t="str">
        <f>IF(A644="","",IFERROR(VLOOKUP(MID(A644,4,1),Map!$O$2:$P$10,2,FALSE),""))</f>
        <v/>
      </c>
    </row>
    <row r="645" spans="2:17" x14ac:dyDescent="0.25">
      <c r="B645" t="str">
        <f t="shared" si="100"/>
        <v/>
      </c>
      <c r="C645" t="str">
        <f t="shared" si="101"/>
        <v>**</v>
      </c>
      <c r="D645" t="str">
        <f t="shared" si="102"/>
        <v/>
      </c>
      <c r="E645" t="str">
        <f>IFERROR(VLOOKUP(MID(A645,7,2),Map!$A$2:$B$20,2,FALSE),"")</f>
        <v/>
      </c>
      <c r="F645" t="str">
        <f>IF(A645="","",IFERROR(VLOOKUP(MID(A645,9,2),Map!$R$2:$S$14,2,FALSE),""))</f>
        <v/>
      </c>
      <c r="G645" t="str">
        <f t="shared" si="103"/>
        <v/>
      </c>
      <c r="H645" t="str">
        <f t="shared" si="104"/>
        <v/>
      </c>
      <c r="I645" t="str">
        <f>IF(A645="","",IFERROR(VLOOKUP(LEFT(A645,1),Map!$D$2:$E$20,2,FALSE),""))</f>
        <v/>
      </c>
      <c r="J645" t="str">
        <f>IF(OR(H645="",NOT(OR(LEFT(H645,1)="G",LEFT(H645,1)="R"))),"",IFERROR(VLOOKUP(MID(H645,2,1),Map!$J$2:$M$10,2,FALSE),""))</f>
        <v/>
      </c>
      <c r="K645" t="str">
        <f t="shared" si="105"/>
        <v/>
      </c>
      <c r="L645" t="str">
        <f t="shared" si="106"/>
        <v/>
      </c>
      <c r="M645" t="str">
        <f t="shared" si="107"/>
        <v/>
      </c>
      <c r="N645" t="str">
        <f t="shared" si="108"/>
        <v/>
      </c>
      <c r="O645" t="str">
        <f t="shared" si="109"/>
        <v/>
      </c>
      <c r="P645" t="str">
        <f>IF(OR(H645="",NOT(OR(LEFT(H645,1)="G",LEFT(H645,1)="R"))),"",IFERROR(VLOOKUP(MID(H645,3,1),Map!$G$2:$H$10,2,FALSE),""))</f>
        <v/>
      </c>
      <c r="Q645" t="str">
        <f>IF(A645="","",IFERROR(VLOOKUP(MID(A645,4,1),Map!$O$2:$P$10,2,FALSE),""))</f>
        <v/>
      </c>
    </row>
    <row r="646" spans="2:17" x14ac:dyDescent="0.25">
      <c r="B646" t="str">
        <f t="shared" si="100"/>
        <v/>
      </c>
      <c r="C646" t="str">
        <f t="shared" si="101"/>
        <v>**</v>
      </c>
      <c r="D646" t="str">
        <f t="shared" si="102"/>
        <v/>
      </c>
      <c r="E646" t="str">
        <f>IFERROR(VLOOKUP(MID(A646,7,2),Map!$A$2:$B$20,2,FALSE),"")</f>
        <v/>
      </c>
      <c r="F646" t="str">
        <f>IF(A646="","",IFERROR(VLOOKUP(MID(A646,9,2),Map!$R$2:$S$14,2,FALSE),""))</f>
        <v/>
      </c>
      <c r="G646" t="str">
        <f t="shared" si="103"/>
        <v/>
      </c>
      <c r="H646" t="str">
        <f t="shared" si="104"/>
        <v/>
      </c>
      <c r="I646" t="str">
        <f>IF(A646="","",IFERROR(VLOOKUP(LEFT(A646,1),Map!$D$2:$E$20,2,FALSE),""))</f>
        <v/>
      </c>
      <c r="J646" t="str">
        <f>IF(OR(H646="",NOT(OR(LEFT(H646,1)="G",LEFT(H646,1)="R"))),"",IFERROR(VLOOKUP(MID(H646,2,1),Map!$J$2:$M$10,2,FALSE),""))</f>
        <v/>
      </c>
      <c r="K646" t="str">
        <f t="shared" si="105"/>
        <v/>
      </c>
      <c r="L646" t="str">
        <f t="shared" si="106"/>
        <v/>
      </c>
      <c r="M646" t="str">
        <f t="shared" si="107"/>
        <v/>
      </c>
      <c r="N646" t="str">
        <f t="shared" si="108"/>
        <v/>
      </c>
      <c r="O646" t="str">
        <f t="shared" si="109"/>
        <v/>
      </c>
      <c r="P646" t="str">
        <f>IF(OR(H646="",NOT(OR(LEFT(H646,1)="G",LEFT(H646,1)="R"))),"",IFERROR(VLOOKUP(MID(H646,3,1),Map!$G$2:$H$10,2,FALSE),""))</f>
        <v/>
      </c>
      <c r="Q646" t="str">
        <f>IF(A646="","",IFERROR(VLOOKUP(MID(A646,4,1),Map!$O$2:$P$10,2,FALSE),""))</f>
        <v/>
      </c>
    </row>
    <row r="647" spans="2:17" x14ac:dyDescent="0.25">
      <c r="B647" t="str">
        <f t="shared" si="100"/>
        <v/>
      </c>
      <c r="C647" t="str">
        <f t="shared" si="101"/>
        <v>**</v>
      </c>
      <c r="D647" t="str">
        <f t="shared" si="102"/>
        <v/>
      </c>
      <c r="E647" t="str">
        <f>IFERROR(VLOOKUP(MID(A647,7,2),Map!$A$2:$B$20,2,FALSE),"")</f>
        <v/>
      </c>
      <c r="F647" t="str">
        <f>IF(A647="","",IFERROR(VLOOKUP(MID(A647,9,2),Map!$R$2:$S$14,2,FALSE),""))</f>
        <v/>
      </c>
      <c r="G647" t="str">
        <f t="shared" si="103"/>
        <v/>
      </c>
      <c r="H647" t="str">
        <f t="shared" si="104"/>
        <v/>
      </c>
      <c r="I647" t="str">
        <f>IF(A647="","",IFERROR(VLOOKUP(LEFT(A647,1),Map!$D$2:$E$20,2,FALSE),""))</f>
        <v/>
      </c>
      <c r="J647" t="str">
        <f>IF(OR(H647="",NOT(OR(LEFT(H647,1)="G",LEFT(H647,1)="R"))),"",IFERROR(VLOOKUP(MID(H647,2,1),Map!$J$2:$M$10,2,FALSE),""))</f>
        <v/>
      </c>
      <c r="K647" t="str">
        <f t="shared" si="105"/>
        <v/>
      </c>
      <c r="L647" t="str">
        <f t="shared" si="106"/>
        <v/>
      </c>
      <c r="M647" t="str">
        <f t="shared" si="107"/>
        <v/>
      </c>
      <c r="N647" t="str">
        <f t="shared" si="108"/>
        <v/>
      </c>
      <c r="O647" t="str">
        <f t="shared" si="109"/>
        <v/>
      </c>
      <c r="P647" t="str">
        <f>IF(OR(H647="",NOT(OR(LEFT(H647,1)="G",LEFT(H647,1)="R"))),"",IFERROR(VLOOKUP(MID(H647,3,1),Map!$G$2:$H$10,2,FALSE),""))</f>
        <v/>
      </c>
      <c r="Q647" t="str">
        <f>IF(A647="","",IFERROR(VLOOKUP(MID(A647,4,1),Map!$O$2:$P$10,2,FALSE),""))</f>
        <v/>
      </c>
    </row>
    <row r="648" spans="2:17" x14ac:dyDescent="0.25">
      <c r="B648" t="str">
        <f t="shared" si="100"/>
        <v/>
      </c>
      <c r="C648" t="str">
        <f t="shared" si="101"/>
        <v>**</v>
      </c>
      <c r="D648" t="str">
        <f t="shared" si="102"/>
        <v/>
      </c>
      <c r="E648" t="str">
        <f>IFERROR(VLOOKUP(MID(A648,7,2),Map!$A$2:$B$20,2,FALSE),"")</f>
        <v/>
      </c>
      <c r="F648" t="str">
        <f>IF(A648="","",IFERROR(VLOOKUP(MID(A648,9,2),Map!$R$2:$S$14,2,FALSE),""))</f>
        <v/>
      </c>
      <c r="G648" t="str">
        <f t="shared" si="103"/>
        <v/>
      </c>
      <c r="H648" t="str">
        <f t="shared" si="104"/>
        <v/>
      </c>
      <c r="I648" t="str">
        <f>IF(A648="","",IFERROR(VLOOKUP(LEFT(A648,1),Map!$D$2:$E$20,2,FALSE),""))</f>
        <v/>
      </c>
      <c r="J648" t="str">
        <f>IF(OR(H648="",NOT(OR(LEFT(H648,1)="G",LEFT(H648,1)="R"))),"",IFERROR(VLOOKUP(MID(H648,2,1),Map!$J$2:$M$10,2,FALSE),""))</f>
        <v/>
      </c>
      <c r="K648" t="str">
        <f t="shared" si="105"/>
        <v/>
      </c>
      <c r="L648" t="str">
        <f t="shared" si="106"/>
        <v/>
      </c>
      <c r="M648" t="str">
        <f t="shared" si="107"/>
        <v/>
      </c>
      <c r="N648" t="str">
        <f t="shared" si="108"/>
        <v/>
      </c>
      <c r="O648" t="str">
        <f t="shared" si="109"/>
        <v/>
      </c>
      <c r="P648" t="str">
        <f>IF(OR(H648="",NOT(OR(LEFT(H648,1)="G",LEFT(H648,1)="R"))),"",IFERROR(VLOOKUP(MID(H648,3,1),Map!$G$2:$H$10,2,FALSE),""))</f>
        <v/>
      </c>
      <c r="Q648" t="str">
        <f>IF(A648="","",IFERROR(VLOOKUP(MID(A648,4,1),Map!$O$2:$P$10,2,FALSE),""))</f>
        <v/>
      </c>
    </row>
    <row r="649" spans="2:17" x14ac:dyDescent="0.25">
      <c r="B649" t="str">
        <f t="shared" si="100"/>
        <v/>
      </c>
      <c r="C649" t="str">
        <f t="shared" si="101"/>
        <v>**</v>
      </c>
      <c r="D649" t="str">
        <f t="shared" si="102"/>
        <v/>
      </c>
      <c r="E649" t="str">
        <f>IFERROR(VLOOKUP(MID(A649,7,2),Map!$A$2:$B$20,2,FALSE),"")</f>
        <v/>
      </c>
      <c r="F649" t="str">
        <f>IF(A649="","",IFERROR(VLOOKUP(MID(A649,9,2),Map!$R$2:$S$14,2,FALSE),""))</f>
        <v/>
      </c>
      <c r="G649" t="str">
        <f t="shared" si="103"/>
        <v/>
      </c>
      <c r="H649" t="str">
        <f t="shared" si="104"/>
        <v/>
      </c>
      <c r="I649" t="str">
        <f>IF(A649="","",IFERROR(VLOOKUP(LEFT(A649,1),Map!$D$2:$E$20,2,FALSE),""))</f>
        <v/>
      </c>
      <c r="J649" t="str">
        <f>IF(OR(H649="",NOT(OR(LEFT(H649,1)="G",LEFT(H649,1)="R"))),"",IFERROR(VLOOKUP(MID(H649,2,1),Map!$J$2:$M$10,2,FALSE),""))</f>
        <v/>
      </c>
      <c r="K649" t="str">
        <f t="shared" si="105"/>
        <v/>
      </c>
      <c r="L649" t="str">
        <f t="shared" si="106"/>
        <v/>
      </c>
      <c r="M649" t="str">
        <f t="shared" si="107"/>
        <v/>
      </c>
      <c r="N649" t="str">
        <f t="shared" si="108"/>
        <v/>
      </c>
      <c r="O649" t="str">
        <f t="shared" si="109"/>
        <v/>
      </c>
      <c r="P649" t="str">
        <f>IF(OR(H649="",NOT(OR(LEFT(H649,1)="G",LEFT(H649,1)="R"))),"",IFERROR(VLOOKUP(MID(H649,3,1),Map!$G$2:$H$10,2,FALSE),""))</f>
        <v/>
      </c>
      <c r="Q649" t="str">
        <f>IF(A649="","",IFERROR(VLOOKUP(MID(A649,4,1),Map!$O$2:$P$10,2,FALSE),""))</f>
        <v/>
      </c>
    </row>
    <row r="650" spans="2:17" x14ac:dyDescent="0.25">
      <c r="B650" t="str">
        <f t="shared" si="100"/>
        <v/>
      </c>
      <c r="C650" t="str">
        <f t="shared" si="101"/>
        <v>**</v>
      </c>
      <c r="D650" t="str">
        <f t="shared" si="102"/>
        <v/>
      </c>
      <c r="E650" t="str">
        <f>IFERROR(VLOOKUP(MID(A650,7,2),Map!$A$2:$B$20,2,FALSE),"")</f>
        <v/>
      </c>
      <c r="F650" t="str">
        <f>IF(A650="","",IFERROR(VLOOKUP(MID(A650,9,2),Map!$R$2:$S$14,2,FALSE),""))</f>
        <v/>
      </c>
      <c r="G650" t="str">
        <f t="shared" si="103"/>
        <v/>
      </c>
      <c r="H650" t="str">
        <f t="shared" si="104"/>
        <v/>
      </c>
      <c r="I650" t="str">
        <f>IF(A650="","",IFERROR(VLOOKUP(LEFT(A650,1),Map!$D$2:$E$20,2,FALSE),""))</f>
        <v/>
      </c>
      <c r="J650" t="str">
        <f>IF(OR(H650="",NOT(OR(LEFT(H650,1)="G",LEFT(H650,1)="R"))),"",IFERROR(VLOOKUP(MID(H650,2,1),Map!$J$2:$M$10,2,FALSE),""))</f>
        <v/>
      </c>
      <c r="K650" t="str">
        <f t="shared" si="105"/>
        <v/>
      </c>
      <c r="L650" t="str">
        <f t="shared" si="106"/>
        <v/>
      </c>
      <c r="M650" t="str">
        <f t="shared" si="107"/>
        <v/>
      </c>
      <c r="N650" t="str">
        <f t="shared" si="108"/>
        <v/>
      </c>
      <c r="O650" t="str">
        <f t="shared" si="109"/>
        <v/>
      </c>
      <c r="P650" t="str">
        <f>IF(OR(H650="",NOT(OR(LEFT(H650,1)="G",LEFT(H650,1)="R"))),"",IFERROR(VLOOKUP(MID(H650,3,1),Map!$G$2:$H$10,2,FALSE),""))</f>
        <v/>
      </c>
      <c r="Q650" t="str">
        <f>IF(A650="","",IFERROR(VLOOKUP(MID(A650,4,1),Map!$O$2:$P$10,2,FALSE),""))</f>
        <v/>
      </c>
    </row>
    <row r="651" spans="2:17" x14ac:dyDescent="0.25">
      <c r="B651" t="str">
        <f t="shared" si="100"/>
        <v/>
      </c>
      <c r="C651" t="str">
        <f t="shared" si="101"/>
        <v>**</v>
      </c>
      <c r="D651" t="str">
        <f t="shared" si="102"/>
        <v/>
      </c>
      <c r="E651" t="str">
        <f>IFERROR(VLOOKUP(MID(A651,7,2),Map!$A$2:$B$20,2,FALSE),"")</f>
        <v/>
      </c>
      <c r="F651" t="str">
        <f>IF(A651="","",IFERROR(VLOOKUP(MID(A651,9,2),Map!$R$2:$S$14,2,FALSE),""))</f>
        <v/>
      </c>
      <c r="G651" t="str">
        <f t="shared" si="103"/>
        <v/>
      </c>
      <c r="H651" t="str">
        <f t="shared" si="104"/>
        <v/>
      </c>
      <c r="I651" t="str">
        <f>IF(A651="","",IFERROR(VLOOKUP(LEFT(A651,1),Map!$D$2:$E$20,2,FALSE),""))</f>
        <v/>
      </c>
      <c r="J651" t="str">
        <f>IF(OR(H651="",NOT(OR(LEFT(H651,1)="G",LEFT(H651,1)="R"))),"",IFERROR(VLOOKUP(MID(H651,2,1),Map!$J$2:$M$10,2,FALSE),""))</f>
        <v/>
      </c>
      <c r="K651" t="str">
        <f t="shared" si="105"/>
        <v/>
      </c>
      <c r="L651" t="str">
        <f t="shared" si="106"/>
        <v/>
      </c>
      <c r="M651" t="str">
        <f t="shared" si="107"/>
        <v/>
      </c>
      <c r="N651" t="str">
        <f t="shared" si="108"/>
        <v/>
      </c>
      <c r="O651" t="str">
        <f t="shared" si="109"/>
        <v/>
      </c>
      <c r="P651" t="str">
        <f>IF(OR(H651="",NOT(OR(LEFT(H651,1)="G",LEFT(H651,1)="R"))),"",IFERROR(VLOOKUP(MID(H651,3,1),Map!$G$2:$H$10,2,FALSE),""))</f>
        <v/>
      </c>
      <c r="Q651" t="str">
        <f>IF(A651="","",IFERROR(VLOOKUP(MID(A651,4,1),Map!$O$2:$P$10,2,FALSE),""))</f>
        <v/>
      </c>
    </row>
    <row r="652" spans="2:17" x14ac:dyDescent="0.25">
      <c r="B652" t="str">
        <f t="shared" si="100"/>
        <v/>
      </c>
      <c r="C652" t="str">
        <f t="shared" si="101"/>
        <v>**</v>
      </c>
      <c r="D652" t="str">
        <f t="shared" si="102"/>
        <v/>
      </c>
      <c r="E652" t="str">
        <f>IFERROR(VLOOKUP(MID(A652,7,2),Map!$A$2:$B$20,2,FALSE),"")</f>
        <v/>
      </c>
      <c r="F652" t="str">
        <f>IF(A652="","",IFERROR(VLOOKUP(MID(A652,9,2),Map!$R$2:$S$14,2,FALSE),""))</f>
        <v/>
      </c>
      <c r="G652" t="str">
        <f t="shared" si="103"/>
        <v/>
      </c>
      <c r="H652" t="str">
        <f t="shared" si="104"/>
        <v/>
      </c>
      <c r="I652" t="str">
        <f>IF(A652="","",IFERROR(VLOOKUP(LEFT(A652,1),Map!$D$2:$E$20,2,FALSE),""))</f>
        <v/>
      </c>
      <c r="J652" t="str">
        <f>IF(OR(H652="",NOT(OR(LEFT(H652,1)="G",LEFT(H652,1)="R"))),"",IFERROR(VLOOKUP(MID(H652,2,1),Map!$J$2:$M$10,2,FALSE),""))</f>
        <v/>
      </c>
      <c r="K652" t="str">
        <f t="shared" si="105"/>
        <v/>
      </c>
      <c r="L652" t="str">
        <f t="shared" si="106"/>
        <v/>
      </c>
      <c r="M652" t="str">
        <f t="shared" si="107"/>
        <v/>
      </c>
      <c r="N652" t="str">
        <f t="shared" si="108"/>
        <v/>
      </c>
      <c r="O652" t="str">
        <f t="shared" si="109"/>
        <v/>
      </c>
      <c r="P652" t="str">
        <f>IF(OR(H652="",NOT(OR(LEFT(H652,1)="G",LEFT(H652,1)="R"))),"",IFERROR(VLOOKUP(MID(H652,3,1),Map!$G$2:$H$10,2,FALSE),""))</f>
        <v/>
      </c>
      <c r="Q652" t="str">
        <f>IF(A652="","",IFERROR(VLOOKUP(MID(A652,4,1),Map!$O$2:$P$10,2,FALSE),""))</f>
        <v/>
      </c>
    </row>
    <row r="653" spans="2:17" x14ac:dyDescent="0.25">
      <c r="B653" t="str">
        <f t="shared" si="100"/>
        <v/>
      </c>
      <c r="C653" t="str">
        <f t="shared" si="101"/>
        <v>**</v>
      </c>
      <c r="D653" t="str">
        <f t="shared" si="102"/>
        <v/>
      </c>
      <c r="E653" t="str">
        <f>IFERROR(VLOOKUP(MID(A653,7,2),Map!$A$2:$B$20,2,FALSE),"")</f>
        <v/>
      </c>
      <c r="F653" t="str">
        <f>IF(A653="","",IFERROR(VLOOKUP(MID(A653,9,2),Map!$R$2:$S$14,2,FALSE),""))</f>
        <v/>
      </c>
      <c r="G653" t="str">
        <f t="shared" si="103"/>
        <v/>
      </c>
      <c r="H653" t="str">
        <f t="shared" si="104"/>
        <v/>
      </c>
      <c r="I653" t="str">
        <f>IF(A653="","",IFERROR(VLOOKUP(LEFT(A653,1),Map!$D$2:$E$20,2,FALSE),""))</f>
        <v/>
      </c>
      <c r="J653" t="str">
        <f>IF(OR(H653="",NOT(OR(LEFT(H653,1)="G",LEFT(H653,1)="R"))),"",IFERROR(VLOOKUP(MID(H653,2,1),Map!$J$2:$M$10,2,FALSE),""))</f>
        <v/>
      </c>
      <c r="K653" t="str">
        <f t="shared" si="105"/>
        <v/>
      </c>
      <c r="L653" t="str">
        <f t="shared" si="106"/>
        <v/>
      </c>
      <c r="M653" t="str">
        <f t="shared" si="107"/>
        <v/>
      </c>
      <c r="N653" t="str">
        <f t="shared" si="108"/>
        <v/>
      </c>
      <c r="O653" t="str">
        <f t="shared" si="109"/>
        <v/>
      </c>
      <c r="P653" t="str">
        <f>IF(OR(H653="",NOT(OR(LEFT(H653,1)="G",LEFT(H653,1)="R"))),"",IFERROR(VLOOKUP(MID(H653,3,1),Map!$G$2:$H$10,2,FALSE),""))</f>
        <v/>
      </c>
      <c r="Q653" t="str">
        <f>IF(A653="","",IFERROR(VLOOKUP(MID(A653,4,1),Map!$O$2:$P$10,2,FALSE),""))</f>
        <v/>
      </c>
    </row>
    <row r="654" spans="2:17" x14ac:dyDescent="0.25">
      <c r="B654" t="str">
        <f t="shared" si="100"/>
        <v/>
      </c>
      <c r="C654" t="str">
        <f t="shared" si="101"/>
        <v>**</v>
      </c>
      <c r="D654" t="str">
        <f t="shared" si="102"/>
        <v/>
      </c>
      <c r="E654" t="str">
        <f>IFERROR(VLOOKUP(MID(A654,7,2),Map!$A$2:$B$20,2,FALSE),"")</f>
        <v/>
      </c>
      <c r="F654" t="str">
        <f>IF(A654="","",IFERROR(VLOOKUP(MID(A654,9,2),Map!$R$2:$S$14,2,FALSE),""))</f>
        <v/>
      </c>
      <c r="G654" t="str">
        <f t="shared" si="103"/>
        <v/>
      </c>
      <c r="H654" t="str">
        <f t="shared" si="104"/>
        <v/>
      </c>
      <c r="I654" t="str">
        <f>IF(A654="","",IFERROR(VLOOKUP(LEFT(A654,1),Map!$D$2:$E$20,2,FALSE),""))</f>
        <v/>
      </c>
      <c r="J654" t="str">
        <f>IF(OR(H654="",NOT(OR(LEFT(H654,1)="G",LEFT(H654,1)="R"))),"",IFERROR(VLOOKUP(MID(H654,2,1),Map!$J$2:$M$10,2,FALSE),""))</f>
        <v/>
      </c>
      <c r="K654" t="str">
        <f t="shared" si="105"/>
        <v/>
      </c>
      <c r="L654" t="str">
        <f t="shared" si="106"/>
        <v/>
      </c>
      <c r="M654" t="str">
        <f t="shared" si="107"/>
        <v/>
      </c>
      <c r="N654" t="str">
        <f t="shared" si="108"/>
        <v/>
      </c>
      <c r="O654" t="str">
        <f t="shared" si="109"/>
        <v/>
      </c>
      <c r="P654" t="str">
        <f>IF(OR(H654="",NOT(OR(LEFT(H654,1)="G",LEFT(H654,1)="R"))),"",IFERROR(VLOOKUP(MID(H654,3,1),Map!$G$2:$H$10,2,FALSE),""))</f>
        <v/>
      </c>
      <c r="Q654" t="str">
        <f>IF(A654="","",IFERROR(VLOOKUP(MID(A654,4,1),Map!$O$2:$P$10,2,FALSE),""))</f>
        <v/>
      </c>
    </row>
    <row r="655" spans="2:17" x14ac:dyDescent="0.25">
      <c r="B655" t="str">
        <f t="shared" si="100"/>
        <v/>
      </c>
      <c r="C655" t="str">
        <f t="shared" si="101"/>
        <v>**</v>
      </c>
      <c r="D655" t="str">
        <f t="shared" si="102"/>
        <v/>
      </c>
      <c r="E655" t="str">
        <f>IFERROR(VLOOKUP(MID(A655,7,2),Map!$A$2:$B$20,2,FALSE),"")</f>
        <v/>
      </c>
      <c r="F655" t="str">
        <f>IF(A655="","",IFERROR(VLOOKUP(MID(A655,9,2),Map!$R$2:$S$14,2,FALSE),""))</f>
        <v/>
      </c>
      <c r="G655" t="str">
        <f t="shared" si="103"/>
        <v/>
      </c>
      <c r="H655" t="str">
        <f t="shared" si="104"/>
        <v/>
      </c>
      <c r="I655" t="str">
        <f>IF(A655="","",IFERROR(VLOOKUP(LEFT(A655,1),Map!$D$2:$E$20,2,FALSE),""))</f>
        <v/>
      </c>
      <c r="J655" t="str">
        <f>IF(OR(H655="",NOT(OR(LEFT(H655,1)="G",LEFT(H655,1)="R"))),"",IFERROR(VLOOKUP(MID(H655,2,1),Map!$J$2:$M$10,2,FALSE),""))</f>
        <v/>
      </c>
      <c r="K655" t="str">
        <f t="shared" si="105"/>
        <v/>
      </c>
      <c r="L655" t="str">
        <f t="shared" si="106"/>
        <v/>
      </c>
      <c r="M655" t="str">
        <f t="shared" si="107"/>
        <v/>
      </c>
      <c r="N655" t="str">
        <f t="shared" si="108"/>
        <v/>
      </c>
      <c r="O655" t="str">
        <f t="shared" si="109"/>
        <v/>
      </c>
      <c r="P655" t="str">
        <f>IF(OR(H655="",NOT(OR(LEFT(H655,1)="G",LEFT(H655,1)="R"))),"",IFERROR(VLOOKUP(MID(H655,3,1),Map!$G$2:$H$10,2,FALSE),""))</f>
        <v/>
      </c>
      <c r="Q655" t="str">
        <f>IF(A655="","",IFERROR(VLOOKUP(MID(A655,4,1),Map!$O$2:$P$10,2,FALSE),""))</f>
        <v/>
      </c>
    </row>
    <row r="656" spans="2:17" x14ac:dyDescent="0.25">
      <c r="B656" t="str">
        <f t="shared" si="100"/>
        <v/>
      </c>
      <c r="C656" t="str">
        <f t="shared" si="101"/>
        <v>**</v>
      </c>
      <c r="D656" t="str">
        <f t="shared" si="102"/>
        <v/>
      </c>
      <c r="E656" t="str">
        <f>IFERROR(VLOOKUP(MID(A656,7,2),Map!$A$2:$B$20,2,FALSE),"")</f>
        <v/>
      </c>
      <c r="F656" t="str">
        <f>IF(A656="","",IFERROR(VLOOKUP(MID(A656,9,2),Map!$R$2:$S$14,2,FALSE),""))</f>
        <v/>
      </c>
      <c r="G656" t="str">
        <f t="shared" si="103"/>
        <v/>
      </c>
      <c r="H656" t="str">
        <f t="shared" si="104"/>
        <v/>
      </c>
      <c r="I656" t="str">
        <f>IF(A656="","",IFERROR(VLOOKUP(LEFT(A656,1),Map!$D$2:$E$20,2,FALSE),""))</f>
        <v/>
      </c>
      <c r="J656" t="str">
        <f>IF(OR(H656="",NOT(OR(LEFT(H656,1)="G",LEFT(H656,1)="R"))),"",IFERROR(VLOOKUP(MID(H656,2,1),Map!$J$2:$M$10,2,FALSE),""))</f>
        <v/>
      </c>
      <c r="K656" t="str">
        <f t="shared" si="105"/>
        <v/>
      </c>
      <c r="L656" t="str">
        <f t="shared" si="106"/>
        <v/>
      </c>
      <c r="M656" t="str">
        <f t="shared" si="107"/>
        <v/>
      </c>
      <c r="N656" t="str">
        <f t="shared" si="108"/>
        <v/>
      </c>
      <c r="O656" t="str">
        <f t="shared" si="109"/>
        <v/>
      </c>
      <c r="P656" t="str">
        <f>IF(OR(H656="",NOT(OR(LEFT(H656,1)="G",LEFT(H656,1)="R"))),"",IFERROR(VLOOKUP(MID(H656,3,1),Map!$G$2:$H$10,2,FALSE),""))</f>
        <v/>
      </c>
      <c r="Q656" t="str">
        <f>IF(A656="","",IFERROR(VLOOKUP(MID(A656,4,1),Map!$O$2:$P$10,2,FALSE),""))</f>
        <v/>
      </c>
    </row>
    <row r="657" spans="2:17" x14ac:dyDescent="0.25">
      <c r="B657" t="str">
        <f t="shared" si="100"/>
        <v/>
      </c>
      <c r="C657" t="str">
        <f t="shared" si="101"/>
        <v>**</v>
      </c>
      <c r="D657" t="str">
        <f t="shared" si="102"/>
        <v/>
      </c>
      <c r="E657" t="str">
        <f>IFERROR(VLOOKUP(MID(A657,7,2),Map!$A$2:$B$20,2,FALSE),"")</f>
        <v/>
      </c>
      <c r="F657" t="str">
        <f>IF(A657="","",IFERROR(VLOOKUP(MID(A657,9,2),Map!$R$2:$S$14,2,FALSE),""))</f>
        <v/>
      </c>
      <c r="G657" t="str">
        <f t="shared" si="103"/>
        <v/>
      </c>
      <c r="H657" t="str">
        <f t="shared" si="104"/>
        <v/>
      </c>
      <c r="I657" t="str">
        <f>IF(A657="","",IFERROR(VLOOKUP(LEFT(A657,1),Map!$D$2:$E$20,2,FALSE),""))</f>
        <v/>
      </c>
      <c r="J657" t="str">
        <f>IF(OR(H657="",NOT(OR(LEFT(H657,1)="G",LEFT(H657,1)="R"))),"",IFERROR(VLOOKUP(MID(H657,2,1),Map!$J$2:$M$10,2,FALSE),""))</f>
        <v/>
      </c>
      <c r="K657" t="str">
        <f t="shared" si="105"/>
        <v/>
      </c>
      <c r="L657" t="str">
        <f t="shared" si="106"/>
        <v/>
      </c>
      <c r="M657" t="str">
        <f t="shared" si="107"/>
        <v/>
      </c>
      <c r="N657" t="str">
        <f t="shared" si="108"/>
        <v/>
      </c>
      <c r="O657" t="str">
        <f t="shared" si="109"/>
        <v/>
      </c>
      <c r="P657" t="str">
        <f>IF(OR(H657="",NOT(OR(LEFT(H657,1)="G",LEFT(H657,1)="R"))),"",IFERROR(VLOOKUP(MID(H657,3,1),Map!$G$2:$H$10,2,FALSE),""))</f>
        <v/>
      </c>
      <c r="Q657" t="str">
        <f>IF(A657="","",IFERROR(VLOOKUP(MID(A657,4,1),Map!$O$2:$P$10,2,FALSE),""))</f>
        <v/>
      </c>
    </row>
    <row r="658" spans="2:17" x14ac:dyDescent="0.25">
      <c r="B658" t="str">
        <f t="shared" si="100"/>
        <v/>
      </c>
      <c r="C658" t="str">
        <f t="shared" si="101"/>
        <v>**</v>
      </c>
      <c r="D658" t="str">
        <f t="shared" si="102"/>
        <v/>
      </c>
      <c r="E658" t="str">
        <f>IFERROR(VLOOKUP(MID(A658,7,2),Map!$A$2:$B$20,2,FALSE),"")</f>
        <v/>
      </c>
      <c r="F658" t="str">
        <f>IF(A658="","",IFERROR(VLOOKUP(MID(A658,9,2),Map!$R$2:$S$14,2,FALSE),""))</f>
        <v/>
      </c>
      <c r="G658" t="str">
        <f t="shared" si="103"/>
        <v/>
      </c>
      <c r="H658" t="str">
        <f t="shared" si="104"/>
        <v/>
      </c>
      <c r="I658" t="str">
        <f>IF(A658="","",IFERROR(VLOOKUP(LEFT(A658,1),Map!$D$2:$E$20,2,FALSE),""))</f>
        <v/>
      </c>
      <c r="J658" t="str">
        <f>IF(OR(H658="",NOT(OR(LEFT(H658,1)="G",LEFT(H658,1)="R"))),"",IFERROR(VLOOKUP(MID(H658,2,1),Map!$J$2:$M$10,2,FALSE),""))</f>
        <v/>
      </c>
      <c r="K658" t="str">
        <f t="shared" si="105"/>
        <v/>
      </c>
      <c r="L658" t="str">
        <f t="shared" si="106"/>
        <v/>
      </c>
      <c r="M658" t="str">
        <f t="shared" si="107"/>
        <v/>
      </c>
      <c r="N658" t="str">
        <f t="shared" si="108"/>
        <v/>
      </c>
      <c r="O658" t="str">
        <f t="shared" si="109"/>
        <v/>
      </c>
      <c r="P658" t="str">
        <f>IF(OR(H658="",NOT(OR(LEFT(H658,1)="G",LEFT(H658,1)="R"))),"",IFERROR(VLOOKUP(MID(H658,3,1),Map!$G$2:$H$10,2,FALSE),""))</f>
        <v/>
      </c>
      <c r="Q658" t="str">
        <f>IF(A658="","",IFERROR(VLOOKUP(MID(A658,4,1),Map!$O$2:$P$10,2,FALSE),""))</f>
        <v/>
      </c>
    </row>
    <row r="659" spans="2:17" x14ac:dyDescent="0.25">
      <c r="B659" t="str">
        <f t="shared" si="100"/>
        <v/>
      </c>
      <c r="C659" t="str">
        <f t="shared" si="101"/>
        <v>**</v>
      </c>
      <c r="D659" t="str">
        <f t="shared" si="102"/>
        <v/>
      </c>
      <c r="E659" t="str">
        <f>IFERROR(VLOOKUP(MID(A659,7,2),Map!$A$2:$B$20,2,FALSE),"")</f>
        <v/>
      </c>
      <c r="F659" t="str">
        <f>IF(A659="","",IFERROR(VLOOKUP(MID(A659,9,2),Map!$R$2:$S$14,2,FALSE),""))</f>
        <v/>
      </c>
      <c r="G659" t="str">
        <f t="shared" si="103"/>
        <v/>
      </c>
      <c r="H659" t="str">
        <f t="shared" si="104"/>
        <v/>
      </c>
      <c r="I659" t="str">
        <f>IF(A659="","",IFERROR(VLOOKUP(LEFT(A659,1),Map!$D$2:$E$20,2,FALSE),""))</f>
        <v/>
      </c>
      <c r="J659" t="str">
        <f>IF(OR(H659="",NOT(OR(LEFT(H659,1)="G",LEFT(H659,1)="R"))),"",IFERROR(VLOOKUP(MID(H659,2,1),Map!$J$2:$M$10,2,FALSE),""))</f>
        <v/>
      </c>
      <c r="K659" t="str">
        <f t="shared" si="105"/>
        <v/>
      </c>
      <c r="L659" t="str">
        <f t="shared" si="106"/>
        <v/>
      </c>
      <c r="M659" t="str">
        <f t="shared" si="107"/>
        <v/>
      </c>
      <c r="N659" t="str">
        <f t="shared" si="108"/>
        <v/>
      </c>
      <c r="O659" t="str">
        <f t="shared" si="109"/>
        <v/>
      </c>
      <c r="P659" t="str">
        <f>IF(OR(H659="",NOT(OR(LEFT(H659,1)="G",LEFT(H659,1)="R"))),"",IFERROR(VLOOKUP(MID(H659,3,1),Map!$G$2:$H$10,2,FALSE),""))</f>
        <v/>
      </c>
      <c r="Q659" t="str">
        <f>IF(A659="","",IFERROR(VLOOKUP(MID(A659,4,1),Map!$O$2:$P$10,2,FALSE),""))</f>
        <v/>
      </c>
    </row>
    <row r="660" spans="2:17" x14ac:dyDescent="0.25">
      <c r="B660" t="str">
        <f t="shared" si="100"/>
        <v/>
      </c>
      <c r="C660" t="str">
        <f t="shared" si="101"/>
        <v>**</v>
      </c>
      <c r="D660" t="str">
        <f t="shared" si="102"/>
        <v/>
      </c>
      <c r="E660" t="str">
        <f>IFERROR(VLOOKUP(MID(A660,7,2),Map!$A$2:$B$20,2,FALSE),"")</f>
        <v/>
      </c>
      <c r="F660" t="str">
        <f>IF(A660="","",IFERROR(VLOOKUP(MID(A660,9,2),Map!$R$2:$S$14,2,FALSE),""))</f>
        <v/>
      </c>
      <c r="G660" t="str">
        <f t="shared" si="103"/>
        <v/>
      </c>
      <c r="H660" t="str">
        <f t="shared" si="104"/>
        <v/>
      </c>
      <c r="I660" t="str">
        <f>IF(A660="","",IFERROR(VLOOKUP(LEFT(A660,1),Map!$D$2:$E$20,2,FALSE),""))</f>
        <v/>
      </c>
      <c r="J660" t="str">
        <f>IF(OR(H660="",NOT(OR(LEFT(H660,1)="G",LEFT(H660,1)="R"))),"",IFERROR(VLOOKUP(MID(H660,2,1),Map!$J$2:$M$10,2,FALSE),""))</f>
        <v/>
      </c>
      <c r="K660" t="str">
        <f t="shared" si="105"/>
        <v/>
      </c>
      <c r="L660" t="str">
        <f t="shared" si="106"/>
        <v/>
      </c>
      <c r="M660" t="str">
        <f t="shared" si="107"/>
        <v/>
      </c>
      <c r="N660" t="str">
        <f t="shared" si="108"/>
        <v/>
      </c>
      <c r="O660" t="str">
        <f t="shared" si="109"/>
        <v/>
      </c>
      <c r="P660" t="str">
        <f>IF(OR(H660="",NOT(OR(LEFT(H660,1)="G",LEFT(H660,1)="R"))),"",IFERROR(VLOOKUP(MID(H660,3,1),Map!$G$2:$H$10,2,FALSE),""))</f>
        <v/>
      </c>
      <c r="Q660" t="str">
        <f>IF(A660="","",IFERROR(VLOOKUP(MID(A660,4,1),Map!$O$2:$P$10,2,FALSE),""))</f>
        <v/>
      </c>
    </row>
    <row r="661" spans="2:17" x14ac:dyDescent="0.25">
      <c r="B661" t="str">
        <f t="shared" si="100"/>
        <v/>
      </c>
      <c r="C661" t="str">
        <f t="shared" si="101"/>
        <v>**</v>
      </c>
      <c r="D661" t="str">
        <f t="shared" si="102"/>
        <v/>
      </c>
      <c r="E661" t="str">
        <f>IFERROR(VLOOKUP(MID(A661,7,2),Map!$A$2:$B$20,2,FALSE),"")</f>
        <v/>
      </c>
      <c r="F661" t="str">
        <f>IF(A661="","",IFERROR(VLOOKUP(MID(A661,9,2),Map!$R$2:$S$14,2,FALSE),""))</f>
        <v/>
      </c>
      <c r="G661" t="str">
        <f t="shared" si="103"/>
        <v/>
      </c>
      <c r="H661" t="str">
        <f t="shared" si="104"/>
        <v/>
      </c>
      <c r="I661" t="str">
        <f>IF(A661="","",IFERROR(VLOOKUP(LEFT(A661,1),Map!$D$2:$E$20,2,FALSE),""))</f>
        <v/>
      </c>
      <c r="J661" t="str">
        <f>IF(OR(H661="",NOT(OR(LEFT(H661,1)="G",LEFT(H661,1)="R"))),"",IFERROR(VLOOKUP(MID(H661,2,1),Map!$J$2:$M$10,2,FALSE),""))</f>
        <v/>
      </c>
      <c r="K661" t="str">
        <f t="shared" si="105"/>
        <v/>
      </c>
      <c r="L661" t="str">
        <f t="shared" si="106"/>
        <v/>
      </c>
      <c r="M661" t="str">
        <f t="shared" si="107"/>
        <v/>
      </c>
      <c r="N661" t="str">
        <f t="shared" si="108"/>
        <v/>
      </c>
      <c r="O661" t="str">
        <f t="shared" si="109"/>
        <v/>
      </c>
      <c r="P661" t="str">
        <f>IF(OR(H661="",NOT(OR(LEFT(H661,1)="G",LEFT(H661,1)="R"))),"",IFERROR(VLOOKUP(MID(H661,3,1),Map!$G$2:$H$10,2,FALSE),""))</f>
        <v/>
      </c>
      <c r="Q661" t="str">
        <f>IF(A661="","",IFERROR(VLOOKUP(MID(A661,4,1),Map!$O$2:$P$10,2,FALSE),""))</f>
        <v/>
      </c>
    </row>
    <row r="662" spans="2:17" x14ac:dyDescent="0.25">
      <c r="B662" t="str">
        <f t="shared" si="100"/>
        <v/>
      </c>
      <c r="C662" t="str">
        <f t="shared" si="101"/>
        <v>**</v>
      </c>
      <c r="D662" t="str">
        <f t="shared" si="102"/>
        <v/>
      </c>
      <c r="E662" t="str">
        <f>IFERROR(VLOOKUP(MID(A662,7,2),Map!$A$2:$B$20,2,FALSE),"")</f>
        <v/>
      </c>
      <c r="F662" t="str">
        <f>IF(A662="","",IFERROR(VLOOKUP(MID(A662,9,2),Map!$R$2:$S$14,2,FALSE),""))</f>
        <v/>
      </c>
      <c r="G662" t="str">
        <f t="shared" si="103"/>
        <v/>
      </c>
      <c r="H662" t="str">
        <f t="shared" si="104"/>
        <v/>
      </c>
      <c r="I662" t="str">
        <f>IF(A662="","",IFERROR(VLOOKUP(LEFT(A662,1),Map!$D$2:$E$20,2,FALSE),""))</f>
        <v/>
      </c>
      <c r="J662" t="str">
        <f>IF(OR(H662="",NOT(OR(LEFT(H662,1)="G",LEFT(H662,1)="R"))),"",IFERROR(VLOOKUP(MID(H662,2,1),Map!$J$2:$M$10,2,FALSE),""))</f>
        <v/>
      </c>
      <c r="K662" t="str">
        <f t="shared" si="105"/>
        <v/>
      </c>
      <c r="L662" t="str">
        <f t="shared" si="106"/>
        <v/>
      </c>
      <c r="M662" t="str">
        <f t="shared" si="107"/>
        <v/>
      </c>
      <c r="N662" t="str">
        <f t="shared" si="108"/>
        <v/>
      </c>
      <c r="O662" t="str">
        <f t="shared" si="109"/>
        <v/>
      </c>
      <c r="P662" t="str">
        <f>IF(OR(H662="",NOT(OR(LEFT(H662,1)="G",LEFT(H662,1)="R"))),"",IFERROR(VLOOKUP(MID(H662,3,1),Map!$G$2:$H$10,2,FALSE),""))</f>
        <v/>
      </c>
      <c r="Q662" t="str">
        <f>IF(A662="","",IFERROR(VLOOKUP(MID(A662,4,1),Map!$O$2:$P$10,2,FALSE),""))</f>
        <v/>
      </c>
    </row>
    <row r="663" spans="2:17" x14ac:dyDescent="0.25">
      <c r="B663" t="str">
        <f t="shared" si="100"/>
        <v/>
      </c>
      <c r="C663" t="str">
        <f t="shared" si="101"/>
        <v>**</v>
      </c>
      <c r="D663" t="str">
        <f t="shared" si="102"/>
        <v/>
      </c>
      <c r="E663" t="str">
        <f>IFERROR(VLOOKUP(MID(A663,7,2),Map!$A$2:$B$20,2,FALSE),"")</f>
        <v/>
      </c>
      <c r="F663" t="str">
        <f>IF(A663="","",IFERROR(VLOOKUP(MID(A663,9,2),Map!$R$2:$S$14,2,FALSE),""))</f>
        <v/>
      </c>
      <c r="G663" t="str">
        <f t="shared" si="103"/>
        <v/>
      </c>
      <c r="H663" t="str">
        <f t="shared" si="104"/>
        <v/>
      </c>
      <c r="I663" t="str">
        <f>IF(A663="","",IFERROR(VLOOKUP(LEFT(A663,1),Map!$D$2:$E$20,2,FALSE),""))</f>
        <v/>
      </c>
      <c r="J663" t="str">
        <f>IF(OR(H663="",NOT(OR(LEFT(H663,1)="G",LEFT(H663,1)="R"))),"",IFERROR(VLOOKUP(MID(H663,2,1),Map!$J$2:$M$10,2,FALSE),""))</f>
        <v/>
      </c>
      <c r="K663" t="str">
        <f t="shared" si="105"/>
        <v/>
      </c>
      <c r="L663" t="str">
        <f t="shared" si="106"/>
        <v/>
      </c>
      <c r="M663" t="str">
        <f t="shared" si="107"/>
        <v/>
      </c>
      <c r="N663" t="str">
        <f t="shared" si="108"/>
        <v/>
      </c>
      <c r="O663" t="str">
        <f t="shared" si="109"/>
        <v/>
      </c>
      <c r="P663" t="str">
        <f>IF(OR(H663="",NOT(OR(LEFT(H663,1)="G",LEFT(H663,1)="R"))),"",IFERROR(VLOOKUP(MID(H663,3,1),Map!$G$2:$H$10,2,FALSE),""))</f>
        <v/>
      </c>
      <c r="Q663" t="str">
        <f>IF(A663="","",IFERROR(VLOOKUP(MID(A663,4,1),Map!$O$2:$P$10,2,FALSE),""))</f>
        <v/>
      </c>
    </row>
    <row r="664" spans="2:17" x14ac:dyDescent="0.25">
      <c r="B664" t="str">
        <f t="shared" si="100"/>
        <v/>
      </c>
      <c r="C664" t="str">
        <f t="shared" si="101"/>
        <v>**</v>
      </c>
      <c r="D664" t="str">
        <f t="shared" si="102"/>
        <v/>
      </c>
      <c r="E664" t="str">
        <f>IFERROR(VLOOKUP(MID(A664,7,2),Map!$A$2:$B$20,2,FALSE),"")</f>
        <v/>
      </c>
      <c r="F664" t="str">
        <f>IF(A664="","",IFERROR(VLOOKUP(MID(A664,9,2),Map!$R$2:$S$14,2,FALSE),""))</f>
        <v/>
      </c>
      <c r="G664" t="str">
        <f t="shared" si="103"/>
        <v/>
      </c>
      <c r="H664" t="str">
        <f t="shared" si="104"/>
        <v/>
      </c>
      <c r="I664" t="str">
        <f>IF(A664="","",IFERROR(VLOOKUP(LEFT(A664,1),Map!$D$2:$E$20,2,FALSE),""))</f>
        <v/>
      </c>
      <c r="J664" t="str">
        <f>IF(OR(H664="",NOT(OR(LEFT(H664,1)="G",LEFT(H664,1)="R"))),"",IFERROR(VLOOKUP(MID(H664,2,1),Map!$J$2:$M$10,2,FALSE),""))</f>
        <v/>
      </c>
      <c r="K664" t="str">
        <f t="shared" si="105"/>
        <v/>
      </c>
      <c r="L664" t="str">
        <f t="shared" si="106"/>
        <v/>
      </c>
      <c r="M664" t="str">
        <f t="shared" si="107"/>
        <v/>
      </c>
      <c r="N664" t="str">
        <f t="shared" si="108"/>
        <v/>
      </c>
      <c r="O664" t="str">
        <f t="shared" si="109"/>
        <v/>
      </c>
      <c r="P664" t="str">
        <f>IF(OR(H664="",NOT(OR(LEFT(H664,1)="G",LEFT(H664,1)="R"))),"",IFERROR(VLOOKUP(MID(H664,3,1),Map!$G$2:$H$10,2,FALSE),""))</f>
        <v/>
      </c>
      <c r="Q664" t="str">
        <f>IF(A664="","",IFERROR(VLOOKUP(MID(A664,4,1),Map!$O$2:$P$10,2,FALSE),""))</f>
        <v/>
      </c>
    </row>
    <row r="665" spans="2:17" x14ac:dyDescent="0.25">
      <c r="B665" t="str">
        <f t="shared" si="100"/>
        <v/>
      </c>
      <c r="C665" t="str">
        <f t="shared" si="101"/>
        <v>**</v>
      </c>
      <c r="D665" t="str">
        <f t="shared" si="102"/>
        <v/>
      </c>
      <c r="E665" t="str">
        <f>IFERROR(VLOOKUP(MID(A665,7,2),Map!$A$2:$B$20,2,FALSE),"")</f>
        <v/>
      </c>
      <c r="F665" t="str">
        <f>IF(A665="","",IFERROR(VLOOKUP(MID(A665,9,2),Map!$R$2:$S$14,2,FALSE),""))</f>
        <v/>
      </c>
      <c r="G665" t="str">
        <f t="shared" si="103"/>
        <v/>
      </c>
      <c r="H665" t="str">
        <f t="shared" si="104"/>
        <v/>
      </c>
      <c r="I665" t="str">
        <f>IF(A665="","",IFERROR(VLOOKUP(LEFT(A665,1),Map!$D$2:$E$20,2,FALSE),""))</f>
        <v/>
      </c>
      <c r="J665" t="str">
        <f>IF(OR(H665="",NOT(OR(LEFT(H665,1)="G",LEFT(H665,1)="R"))),"",IFERROR(VLOOKUP(MID(H665,2,1),Map!$J$2:$M$10,2,FALSE),""))</f>
        <v/>
      </c>
      <c r="K665" t="str">
        <f t="shared" si="105"/>
        <v/>
      </c>
      <c r="L665" t="str">
        <f t="shared" si="106"/>
        <v/>
      </c>
      <c r="M665" t="str">
        <f t="shared" si="107"/>
        <v/>
      </c>
      <c r="N665" t="str">
        <f t="shared" si="108"/>
        <v/>
      </c>
      <c r="O665" t="str">
        <f t="shared" si="109"/>
        <v/>
      </c>
      <c r="P665" t="str">
        <f>IF(OR(H665="",NOT(OR(LEFT(H665,1)="G",LEFT(H665,1)="R"))),"",IFERROR(VLOOKUP(MID(H665,3,1),Map!$G$2:$H$10,2,FALSE),""))</f>
        <v/>
      </c>
      <c r="Q665" t="str">
        <f>IF(A665="","",IFERROR(VLOOKUP(MID(A665,4,1),Map!$O$2:$P$10,2,FALSE),""))</f>
        <v/>
      </c>
    </row>
    <row r="666" spans="2:17" x14ac:dyDescent="0.25">
      <c r="B666" t="str">
        <f t="shared" si="100"/>
        <v/>
      </c>
      <c r="C666" t="str">
        <f t="shared" si="101"/>
        <v>**</v>
      </c>
      <c r="D666" t="str">
        <f t="shared" si="102"/>
        <v/>
      </c>
      <c r="E666" t="str">
        <f>IFERROR(VLOOKUP(MID(A666,7,2),Map!$A$2:$B$20,2,FALSE),"")</f>
        <v/>
      </c>
      <c r="F666" t="str">
        <f>IF(A666="","",IFERROR(VLOOKUP(MID(A666,9,2),Map!$R$2:$S$14,2,FALSE),""))</f>
        <v/>
      </c>
      <c r="G666" t="str">
        <f t="shared" si="103"/>
        <v/>
      </c>
      <c r="H666" t="str">
        <f t="shared" si="104"/>
        <v/>
      </c>
      <c r="I666" t="str">
        <f>IF(A666="","",IFERROR(VLOOKUP(LEFT(A666,1),Map!$D$2:$E$20,2,FALSE),""))</f>
        <v/>
      </c>
      <c r="J666" t="str">
        <f>IF(OR(H666="",NOT(OR(LEFT(H666,1)="G",LEFT(H666,1)="R"))),"",IFERROR(VLOOKUP(MID(H666,2,1),Map!$J$2:$M$10,2,FALSE),""))</f>
        <v/>
      </c>
      <c r="K666" t="str">
        <f t="shared" si="105"/>
        <v/>
      </c>
      <c r="L666" t="str">
        <f t="shared" si="106"/>
        <v/>
      </c>
      <c r="M666" t="str">
        <f t="shared" si="107"/>
        <v/>
      </c>
      <c r="N666" t="str">
        <f t="shared" si="108"/>
        <v/>
      </c>
      <c r="O666" t="str">
        <f t="shared" si="109"/>
        <v/>
      </c>
      <c r="P666" t="str">
        <f>IF(OR(H666="",NOT(OR(LEFT(H666,1)="G",LEFT(H666,1)="R"))),"",IFERROR(VLOOKUP(MID(H666,3,1),Map!$G$2:$H$10,2,FALSE),""))</f>
        <v/>
      </c>
      <c r="Q666" t="str">
        <f>IF(A666="","",IFERROR(VLOOKUP(MID(A666,4,1),Map!$O$2:$P$10,2,FALSE),""))</f>
        <v/>
      </c>
    </row>
    <row r="667" spans="2:17" x14ac:dyDescent="0.25">
      <c r="B667" t="str">
        <f t="shared" si="100"/>
        <v/>
      </c>
      <c r="C667" t="str">
        <f t="shared" si="101"/>
        <v>**</v>
      </c>
      <c r="D667" t="str">
        <f t="shared" si="102"/>
        <v/>
      </c>
      <c r="E667" t="str">
        <f>IFERROR(VLOOKUP(MID(A667,7,2),Map!$A$2:$B$20,2,FALSE),"")</f>
        <v/>
      </c>
      <c r="F667" t="str">
        <f>IF(A667="","",IFERROR(VLOOKUP(MID(A667,9,2),Map!$R$2:$S$14,2,FALSE),""))</f>
        <v/>
      </c>
      <c r="G667" t="str">
        <f t="shared" si="103"/>
        <v/>
      </c>
      <c r="H667" t="str">
        <f t="shared" si="104"/>
        <v/>
      </c>
      <c r="I667" t="str">
        <f>IF(A667="","",IFERROR(VLOOKUP(LEFT(A667,1),Map!$D$2:$E$20,2,FALSE),""))</f>
        <v/>
      </c>
      <c r="J667" t="str">
        <f>IF(OR(H667="",NOT(OR(LEFT(H667,1)="G",LEFT(H667,1)="R"))),"",IFERROR(VLOOKUP(MID(H667,2,1),Map!$J$2:$M$10,2,FALSE),""))</f>
        <v/>
      </c>
      <c r="K667" t="str">
        <f t="shared" si="105"/>
        <v/>
      </c>
      <c r="L667" t="str">
        <f t="shared" si="106"/>
        <v/>
      </c>
      <c r="M667" t="str">
        <f t="shared" si="107"/>
        <v/>
      </c>
      <c r="N667" t="str">
        <f t="shared" si="108"/>
        <v/>
      </c>
      <c r="O667" t="str">
        <f t="shared" si="109"/>
        <v/>
      </c>
      <c r="P667" t="str">
        <f>IF(OR(H667="",NOT(OR(LEFT(H667,1)="G",LEFT(H667,1)="R"))),"",IFERROR(VLOOKUP(MID(H667,3,1),Map!$G$2:$H$10,2,FALSE),""))</f>
        <v/>
      </c>
      <c r="Q667" t="str">
        <f>IF(A667="","",IFERROR(VLOOKUP(MID(A667,4,1),Map!$O$2:$P$10,2,FALSE),""))</f>
        <v/>
      </c>
    </row>
    <row r="668" spans="2:17" x14ac:dyDescent="0.25">
      <c r="B668" t="str">
        <f t="shared" si="100"/>
        <v/>
      </c>
      <c r="C668" t="str">
        <f t="shared" si="101"/>
        <v>**</v>
      </c>
      <c r="D668" t="str">
        <f t="shared" si="102"/>
        <v/>
      </c>
      <c r="E668" t="str">
        <f>IFERROR(VLOOKUP(MID(A668,7,2),Map!$A$2:$B$20,2,FALSE),"")</f>
        <v/>
      </c>
      <c r="F668" t="str">
        <f>IF(A668="","",IFERROR(VLOOKUP(MID(A668,9,2),Map!$R$2:$S$14,2,FALSE),""))</f>
        <v/>
      </c>
      <c r="G668" t="str">
        <f t="shared" si="103"/>
        <v/>
      </c>
      <c r="H668" t="str">
        <f t="shared" si="104"/>
        <v/>
      </c>
      <c r="I668" t="str">
        <f>IF(A668="","",IFERROR(VLOOKUP(LEFT(A668,1),Map!$D$2:$E$20,2,FALSE),""))</f>
        <v/>
      </c>
      <c r="J668" t="str">
        <f>IF(OR(H668="",NOT(OR(LEFT(H668,1)="G",LEFT(H668,1)="R"))),"",IFERROR(VLOOKUP(MID(H668,2,1),Map!$J$2:$M$10,2,FALSE),""))</f>
        <v/>
      </c>
      <c r="K668" t="str">
        <f t="shared" si="105"/>
        <v/>
      </c>
      <c r="L668" t="str">
        <f t="shared" si="106"/>
        <v/>
      </c>
      <c r="M668" t="str">
        <f t="shared" si="107"/>
        <v/>
      </c>
      <c r="N668" t="str">
        <f t="shared" si="108"/>
        <v/>
      </c>
      <c r="O668" t="str">
        <f t="shared" si="109"/>
        <v/>
      </c>
      <c r="P668" t="str">
        <f>IF(OR(H668="",NOT(OR(LEFT(H668,1)="G",LEFT(H668,1)="R"))),"",IFERROR(VLOOKUP(MID(H668,3,1),Map!$G$2:$H$10,2,FALSE),""))</f>
        <v/>
      </c>
      <c r="Q668" t="str">
        <f>IF(A668="","",IFERROR(VLOOKUP(MID(A668,4,1),Map!$O$2:$P$10,2,FALSE),""))</f>
        <v/>
      </c>
    </row>
    <row r="669" spans="2:17" x14ac:dyDescent="0.25">
      <c r="B669" t="str">
        <f t="shared" si="100"/>
        <v/>
      </c>
      <c r="C669" t="str">
        <f t="shared" si="101"/>
        <v>**</v>
      </c>
      <c r="D669" t="str">
        <f t="shared" si="102"/>
        <v/>
      </c>
      <c r="E669" t="str">
        <f>IFERROR(VLOOKUP(MID(A669,7,2),Map!$A$2:$B$20,2,FALSE),"")</f>
        <v/>
      </c>
      <c r="F669" t="str">
        <f>IF(A669="","",IFERROR(VLOOKUP(MID(A669,9,2),Map!$R$2:$S$14,2,FALSE),""))</f>
        <v/>
      </c>
      <c r="G669" t="str">
        <f t="shared" si="103"/>
        <v/>
      </c>
      <c r="H669" t="str">
        <f t="shared" si="104"/>
        <v/>
      </c>
      <c r="I669" t="str">
        <f>IF(A669="","",IFERROR(VLOOKUP(LEFT(A669,1),Map!$D$2:$E$20,2,FALSE),""))</f>
        <v/>
      </c>
      <c r="J669" t="str">
        <f>IF(OR(H669="",NOT(OR(LEFT(H669,1)="G",LEFT(H669,1)="R"))),"",IFERROR(VLOOKUP(MID(H669,2,1),Map!$J$2:$M$10,2,FALSE),""))</f>
        <v/>
      </c>
      <c r="K669" t="str">
        <f t="shared" si="105"/>
        <v/>
      </c>
      <c r="L669" t="str">
        <f t="shared" si="106"/>
        <v/>
      </c>
      <c r="M669" t="str">
        <f t="shared" si="107"/>
        <v/>
      </c>
      <c r="N669" t="str">
        <f t="shared" si="108"/>
        <v/>
      </c>
      <c r="O669" t="str">
        <f t="shared" si="109"/>
        <v/>
      </c>
      <c r="P669" t="str">
        <f>IF(OR(H669="",NOT(OR(LEFT(H669,1)="G",LEFT(H669,1)="R"))),"",IFERROR(VLOOKUP(MID(H669,3,1),Map!$G$2:$H$10,2,FALSE),""))</f>
        <v/>
      </c>
      <c r="Q669" t="str">
        <f>IF(A669="","",IFERROR(VLOOKUP(MID(A669,4,1),Map!$O$2:$P$10,2,FALSE),""))</f>
        <v/>
      </c>
    </row>
    <row r="670" spans="2:17" x14ac:dyDescent="0.25">
      <c r="B670" t="str">
        <f t="shared" si="100"/>
        <v/>
      </c>
      <c r="C670" t="str">
        <f t="shared" si="101"/>
        <v>**</v>
      </c>
      <c r="D670" t="str">
        <f t="shared" si="102"/>
        <v/>
      </c>
      <c r="E670" t="str">
        <f>IFERROR(VLOOKUP(MID(A670,7,2),Map!$A$2:$B$20,2,FALSE),"")</f>
        <v/>
      </c>
      <c r="F670" t="str">
        <f>IF(A670="","",IFERROR(VLOOKUP(MID(A670,9,2),Map!$R$2:$S$14,2,FALSE),""))</f>
        <v/>
      </c>
      <c r="G670" t="str">
        <f t="shared" si="103"/>
        <v/>
      </c>
      <c r="H670" t="str">
        <f t="shared" si="104"/>
        <v/>
      </c>
      <c r="I670" t="str">
        <f>IF(A670="","",IFERROR(VLOOKUP(LEFT(A670,1),Map!$D$2:$E$20,2,FALSE),""))</f>
        <v/>
      </c>
      <c r="J670" t="str">
        <f>IF(OR(H670="",NOT(OR(LEFT(H670,1)="G",LEFT(H670,1)="R"))),"",IFERROR(VLOOKUP(MID(H670,2,1),Map!$J$2:$M$10,2,FALSE),""))</f>
        <v/>
      </c>
      <c r="K670" t="str">
        <f t="shared" si="105"/>
        <v/>
      </c>
      <c r="L670" t="str">
        <f t="shared" si="106"/>
        <v/>
      </c>
      <c r="M670" t="str">
        <f t="shared" si="107"/>
        <v/>
      </c>
      <c r="N670" t="str">
        <f t="shared" si="108"/>
        <v/>
      </c>
      <c r="O670" t="str">
        <f t="shared" si="109"/>
        <v/>
      </c>
      <c r="P670" t="str">
        <f>IF(OR(H670="",NOT(OR(LEFT(H670,1)="G",LEFT(H670,1)="R"))),"",IFERROR(VLOOKUP(MID(H670,3,1),Map!$G$2:$H$10,2,FALSE),""))</f>
        <v/>
      </c>
      <c r="Q670" t="str">
        <f>IF(A670="","",IFERROR(VLOOKUP(MID(A670,4,1),Map!$O$2:$P$10,2,FALSE),""))</f>
        <v/>
      </c>
    </row>
    <row r="671" spans="2:17" x14ac:dyDescent="0.25">
      <c r="B671" t="str">
        <f t="shared" si="100"/>
        <v/>
      </c>
      <c r="C671" t="str">
        <f t="shared" si="101"/>
        <v>**</v>
      </c>
      <c r="D671" t="str">
        <f t="shared" si="102"/>
        <v/>
      </c>
      <c r="E671" t="str">
        <f>IFERROR(VLOOKUP(MID(A671,7,2),Map!$A$2:$B$20,2,FALSE),"")</f>
        <v/>
      </c>
      <c r="F671" t="str">
        <f>IF(A671="","",IFERROR(VLOOKUP(MID(A671,9,2),Map!$R$2:$S$14,2,FALSE),""))</f>
        <v/>
      </c>
      <c r="G671" t="str">
        <f t="shared" si="103"/>
        <v/>
      </c>
      <c r="H671" t="str">
        <f t="shared" si="104"/>
        <v/>
      </c>
      <c r="I671" t="str">
        <f>IF(A671="","",IFERROR(VLOOKUP(LEFT(A671,1),Map!$D$2:$E$20,2,FALSE),""))</f>
        <v/>
      </c>
      <c r="J671" t="str">
        <f>IF(OR(H671="",NOT(OR(LEFT(H671,1)="G",LEFT(H671,1)="R"))),"",IFERROR(VLOOKUP(MID(H671,2,1),Map!$J$2:$M$10,2,FALSE),""))</f>
        <v/>
      </c>
      <c r="K671" t="str">
        <f t="shared" si="105"/>
        <v/>
      </c>
      <c r="L671" t="str">
        <f t="shared" si="106"/>
        <v/>
      </c>
      <c r="M671" t="str">
        <f t="shared" si="107"/>
        <v/>
      </c>
      <c r="N671" t="str">
        <f t="shared" si="108"/>
        <v/>
      </c>
      <c r="O671" t="str">
        <f t="shared" si="109"/>
        <v/>
      </c>
      <c r="P671" t="str">
        <f>IF(OR(H671="",NOT(OR(LEFT(H671,1)="G",LEFT(H671,1)="R"))),"",IFERROR(VLOOKUP(MID(H671,3,1),Map!$G$2:$H$10,2,FALSE),""))</f>
        <v/>
      </c>
      <c r="Q671" t="str">
        <f>IF(A671="","",IFERROR(VLOOKUP(MID(A671,4,1),Map!$O$2:$P$10,2,FALSE),""))</f>
        <v/>
      </c>
    </row>
    <row r="672" spans="2:17" x14ac:dyDescent="0.25">
      <c r="B672" t="str">
        <f t="shared" si="100"/>
        <v/>
      </c>
      <c r="C672" t="str">
        <f t="shared" si="101"/>
        <v>**</v>
      </c>
      <c r="D672" t="str">
        <f t="shared" si="102"/>
        <v/>
      </c>
      <c r="E672" t="str">
        <f>IFERROR(VLOOKUP(MID(A672,7,2),Map!$A$2:$B$20,2,FALSE),"")</f>
        <v/>
      </c>
      <c r="F672" t="str">
        <f>IF(A672="","",IFERROR(VLOOKUP(MID(A672,9,2),Map!$R$2:$S$14,2,FALSE),""))</f>
        <v/>
      </c>
      <c r="G672" t="str">
        <f t="shared" si="103"/>
        <v/>
      </c>
      <c r="H672" t="str">
        <f t="shared" si="104"/>
        <v/>
      </c>
      <c r="I672" t="str">
        <f>IF(A672="","",IFERROR(VLOOKUP(LEFT(A672,1),Map!$D$2:$E$20,2,FALSE),""))</f>
        <v/>
      </c>
      <c r="J672" t="str">
        <f>IF(OR(H672="",NOT(OR(LEFT(H672,1)="G",LEFT(H672,1)="R"))),"",IFERROR(VLOOKUP(MID(H672,2,1),Map!$J$2:$M$10,2,FALSE),""))</f>
        <v/>
      </c>
      <c r="K672" t="str">
        <f t="shared" si="105"/>
        <v/>
      </c>
      <c r="L672" t="str">
        <f t="shared" si="106"/>
        <v/>
      </c>
      <c r="M672" t="str">
        <f t="shared" si="107"/>
        <v/>
      </c>
      <c r="N672" t="str">
        <f t="shared" si="108"/>
        <v/>
      </c>
      <c r="O672" t="str">
        <f t="shared" si="109"/>
        <v/>
      </c>
      <c r="P672" t="str">
        <f>IF(OR(H672="",NOT(OR(LEFT(H672,1)="G",LEFT(H672,1)="R"))),"",IFERROR(VLOOKUP(MID(H672,3,1),Map!$G$2:$H$10,2,FALSE),""))</f>
        <v/>
      </c>
      <c r="Q672" t="str">
        <f>IF(A672="","",IFERROR(VLOOKUP(MID(A672,4,1),Map!$O$2:$P$10,2,FALSE),""))</f>
        <v/>
      </c>
    </row>
    <row r="673" spans="2:17" x14ac:dyDescent="0.25">
      <c r="B673" t="str">
        <f t="shared" si="100"/>
        <v/>
      </c>
      <c r="C673" t="str">
        <f t="shared" si="101"/>
        <v>**</v>
      </c>
      <c r="D673" t="str">
        <f t="shared" si="102"/>
        <v/>
      </c>
      <c r="E673" t="str">
        <f>IFERROR(VLOOKUP(MID(A673,7,2),Map!$A$2:$B$20,2,FALSE),"")</f>
        <v/>
      </c>
      <c r="F673" t="str">
        <f>IF(A673="","",IFERROR(VLOOKUP(MID(A673,9,2),Map!$R$2:$S$14,2,FALSE),""))</f>
        <v/>
      </c>
      <c r="G673" t="str">
        <f t="shared" si="103"/>
        <v/>
      </c>
      <c r="H673" t="str">
        <f t="shared" si="104"/>
        <v/>
      </c>
      <c r="I673" t="str">
        <f>IF(A673="","",IFERROR(VLOOKUP(LEFT(A673,1),Map!$D$2:$E$20,2,FALSE),""))</f>
        <v/>
      </c>
      <c r="J673" t="str">
        <f>IF(OR(H673="",NOT(OR(LEFT(H673,1)="G",LEFT(H673,1)="R"))),"",IFERROR(VLOOKUP(MID(H673,2,1),Map!$J$2:$M$10,2,FALSE),""))</f>
        <v/>
      </c>
      <c r="K673" t="str">
        <f t="shared" si="105"/>
        <v/>
      </c>
      <c r="L673" t="str">
        <f t="shared" si="106"/>
        <v/>
      </c>
      <c r="M673" t="str">
        <f t="shared" si="107"/>
        <v/>
      </c>
      <c r="N673" t="str">
        <f t="shared" si="108"/>
        <v/>
      </c>
      <c r="O673" t="str">
        <f t="shared" si="109"/>
        <v/>
      </c>
      <c r="P673" t="str">
        <f>IF(OR(H673="",NOT(OR(LEFT(H673,1)="G",LEFT(H673,1)="R"))),"",IFERROR(VLOOKUP(MID(H673,3,1),Map!$G$2:$H$10,2,FALSE),""))</f>
        <v/>
      </c>
      <c r="Q673" t="str">
        <f>IF(A673="","",IFERROR(VLOOKUP(MID(A673,4,1),Map!$O$2:$P$10,2,FALSE),""))</f>
        <v/>
      </c>
    </row>
    <row r="674" spans="2:17" x14ac:dyDescent="0.25">
      <c r="B674" t="str">
        <f t="shared" si="100"/>
        <v/>
      </c>
      <c r="C674" t="str">
        <f t="shared" si="101"/>
        <v>**</v>
      </c>
      <c r="D674" t="str">
        <f t="shared" si="102"/>
        <v/>
      </c>
      <c r="E674" t="str">
        <f>IFERROR(VLOOKUP(MID(A674,7,2),Map!$A$2:$B$20,2,FALSE),"")</f>
        <v/>
      </c>
      <c r="F674" t="str">
        <f>IF(A674="","",IFERROR(VLOOKUP(MID(A674,9,2),Map!$R$2:$S$14,2,FALSE),""))</f>
        <v/>
      </c>
      <c r="G674" t="str">
        <f t="shared" si="103"/>
        <v/>
      </c>
      <c r="H674" t="str">
        <f t="shared" si="104"/>
        <v/>
      </c>
      <c r="I674" t="str">
        <f>IF(A674="","",IFERROR(VLOOKUP(LEFT(A674,1),Map!$D$2:$E$20,2,FALSE),""))</f>
        <v/>
      </c>
      <c r="J674" t="str">
        <f>IF(OR(H674="",NOT(OR(LEFT(H674,1)="G",LEFT(H674,1)="R"))),"",IFERROR(VLOOKUP(MID(H674,2,1),Map!$J$2:$M$10,2,FALSE),""))</f>
        <v/>
      </c>
      <c r="K674" t="str">
        <f t="shared" si="105"/>
        <v/>
      </c>
      <c r="L674" t="str">
        <f t="shared" si="106"/>
        <v/>
      </c>
      <c r="M674" t="str">
        <f t="shared" si="107"/>
        <v/>
      </c>
      <c r="N674" t="str">
        <f t="shared" si="108"/>
        <v/>
      </c>
      <c r="O674" t="str">
        <f t="shared" si="109"/>
        <v/>
      </c>
      <c r="P674" t="str">
        <f>IF(OR(H674="",NOT(OR(LEFT(H674,1)="G",LEFT(H674,1)="R"))),"",IFERROR(VLOOKUP(MID(H674,3,1),Map!$G$2:$H$10,2,FALSE),""))</f>
        <v/>
      </c>
      <c r="Q674" t="str">
        <f>IF(A674="","",IFERROR(VLOOKUP(MID(A674,4,1),Map!$O$2:$P$10,2,FALSE),""))</f>
        <v/>
      </c>
    </row>
    <row r="675" spans="2:17" x14ac:dyDescent="0.25">
      <c r="B675" t="str">
        <f t="shared" si="100"/>
        <v/>
      </c>
      <c r="C675" t="str">
        <f t="shared" si="101"/>
        <v>**</v>
      </c>
      <c r="D675" t="str">
        <f t="shared" si="102"/>
        <v/>
      </c>
      <c r="E675" t="str">
        <f>IFERROR(VLOOKUP(MID(A675,7,2),Map!$A$2:$B$20,2,FALSE),"")</f>
        <v/>
      </c>
      <c r="F675" t="str">
        <f>IF(A675="","",IFERROR(VLOOKUP(MID(A675,9,2),Map!$R$2:$S$14,2,FALSE),""))</f>
        <v/>
      </c>
      <c r="G675" t="str">
        <f t="shared" si="103"/>
        <v/>
      </c>
      <c r="H675" t="str">
        <f t="shared" si="104"/>
        <v/>
      </c>
      <c r="I675" t="str">
        <f>IF(A675="","",IFERROR(VLOOKUP(LEFT(A675,1),Map!$D$2:$E$20,2,FALSE),""))</f>
        <v/>
      </c>
      <c r="J675" t="str">
        <f>IF(OR(H675="",NOT(OR(LEFT(H675,1)="G",LEFT(H675,1)="R"))),"",IFERROR(VLOOKUP(MID(H675,2,1),Map!$J$2:$M$10,2,FALSE),""))</f>
        <v/>
      </c>
      <c r="K675" t="str">
        <f t="shared" si="105"/>
        <v/>
      </c>
      <c r="L675" t="str">
        <f t="shared" si="106"/>
        <v/>
      </c>
      <c r="M675" t="str">
        <f t="shared" si="107"/>
        <v/>
      </c>
      <c r="N675" t="str">
        <f t="shared" si="108"/>
        <v/>
      </c>
      <c r="O675" t="str">
        <f t="shared" si="109"/>
        <v/>
      </c>
      <c r="P675" t="str">
        <f>IF(OR(H675="",NOT(OR(LEFT(H675,1)="G",LEFT(H675,1)="R"))),"",IFERROR(VLOOKUP(MID(H675,3,1),Map!$G$2:$H$10,2,FALSE),""))</f>
        <v/>
      </c>
      <c r="Q675" t="str">
        <f>IF(A675="","",IFERROR(VLOOKUP(MID(A675,4,1),Map!$O$2:$P$10,2,FALSE),""))</f>
        <v/>
      </c>
    </row>
    <row r="676" spans="2:17" x14ac:dyDescent="0.25">
      <c r="B676" t="str">
        <f t="shared" si="100"/>
        <v/>
      </c>
      <c r="C676" t="str">
        <f t="shared" si="101"/>
        <v>**</v>
      </c>
      <c r="D676" t="str">
        <f t="shared" si="102"/>
        <v/>
      </c>
      <c r="E676" t="str">
        <f>IFERROR(VLOOKUP(MID(A676,7,2),Map!$A$2:$B$20,2,FALSE),"")</f>
        <v/>
      </c>
      <c r="F676" t="str">
        <f>IF(A676="","",IFERROR(VLOOKUP(MID(A676,9,2),Map!$R$2:$S$14,2,FALSE),""))</f>
        <v/>
      </c>
      <c r="G676" t="str">
        <f t="shared" si="103"/>
        <v/>
      </c>
      <c r="H676" t="str">
        <f t="shared" si="104"/>
        <v/>
      </c>
      <c r="I676" t="str">
        <f>IF(A676="","",IFERROR(VLOOKUP(LEFT(A676,1),Map!$D$2:$E$20,2,FALSE),""))</f>
        <v/>
      </c>
      <c r="J676" t="str">
        <f>IF(OR(H676="",NOT(OR(LEFT(H676,1)="G",LEFT(H676,1)="R"))),"",IFERROR(VLOOKUP(MID(H676,2,1),Map!$J$2:$M$10,2,FALSE),""))</f>
        <v/>
      </c>
      <c r="K676" t="str">
        <f t="shared" si="105"/>
        <v/>
      </c>
      <c r="L676" t="str">
        <f t="shared" si="106"/>
        <v/>
      </c>
      <c r="M676" t="str">
        <f t="shared" si="107"/>
        <v/>
      </c>
      <c r="N676" t="str">
        <f t="shared" si="108"/>
        <v/>
      </c>
      <c r="O676" t="str">
        <f t="shared" si="109"/>
        <v/>
      </c>
      <c r="P676" t="str">
        <f>IF(OR(H676="",NOT(OR(LEFT(H676,1)="G",LEFT(H676,1)="R"))),"",IFERROR(VLOOKUP(MID(H676,3,1),Map!$G$2:$H$10,2,FALSE),""))</f>
        <v/>
      </c>
      <c r="Q676" t="str">
        <f>IF(A676="","",IFERROR(VLOOKUP(MID(A676,4,1),Map!$O$2:$P$10,2,FALSE),""))</f>
        <v/>
      </c>
    </row>
    <row r="677" spans="2:17" x14ac:dyDescent="0.25">
      <c r="B677" t="str">
        <f t="shared" si="100"/>
        <v/>
      </c>
      <c r="C677" t="str">
        <f t="shared" si="101"/>
        <v>**</v>
      </c>
      <c r="D677" t="str">
        <f t="shared" si="102"/>
        <v/>
      </c>
      <c r="E677" t="str">
        <f>IFERROR(VLOOKUP(MID(A677,7,2),Map!$A$2:$B$20,2,FALSE),"")</f>
        <v/>
      </c>
      <c r="F677" t="str">
        <f>IF(A677="","",IFERROR(VLOOKUP(MID(A677,9,2),Map!$R$2:$S$14,2,FALSE),""))</f>
        <v/>
      </c>
      <c r="G677" t="str">
        <f t="shared" si="103"/>
        <v/>
      </c>
      <c r="H677" t="str">
        <f t="shared" si="104"/>
        <v/>
      </c>
      <c r="I677" t="str">
        <f>IF(A677="","",IFERROR(VLOOKUP(LEFT(A677,1),Map!$D$2:$E$20,2,FALSE),""))</f>
        <v/>
      </c>
      <c r="J677" t="str">
        <f>IF(OR(H677="",NOT(OR(LEFT(H677,1)="G",LEFT(H677,1)="R"))),"",IFERROR(VLOOKUP(MID(H677,2,1),Map!$J$2:$M$10,2,FALSE),""))</f>
        <v/>
      </c>
      <c r="K677" t="str">
        <f t="shared" si="105"/>
        <v/>
      </c>
      <c r="L677" t="str">
        <f t="shared" si="106"/>
        <v/>
      </c>
      <c r="M677" t="str">
        <f t="shared" si="107"/>
        <v/>
      </c>
      <c r="N677" t="str">
        <f t="shared" si="108"/>
        <v/>
      </c>
      <c r="O677" t="str">
        <f t="shared" si="109"/>
        <v/>
      </c>
      <c r="P677" t="str">
        <f>IF(OR(H677="",NOT(OR(LEFT(H677,1)="G",LEFT(H677,1)="R"))),"",IFERROR(VLOOKUP(MID(H677,3,1),Map!$G$2:$H$10,2,FALSE),""))</f>
        <v/>
      </c>
      <c r="Q677" t="str">
        <f>IF(A677="","",IFERROR(VLOOKUP(MID(A677,4,1),Map!$O$2:$P$10,2,FALSE),""))</f>
        <v/>
      </c>
    </row>
    <row r="678" spans="2:17" x14ac:dyDescent="0.25">
      <c r="B678" t="str">
        <f t="shared" si="100"/>
        <v/>
      </c>
      <c r="C678" t="str">
        <f t="shared" si="101"/>
        <v>**</v>
      </c>
      <c r="D678" t="str">
        <f t="shared" si="102"/>
        <v/>
      </c>
      <c r="E678" t="str">
        <f>IFERROR(VLOOKUP(MID(A678,7,2),Map!$A$2:$B$20,2,FALSE),"")</f>
        <v/>
      </c>
      <c r="F678" t="str">
        <f>IF(A678="","",IFERROR(VLOOKUP(MID(A678,9,2),Map!$R$2:$S$14,2,FALSE),""))</f>
        <v/>
      </c>
      <c r="G678" t="str">
        <f t="shared" si="103"/>
        <v/>
      </c>
      <c r="H678" t="str">
        <f t="shared" si="104"/>
        <v/>
      </c>
      <c r="I678" t="str">
        <f>IF(A678="","",IFERROR(VLOOKUP(LEFT(A678,1),Map!$D$2:$E$20,2,FALSE),""))</f>
        <v/>
      </c>
      <c r="J678" t="str">
        <f>IF(OR(H678="",NOT(OR(LEFT(H678,1)="G",LEFT(H678,1)="R"))),"",IFERROR(VLOOKUP(MID(H678,2,1),Map!$J$2:$M$10,2,FALSE),""))</f>
        <v/>
      </c>
      <c r="K678" t="str">
        <f t="shared" si="105"/>
        <v/>
      </c>
      <c r="L678" t="str">
        <f t="shared" si="106"/>
        <v/>
      </c>
      <c r="M678" t="str">
        <f t="shared" si="107"/>
        <v/>
      </c>
      <c r="N678" t="str">
        <f t="shared" si="108"/>
        <v/>
      </c>
      <c r="O678" t="str">
        <f t="shared" si="109"/>
        <v/>
      </c>
      <c r="P678" t="str">
        <f>IF(OR(H678="",NOT(OR(LEFT(H678,1)="G",LEFT(H678,1)="R"))),"",IFERROR(VLOOKUP(MID(H678,3,1),Map!$G$2:$H$10,2,FALSE),""))</f>
        <v/>
      </c>
      <c r="Q678" t="str">
        <f>IF(A678="","",IFERROR(VLOOKUP(MID(A678,4,1),Map!$O$2:$P$10,2,FALSE),""))</f>
        <v/>
      </c>
    </row>
    <row r="679" spans="2:17" x14ac:dyDescent="0.25">
      <c r="B679" t="str">
        <f t="shared" si="100"/>
        <v/>
      </c>
      <c r="C679" t="str">
        <f t="shared" si="101"/>
        <v>**</v>
      </c>
      <c r="D679" t="str">
        <f t="shared" si="102"/>
        <v/>
      </c>
      <c r="E679" t="str">
        <f>IFERROR(VLOOKUP(MID(A679,7,2),Map!$A$2:$B$20,2,FALSE),"")</f>
        <v/>
      </c>
      <c r="F679" t="str">
        <f>IF(A679="","",IFERROR(VLOOKUP(MID(A679,9,2),Map!$R$2:$S$14,2,FALSE),""))</f>
        <v/>
      </c>
      <c r="G679" t="str">
        <f t="shared" si="103"/>
        <v/>
      </c>
      <c r="H679" t="str">
        <f t="shared" si="104"/>
        <v/>
      </c>
      <c r="I679" t="str">
        <f>IF(A679="","",IFERROR(VLOOKUP(LEFT(A679,1),Map!$D$2:$E$20,2,FALSE),""))</f>
        <v/>
      </c>
      <c r="J679" t="str">
        <f>IF(OR(H679="",NOT(OR(LEFT(H679,1)="G",LEFT(H679,1)="R"))),"",IFERROR(VLOOKUP(MID(H679,2,1),Map!$J$2:$M$10,2,FALSE),""))</f>
        <v/>
      </c>
      <c r="K679" t="str">
        <f t="shared" si="105"/>
        <v/>
      </c>
      <c r="L679" t="str">
        <f t="shared" si="106"/>
        <v/>
      </c>
      <c r="M679" t="str">
        <f t="shared" si="107"/>
        <v/>
      </c>
      <c r="N679" t="str">
        <f t="shared" si="108"/>
        <v/>
      </c>
      <c r="O679" t="str">
        <f t="shared" si="109"/>
        <v/>
      </c>
      <c r="P679" t="str">
        <f>IF(OR(H679="",NOT(OR(LEFT(H679,1)="G",LEFT(H679,1)="R"))),"",IFERROR(VLOOKUP(MID(H679,3,1),Map!$G$2:$H$10,2,FALSE),""))</f>
        <v/>
      </c>
      <c r="Q679" t="str">
        <f>IF(A679="","",IFERROR(VLOOKUP(MID(A679,4,1),Map!$O$2:$P$10,2,FALSE),""))</f>
        <v/>
      </c>
    </row>
    <row r="680" spans="2:17" x14ac:dyDescent="0.25">
      <c r="B680" t="str">
        <f t="shared" si="100"/>
        <v/>
      </c>
      <c r="C680" t="str">
        <f t="shared" si="101"/>
        <v>**</v>
      </c>
      <c r="D680" t="str">
        <f t="shared" si="102"/>
        <v/>
      </c>
      <c r="E680" t="str">
        <f>IFERROR(VLOOKUP(MID(A680,7,2),Map!$A$2:$B$20,2,FALSE),"")</f>
        <v/>
      </c>
      <c r="F680" t="str">
        <f>IF(A680="","",IFERROR(VLOOKUP(MID(A680,9,2),Map!$R$2:$S$14,2,FALSE),""))</f>
        <v/>
      </c>
      <c r="G680" t="str">
        <f t="shared" si="103"/>
        <v/>
      </c>
      <c r="H680" t="str">
        <f t="shared" si="104"/>
        <v/>
      </c>
      <c r="I680" t="str">
        <f>IF(A680="","",IFERROR(VLOOKUP(LEFT(A680,1),Map!$D$2:$E$20,2,FALSE),""))</f>
        <v/>
      </c>
      <c r="J680" t="str">
        <f>IF(OR(H680="",NOT(OR(LEFT(H680,1)="G",LEFT(H680,1)="R"))),"",IFERROR(VLOOKUP(MID(H680,2,1),Map!$J$2:$M$10,2,FALSE),""))</f>
        <v/>
      </c>
      <c r="K680" t="str">
        <f t="shared" si="105"/>
        <v/>
      </c>
      <c r="L680" t="str">
        <f t="shared" si="106"/>
        <v/>
      </c>
      <c r="M680" t="str">
        <f t="shared" si="107"/>
        <v/>
      </c>
      <c r="N680" t="str">
        <f t="shared" si="108"/>
        <v/>
      </c>
      <c r="O680" t="str">
        <f t="shared" si="109"/>
        <v/>
      </c>
      <c r="P680" t="str">
        <f>IF(OR(H680="",NOT(OR(LEFT(H680,1)="G",LEFT(H680,1)="R"))),"",IFERROR(VLOOKUP(MID(H680,3,1),Map!$G$2:$H$10,2,FALSE),""))</f>
        <v/>
      </c>
      <c r="Q680" t="str">
        <f>IF(A680="","",IFERROR(VLOOKUP(MID(A680,4,1),Map!$O$2:$P$10,2,FALSE),""))</f>
        <v/>
      </c>
    </row>
    <row r="681" spans="2:17" x14ac:dyDescent="0.25">
      <c r="B681" t="str">
        <f t="shared" si="100"/>
        <v/>
      </c>
      <c r="C681" t="str">
        <f t="shared" si="101"/>
        <v>**</v>
      </c>
      <c r="D681" t="str">
        <f t="shared" si="102"/>
        <v/>
      </c>
      <c r="E681" t="str">
        <f>IFERROR(VLOOKUP(MID(A681,7,2),Map!$A$2:$B$20,2,FALSE),"")</f>
        <v/>
      </c>
      <c r="F681" t="str">
        <f>IF(A681="","",IFERROR(VLOOKUP(MID(A681,9,2),Map!$R$2:$S$14,2,FALSE),""))</f>
        <v/>
      </c>
      <c r="G681" t="str">
        <f t="shared" si="103"/>
        <v/>
      </c>
      <c r="H681" t="str">
        <f t="shared" si="104"/>
        <v/>
      </c>
      <c r="I681" t="str">
        <f>IF(A681="","",IFERROR(VLOOKUP(LEFT(A681,1),Map!$D$2:$E$20,2,FALSE),""))</f>
        <v/>
      </c>
      <c r="J681" t="str">
        <f>IF(OR(H681="",NOT(OR(LEFT(H681,1)="G",LEFT(H681,1)="R"))),"",IFERROR(VLOOKUP(MID(H681,2,1),Map!$J$2:$M$10,2,FALSE),""))</f>
        <v/>
      </c>
      <c r="K681" t="str">
        <f t="shared" si="105"/>
        <v/>
      </c>
      <c r="L681" t="str">
        <f t="shared" si="106"/>
        <v/>
      </c>
      <c r="M681" t="str">
        <f t="shared" si="107"/>
        <v/>
      </c>
      <c r="N681" t="str">
        <f t="shared" si="108"/>
        <v/>
      </c>
      <c r="O681" t="str">
        <f t="shared" si="109"/>
        <v/>
      </c>
      <c r="P681" t="str">
        <f>IF(OR(H681="",NOT(OR(LEFT(H681,1)="G",LEFT(H681,1)="R"))),"",IFERROR(VLOOKUP(MID(H681,3,1),Map!$G$2:$H$10,2,FALSE),""))</f>
        <v/>
      </c>
      <c r="Q681" t="str">
        <f>IF(A681="","",IFERROR(VLOOKUP(MID(A681,4,1),Map!$O$2:$P$10,2,FALSE),""))</f>
        <v/>
      </c>
    </row>
    <row r="682" spans="2:17" x14ac:dyDescent="0.25">
      <c r="B682" t="str">
        <f t="shared" si="100"/>
        <v/>
      </c>
      <c r="C682" t="str">
        <f t="shared" si="101"/>
        <v>**</v>
      </c>
      <c r="D682" t="str">
        <f t="shared" si="102"/>
        <v/>
      </c>
      <c r="E682" t="str">
        <f>IFERROR(VLOOKUP(MID(A682,7,2),Map!$A$2:$B$20,2,FALSE),"")</f>
        <v/>
      </c>
      <c r="F682" t="str">
        <f>IF(A682="","",IFERROR(VLOOKUP(MID(A682,9,2),Map!$R$2:$S$14,2,FALSE),""))</f>
        <v/>
      </c>
      <c r="G682" t="str">
        <f t="shared" si="103"/>
        <v/>
      </c>
      <c r="H682" t="str">
        <f t="shared" si="104"/>
        <v/>
      </c>
      <c r="I682" t="str">
        <f>IF(A682="","",IFERROR(VLOOKUP(LEFT(A682,1),Map!$D$2:$E$20,2,FALSE),""))</f>
        <v/>
      </c>
      <c r="J682" t="str">
        <f>IF(OR(H682="",NOT(OR(LEFT(H682,1)="G",LEFT(H682,1)="R"))),"",IFERROR(VLOOKUP(MID(H682,2,1),Map!$J$2:$M$10,2,FALSE),""))</f>
        <v/>
      </c>
      <c r="K682" t="str">
        <f t="shared" si="105"/>
        <v/>
      </c>
      <c r="L682" t="str">
        <f t="shared" si="106"/>
        <v/>
      </c>
      <c r="M682" t="str">
        <f t="shared" si="107"/>
        <v/>
      </c>
      <c r="N682" t="str">
        <f t="shared" si="108"/>
        <v/>
      </c>
      <c r="O682" t="str">
        <f t="shared" si="109"/>
        <v/>
      </c>
      <c r="P682" t="str">
        <f>IF(OR(H682="",NOT(OR(LEFT(H682,1)="G",LEFT(H682,1)="R"))),"",IFERROR(VLOOKUP(MID(H682,3,1),Map!$G$2:$H$10,2,FALSE),""))</f>
        <v/>
      </c>
      <c r="Q682" t="str">
        <f>IF(A682="","",IFERROR(VLOOKUP(MID(A682,4,1),Map!$O$2:$P$10,2,FALSE),""))</f>
        <v/>
      </c>
    </row>
    <row r="683" spans="2:17" x14ac:dyDescent="0.25">
      <c r="B683" t="str">
        <f t="shared" si="100"/>
        <v/>
      </c>
      <c r="C683" t="str">
        <f t="shared" si="101"/>
        <v>**</v>
      </c>
      <c r="D683" t="str">
        <f t="shared" si="102"/>
        <v/>
      </c>
      <c r="E683" t="str">
        <f>IFERROR(VLOOKUP(MID(A683,7,2),Map!$A$2:$B$20,2,FALSE),"")</f>
        <v/>
      </c>
      <c r="F683" t="str">
        <f>IF(A683="","",IFERROR(VLOOKUP(MID(A683,9,2),Map!$R$2:$S$14,2,FALSE),""))</f>
        <v/>
      </c>
      <c r="G683" t="str">
        <f t="shared" si="103"/>
        <v/>
      </c>
      <c r="H683" t="str">
        <f t="shared" si="104"/>
        <v/>
      </c>
      <c r="I683" t="str">
        <f>IF(A683="","",IFERROR(VLOOKUP(LEFT(A683,1),Map!$D$2:$E$20,2,FALSE),""))</f>
        <v/>
      </c>
      <c r="J683" t="str">
        <f>IF(OR(H683="",NOT(OR(LEFT(H683,1)="G",LEFT(H683,1)="R"))),"",IFERROR(VLOOKUP(MID(H683,2,1),Map!$J$2:$M$10,2,FALSE),""))</f>
        <v/>
      </c>
      <c r="K683" t="str">
        <f t="shared" si="105"/>
        <v/>
      </c>
      <c r="L683" t="str">
        <f t="shared" si="106"/>
        <v/>
      </c>
      <c r="M683" t="str">
        <f t="shared" si="107"/>
        <v/>
      </c>
      <c r="N683" t="str">
        <f t="shared" si="108"/>
        <v/>
      </c>
      <c r="O683" t="str">
        <f t="shared" si="109"/>
        <v/>
      </c>
      <c r="P683" t="str">
        <f>IF(OR(H683="",NOT(OR(LEFT(H683,1)="G",LEFT(H683,1)="R"))),"",IFERROR(VLOOKUP(MID(H683,3,1),Map!$G$2:$H$10,2,FALSE),""))</f>
        <v/>
      </c>
      <c r="Q683" t="str">
        <f>IF(A683="","",IFERROR(VLOOKUP(MID(A683,4,1),Map!$O$2:$P$10,2,FALSE),""))</f>
        <v/>
      </c>
    </row>
    <row r="684" spans="2:17" x14ac:dyDescent="0.25">
      <c r="B684" t="str">
        <f t="shared" si="100"/>
        <v/>
      </c>
      <c r="C684" t="str">
        <f t="shared" si="101"/>
        <v>**</v>
      </c>
      <c r="D684" t="str">
        <f t="shared" si="102"/>
        <v/>
      </c>
      <c r="E684" t="str">
        <f>IFERROR(VLOOKUP(MID(A684,7,2),Map!$A$2:$B$20,2,FALSE),"")</f>
        <v/>
      </c>
      <c r="F684" t="str">
        <f>IF(A684="","",IFERROR(VLOOKUP(MID(A684,9,2),Map!$R$2:$S$14,2,FALSE),""))</f>
        <v/>
      </c>
      <c r="G684" t="str">
        <f t="shared" si="103"/>
        <v/>
      </c>
      <c r="H684" t="str">
        <f t="shared" si="104"/>
        <v/>
      </c>
      <c r="I684" t="str">
        <f>IF(A684="","",IFERROR(VLOOKUP(LEFT(A684,1),Map!$D$2:$E$20,2,FALSE),""))</f>
        <v/>
      </c>
      <c r="J684" t="str">
        <f>IF(OR(H684="",NOT(OR(LEFT(H684,1)="G",LEFT(H684,1)="R"))),"",IFERROR(VLOOKUP(MID(H684,2,1),Map!$J$2:$M$10,2,FALSE),""))</f>
        <v/>
      </c>
      <c r="K684" t="str">
        <f t="shared" si="105"/>
        <v/>
      </c>
      <c r="L684" t="str">
        <f t="shared" si="106"/>
        <v/>
      </c>
      <c r="M684" t="str">
        <f t="shared" si="107"/>
        <v/>
      </c>
      <c r="N684" t="str">
        <f t="shared" si="108"/>
        <v/>
      </c>
      <c r="O684" t="str">
        <f t="shared" si="109"/>
        <v/>
      </c>
      <c r="P684" t="str">
        <f>IF(OR(H684="",NOT(OR(LEFT(H684,1)="G",LEFT(H684,1)="R"))),"",IFERROR(VLOOKUP(MID(H684,3,1),Map!$G$2:$H$10,2,FALSE),""))</f>
        <v/>
      </c>
      <c r="Q684" t="str">
        <f>IF(A684="","",IFERROR(VLOOKUP(MID(A684,4,1),Map!$O$2:$P$10,2,FALSE),""))</f>
        <v/>
      </c>
    </row>
    <row r="685" spans="2:17" x14ac:dyDescent="0.25">
      <c r="B685" t="str">
        <f t="shared" si="100"/>
        <v/>
      </c>
      <c r="C685" t="str">
        <f t="shared" si="101"/>
        <v>**</v>
      </c>
      <c r="D685" t="str">
        <f t="shared" si="102"/>
        <v/>
      </c>
      <c r="E685" t="str">
        <f>IFERROR(VLOOKUP(MID(A685,7,2),Map!$A$2:$B$20,2,FALSE),"")</f>
        <v/>
      </c>
      <c r="F685" t="str">
        <f>IF(A685="","",IFERROR(VLOOKUP(MID(A685,9,2),Map!$R$2:$S$14,2,FALSE),""))</f>
        <v/>
      </c>
      <c r="G685" t="str">
        <f t="shared" si="103"/>
        <v/>
      </c>
      <c r="H685" t="str">
        <f t="shared" si="104"/>
        <v/>
      </c>
      <c r="I685" t="str">
        <f>IF(A685="","",IFERROR(VLOOKUP(LEFT(A685,1),Map!$D$2:$E$20,2,FALSE),""))</f>
        <v/>
      </c>
      <c r="J685" t="str">
        <f>IF(OR(H685="",NOT(OR(LEFT(H685,1)="G",LEFT(H685,1)="R"))),"",IFERROR(VLOOKUP(MID(H685,2,1),Map!$J$2:$M$10,2,FALSE),""))</f>
        <v/>
      </c>
      <c r="K685" t="str">
        <f t="shared" si="105"/>
        <v/>
      </c>
      <c r="L685" t="str">
        <f t="shared" si="106"/>
        <v/>
      </c>
      <c r="M685" t="str">
        <f t="shared" si="107"/>
        <v/>
      </c>
      <c r="N685" t="str">
        <f t="shared" si="108"/>
        <v/>
      </c>
      <c r="O685" t="str">
        <f t="shared" si="109"/>
        <v/>
      </c>
      <c r="P685" t="str">
        <f>IF(OR(H685="",NOT(OR(LEFT(H685,1)="G",LEFT(H685,1)="R"))),"",IFERROR(VLOOKUP(MID(H685,3,1),Map!$G$2:$H$10,2,FALSE),""))</f>
        <v/>
      </c>
      <c r="Q685" t="str">
        <f>IF(A685="","",IFERROR(VLOOKUP(MID(A685,4,1),Map!$O$2:$P$10,2,FALSE),""))</f>
        <v/>
      </c>
    </row>
    <row r="686" spans="2:17" x14ac:dyDescent="0.25">
      <c r="B686" t="str">
        <f t="shared" si="100"/>
        <v/>
      </c>
      <c r="C686" t="str">
        <f t="shared" si="101"/>
        <v>**</v>
      </c>
      <c r="D686" t="str">
        <f t="shared" si="102"/>
        <v/>
      </c>
      <c r="E686" t="str">
        <f>IFERROR(VLOOKUP(MID(A686,7,2),Map!$A$2:$B$20,2,FALSE),"")</f>
        <v/>
      </c>
      <c r="F686" t="str">
        <f>IF(A686="","",IFERROR(VLOOKUP(MID(A686,9,2),Map!$R$2:$S$14,2,FALSE),""))</f>
        <v/>
      </c>
      <c r="G686" t="str">
        <f t="shared" si="103"/>
        <v/>
      </c>
      <c r="H686" t="str">
        <f t="shared" si="104"/>
        <v/>
      </c>
      <c r="I686" t="str">
        <f>IF(A686="","",IFERROR(VLOOKUP(LEFT(A686,1),Map!$D$2:$E$20,2,FALSE),""))</f>
        <v/>
      </c>
      <c r="J686" t="str">
        <f>IF(OR(H686="",NOT(OR(LEFT(H686,1)="G",LEFT(H686,1)="R"))),"",IFERROR(VLOOKUP(MID(H686,2,1),Map!$J$2:$M$10,2,FALSE),""))</f>
        <v/>
      </c>
      <c r="K686" t="str">
        <f t="shared" si="105"/>
        <v/>
      </c>
      <c r="L686" t="str">
        <f t="shared" si="106"/>
        <v/>
      </c>
      <c r="M686" t="str">
        <f t="shared" si="107"/>
        <v/>
      </c>
      <c r="N686" t="str">
        <f t="shared" si="108"/>
        <v/>
      </c>
      <c r="O686" t="str">
        <f t="shared" si="109"/>
        <v/>
      </c>
      <c r="P686" t="str">
        <f>IF(OR(H686="",NOT(OR(LEFT(H686,1)="G",LEFT(H686,1)="R"))),"",IFERROR(VLOOKUP(MID(H686,3,1),Map!$G$2:$H$10,2,FALSE),""))</f>
        <v/>
      </c>
      <c r="Q686" t="str">
        <f>IF(A686="","",IFERROR(VLOOKUP(MID(A686,4,1),Map!$O$2:$P$10,2,FALSE),""))</f>
        <v/>
      </c>
    </row>
    <row r="687" spans="2:17" x14ac:dyDescent="0.25">
      <c r="B687" t="str">
        <f t="shared" si="100"/>
        <v/>
      </c>
      <c r="C687" t="str">
        <f t="shared" si="101"/>
        <v>**</v>
      </c>
      <c r="D687" t="str">
        <f t="shared" si="102"/>
        <v/>
      </c>
      <c r="E687" t="str">
        <f>IFERROR(VLOOKUP(MID(A687,7,2),Map!$A$2:$B$20,2,FALSE),"")</f>
        <v/>
      </c>
      <c r="F687" t="str">
        <f>IF(A687="","",IFERROR(VLOOKUP(MID(A687,9,2),Map!$R$2:$S$14,2,FALSE),""))</f>
        <v/>
      </c>
      <c r="G687" t="str">
        <f t="shared" si="103"/>
        <v/>
      </c>
      <c r="H687" t="str">
        <f t="shared" si="104"/>
        <v/>
      </c>
      <c r="I687" t="str">
        <f>IF(A687="","",IFERROR(VLOOKUP(LEFT(A687,1),Map!$D$2:$E$20,2,FALSE),""))</f>
        <v/>
      </c>
      <c r="J687" t="str">
        <f>IF(OR(H687="",NOT(OR(LEFT(H687,1)="G",LEFT(H687,1)="R"))),"",IFERROR(VLOOKUP(MID(H687,2,1),Map!$J$2:$M$10,2,FALSE),""))</f>
        <v/>
      </c>
      <c r="K687" t="str">
        <f t="shared" si="105"/>
        <v/>
      </c>
      <c r="L687" t="str">
        <f t="shared" si="106"/>
        <v/>
      </c>
      <c r="M687" t="str">
        <f t="shared" si="107"/>
        <v/>
      </c>
      <c r="N687" t="str">
        <f t="shared" si="108"/>
        <v/>
      </c>
      <c r="O687" t="str">
        <f t="shared" si="109"/>
        <v/>
      </c>
      <c r="P687" t="str">
        <f>IF(OR(H687="",NOT(OR(LEFT(H687,1)="G",LEFT(H687,1)="R"))),"",IFERROR(VLOOKUP(MID(H687,3,1),Map!$G$2:$H$10,2,FALSE),""))</f>
        <v/>
      </c>
      <c r="Q687" t="str">
        <f>IF(A687="","",IFERROR(VLOOKUP(MID(A687,4,1),Map!$O$2:$P$10,2,FALSE),""))</f>
        <v/>
      </c>
    </row>
    <row r="688" spans="2:17" x14ac:dyDescent="0.25">
      <c r="B688" t="str">
        <f t="shared" si="100"/>
        <v/>
      </c>
      <c r="C688" t="str">
        <f t="shared" si="101"/>
        <v>**</v>
      </c>
      <c r="D688" t="str">
        <f t="shared" si="102"/>
        <v/>
      </c>
      <c r="E688" t="str">
        <f>IFERROR(VLOOKUP(MID(A688,7,2),Map!$A$2:$B$20,2,FALSE),"")</f>
        <v/>
      </c>
      <c r="F688" t="str">
        <f>IF(A688="","",IFERROR(VLOOKUP(MID(A688,9,2),Map!$R$2:$S$14,2,FALSE),""))</f>
        <v/>
      </c>
      <c r="G688" t="str">
        <f t="shared" si="103"/>
        <v/>
      </c>
      <c r="H688" t="str">
        <f t="shared" si="104"/>
        <v/>
      </c>
      <c r="I688" t="str">
        <f>IF(A688="","",IFERROR(VLOOKUP(LEFT(A688,1),Map!$D$2:$E$20,2,FALSE),""))</f>
        <v/>
      </c>
      <c r="J688" t="str">
        <f>IF(OR(H688="",NOT(OR(LEFT(H688,1)="G",LEFT(H688,1)="R"))),"",IFERROR(VLOOKUP(MID(H688,2,1),Map!$J$2:$M$10,2,FALSE),""))</f>
        <v/>
      </c>
      <c r="K688" t="str">
        <f t="shared" si="105"/>
        <v/>
      </c>
      <c r="L688" t="str">
        <f t="shared" si="106"/>
        <v/>
      </c>
      <c r="M688" t="str">
        <f t="shared" si="107"/>
        <v/>
      </c>
      <c r="N688" t="str">
        <f t="shared" si="108"/>
        <v/>
      </c>
      <c r="O688" t="str">
        <f t="shared" si="109"/>
        <v/>
      </c>
      <c r="P688" t="str">
        <f>IF(OR(H688="",NOT(OR(LEFT(H688,1)="G",LEFT(H688,1)="R"))),"",IFERROR(VLOOKUP(MID(H688,3,1),Map!$G$2:$H$10,2,FALSE),""))</f>
        <v/>
      </c>
      <c r="Q688" t="str">
        <f>IF(A688="","",IFERROR(VLOOKUP(MID(A688,4,1),Map!$O$2:$P$10,2,FALSE),""))</f>
        <v/>
      </c>
    </row>
    <row r="689" spans="2:17" x14ac:dyDescent="0.25">
      <c r="B689" t="str">
        <f t="shared" si="100"/>
        <v/>
      </c>
      <c r="C689" t="str">
        <f t="shared" si="101"/>
        <v>**</v>
      </c>
      <c r="D689" t="str">
        <f t="shared" si="102"/>
        <v/>
      </c>
      <c r="E689" t="str">
        <f>IFERROR(VLOOKUP(MID(A689,7,2),Map!$A$2:$B$20,2,FALSE),"")</f>
        <v/>
      </c>
      <c r="F689" t="str">
        <f>IF(A689="","",IFERROR(VLOOKUP(MID(A689,9,2),Map!$R$2:$S$14,2,FALSE),""))</f>
        <v/>
      </c>
      <c r="G689" t="str">
        <f t="shared" si="103"/>
        <v/>
      </c>
      <c r="H689" t="str">
        <f t="shared" si="104"/>
        <v/>
      </c>
      <c r="I689" t="str">
        <f>IF(A689="","",IFERROR(VLOOKUP(LEFT(A689,1),Map!$D$2:$E$20,2,FALSE),""))</f>
        <v/>
      </c>
      <c r="J689" t="str">
        <f>IF(OR(H689="",NOT(OR(LEFT(H689,1)="G",LEFT(H689,1)="R"))),"",IFERROR(VLOOKUP(MID(H689,2,1),Map!$J$2:$M$10,2,FALSE),""))</f>
        <v/>
      </c>
      <c r="K689" t="str">
        <f t="shared" si="105"/>
        <v/>
      </c>
      <c r="L689" t="str">
        <f t="shared" si="106"/>
        <v/>
      </c>
      <c r="M689" t="str">
        <f t="shared" si="107"/>
        <v/>
      </c>
      <c r="N689" t="str">
        <f t="shared" si="108"/>
        <v/>
      </c>
      <c r="O689" t="str">
        <f t="shared" si="109"/>
        <v/>
      </c>
      <c r="P689" t="str">
        <f>IF(OR(H689="",NOT(OR(LEFT(H689,1)="G",LEFT(H689,1)="R"))),"",IFERROR(VLOOKUP(MID(H689,3,1),Map!$G$2:$H$10,2,FALSE),""))</f>
        <v/>
      </c>
      <c r="Q689" t="str">
        <f>IF(A689="","",IFERROR(VLOOKUP(MID(A689,4,1),Map!$O$2:$P$10,2,FALSE),""))</f>
        <v/>
      </c>
    </row>
    <row r="690" spans="2:17" x14ac:dyDescent="0.25">
      <c r="B690" t="str">
        <f t="shared" si="100"/>
        <v/>
      </c>
      <c r="C690" t="str">
        <f t="shared" si="101"/>
        <v>**</v>
      </c>
      <c r="D690" t="str">
        <f t="shared" si="102"/>
        <v/>
      </c>
      <c r="E690" t="str">
        <f>IFERROR(VLOOKUP(MID(A690,7,2),Map!$A$2:$B$20,2,FALSE),"")</f>
        <v/>
      </c>
      <c r="F690" t="str">
        <f>IF(A690="","",IFERROR(VLOOKUP(MID(A690,9,2),Map!$R$2:$S$14,2,FALSE),""))</f>
        <v/>
      </c>
      <c r="G690" t="str">
        <f t="shared" si="103"/>
        <v/>
      </c>
      <c r="H690" t="str">
        <f t="shared" si="104"/>
        <v/>
      </c>
      <c r="I690" t="str">
        <f>IF(A690="","",IFERROR(VLOOKUP(LEFT(A690,1),Map!$D$2:$E$20,2,FALSE),""))</f>
        <v/>
      </c>
      <c r="J690" t="str">
        <f>IF(OR(H690="",NOT(OR(LEFT(H690,1)="G",LEFT(H690,1)="R"))),"",IFERROR(VLOOKUP(MID(H690,2,1),Map!$J$2:$M$10,2,FALSE),""))</f>
        <v/>
      </c>
      <c r="K690" t="str">
        <f t="shared" si="105"/>
        <v/>
      </c>
      <c r="L690" t="str">
        <f t="shared" si="106"/>
        <v/>
      </c>
      <c r="M690" t="str">
        <f t="shared" si="107"/>
        <v/>
      </c>
      <c r="N690" t="str">
        <f t="shared" si="108"/>
        <v/>
      </c>
      <c r="O690" t="str">
        <f t="shared" si="109"/>
        <v/>
      </c>
      <c r="P690" t="str">
        <f>IF(OR(H690="",NOT(OR(LEFT(H690,1)="G",LEFT(H690,1)="R"))),"",IFERROR(VLOOKUP(MID(H690,3,1),Map!$G$2:$H$10,2,FALSE),""))</f>
        <v/>
      </c>
      <c r="Q690" t="str">
        <f>IF(A690="","",IFERROR(VLOOKUP(MID(A690,4,1),Map!$O$2:$P$10,2,FALSE),""))</f>
        <v/>
      </c>
    </row>
    <row r="691" spans="2:17" x14ac:dyDescent="0.25">
      <c r="B691" t="str">
        <f t="shared" si="100"/>
        <v/>
      </c>
      <c r="C691" t="str">
        <f t="shared" si="101"/>
        <v>**</v>
      </c>
      <c r="D691" t="str">
        <f t="shared" si="102"/>
        <v/>
      </c>
      <c r="E691" t="str">
        <f>IFERROR(VLOOKUP(MID(A691,7,2),Map!$A$2:$B$20,2,FALSE),"")</f>
        <v/>
      </c>
      <c r="F691" t="str">
        <f>IF(A691="","",IFERROR(VLOOKUP(MID(A691,9,2),Map!$R$2:$S$14,2,FALSE),""))</f>
        <v/>
      </c>
      <c r="G691" t="str">
        <f t="shared" si="103"/>
        <v/>
      </c>
      <c r="H691" t="str">
        <f t="shared" si="104"/>
        <v/>
      </c>
      <c r="I691" t="str">
        <f>IF(A691="","",IFERROR(VLOOKUP(LEFT(A691,1),Map!$D$2:$E$20,2,FALSE),""))</f>
        <v/>
      </c>
      <c r="J691" t="str">
        <f>IF(OR(H691="",NOT(OR(LEFT(H691,1)="G",LEFT(H691,1)="R"))),"",IFERROR(VLOOKUP(MID(H691,2,1),Map!$J$2:$M$10,2,FALSE),""))</f>
        <v/>
      </c>
      <c r="K691" t="str">
        <f t="shared" si="105"/>
        <v/>
      </c>
      <c r="L691" t="str">
        <f t="shared" si="106"/>
        <v/>
      </c>
      <c r="M691" t="str">
        <f t="shared" si="107"/>
        <v/>
      </c>
      <c r="N691" t="str">
        <f t="shared" si="108"/>
        <v/>
      </c>
      <c r="O691" t="str">
        <f t="shared" si="109"/>
        <v/>
      </c>
      <c r="P691" t="str">
        <f>IF(OR(H691="",NOT(OR(LEFT(H691,1)="G",LEFT(H691,1)="R"))),"",IFERROR(VLOOKUP(MID(H691,3,1),Map!$G$2:$H$10,2,FALSE),""))</f>
        <v/>
      </c>
      <c r="Q691" t="str">
        <f>IF(A691="","",IFERROR(VLOOKUP(MID(A691,4,1),Map!$O$2:$P$10,2,FALSE),""))</f>
        <v/>
      </c>
    </row>
    <row r="692" spans="2:17" x14ac:dyDescent="0.25">
      <c r="B692" t="str">
        <f t="shared" si="100"/>
        <v/>
      </c>
      <c r="C692" t="str">
        <f t="shared" si="101"/>
        <v>**</v>
      </c>
      <c r="D692" t="str">
        <f t="shared" si="102"/>
        <v/>
      </c>
      <c r="E692" t="str">
        <f>IFERROR(VLOOKUP(MID(A692,7,2),Map!$A$2:$B$20,2,FALSE),"")</f>
        <v/>
      </c>
      <c r="F692" t="str">
        <f>IF(A692="","",IFERROR(VLOOKUP(MID(A692,9,2),Map!$R$2:$S$14,2,FALSE),""))</f>
        <v/>
      </c>
      <c r="G692" t="str">
        <f t="shared" si="103"/>
        <v/>
      </c>
      <c r="H692" t="str">
        <f t="shared" si="104"/>
        <v/>
      </c>
      <c r="I692" t="str">
        <f>IF(A692="","",IFERROR(VLOOKUP(LEFT(A692,1),Map!$D$2:$E$20,2,FALSE),""))</f>
        <v/>
      </c>
      <c r="J692" t="str">
        <f>IF(OR(H692="",NOT(OR(LEFT(H692,1)="G",LEFT(H692,1)="R"))),"",IFERROR(VLOOKUP(MID(H692,2,1),Map!$J$2:$M$10,2,FALSE),""))</f>
        <v/>
      </c>
      <c r="K692" t="str">
        <f t="shared" si="105"/>
        <v/>
      </c>
      <c r="L692" t="str">
        <f t="shared" si="106"/>
        <v/>
      </c>
      <c r="M692" t="str">
        <f t="shared" si="107"/>
        <v/>
      </c>
      <c r="N692" t="str">
        <f t="shared" si="108"/>
        <v/>
      </c>
      <c r="O692" t="str">
        <f t="shared" si="109"/>
        <v/>
      </c>
      <c r="P692" t="str">
        <f>IF(OR(H692="",NOT(OR(LEFT(H692,1)="G",LEFT(H692,1)="R"))),"",IFERROR(VLOOKUP(MID(H692,3,1),Map!$G$2:$H$10,2,FALSE),""))</f>
        <v/>
      </c>
      <c r="Q692" t="str">
        <f>IF(A692="","",IFERROR(VLOOKUP(MID(A692,4,1),Map!$O$2:$P$10,2,FALSE),""))</f>
        <v/>
      </c>
    </row>
    <row r="693" spans="2:17" x14ac:dyDescent="0.25">
      <c r="B693" t="str">
        <f t="shared" si="100"/>
        <v/>
      </c>
      <c r="C693" t="str">
        <f t="shared" si="101"/>
        <v>**</v>
      </c>
      <c r="D693" t="str">
        <f t="shared" si="102"/>
        <v/>
      </c>
      <c r="E693" t="str">
        <f>IFERROR(VLOOKUP(MID(A693,7,2),Map!$A$2:$B$20,2,FALSE),"")</f>
        <v/>
      </c>
      <c r="F693" t="str">
        <f>IF(A693="","",IFERROR(VLOOKUP(MID(A693,9,2),Map!$R$2:$S$14,2,FALSE),""))</f>
        <v/>
      </c>
      <c r="G693" t="str">
        <f t="shared" si="103"/>
        <v/>
      </c>
      <c r="H693" t="str">
        <f t="shared" si="104"/>
        <v/>
      </c>
      <c r="I693" t="str">
        <f>IF(A693="","",IFERROR(VLOOKUP(LEFT(A693,1),Map!$D$2:$E$20,2,FALSE),""))</f>
        <v/>
      </c>
      <c r="J693" t="str">
        <f>IF(OR(H693="",NOT(OR(LEFT(H693,1)="G",LEFT(H693,1)="R"))),"",IFERROR(VLOOKUP(MID(H693,2,1),Map!$J$2:$M$10,2,FALSE),""))</f>
        <v/>
      </c>
      <c r="K693" t="str">
        <f t="shared" si="105"/>
        <v/>
      </c>
      <c r="L693" t="str">
        <f t="shared" si="106"/>
        <v/>
      </c>
      <c r="M693" t="str">
        <f t="shared" si="107"/>
        <v/>
      </c>
      <c r="N693" t="str">
        <f t="shared" si="108"/>
        <v/>
      </c>
      <c r="O693" t="str">
        <f t="shared" si="109"/>
        <v/>
      </c>
      <c r="P693" t="str">
        <f>IF(OR(H693="",NOT(OR(LEFT(H693,1)="G",LEFT(H693,1)="R"))),"",IFERROR(VLOOKUP(MID(H693,3,1),Map!$G$2:$H$10,2,FALSE),""))</f>
        <v/>
      </c>
      <c r="Q693" t="str">
        <f>IF(A693="","",IFERROR(VLOOKUP(MID(A693,4,1),Map!$O$2:$P$10,2,FALSE),""))</f>
        <v/>
      </c>
    </row>
    <row r="694" spans="2:17" x14ac:dyDescent="0.25">
      <c r="B694" t="str">
        <f t="shared" si="100"/>
        <v/>
      </c>
      <c r="C694" t="str">
        <f t="shared" si="101"/>
        <v>**</v>
      </c>
      <c r="D694" t="str">
        <f t="shared" si="102"/>
        <v/>
      </c>
      <c r="E694" t="str">
        <f>IFERROR(VLOOKUP(MID(A694,7,2),Map!$A$2:$B$20,2,FALSE),"")</f>
        <v/>
      </c>
      <c r="F694" t="str">
        <f>IF(A694="","",IFERROR(VLOOKUP(MID(A694,9,2),Map!$R$2:$S$14,2,FALSE),""))</f>
        <v/>
      </c>
      <c r="G694" t="str">
        <f t="shared" si="103"/>
        <v/>
      </c>
      <c r="H694" t="str">
        <f t="shared" si="104"/>
        <v/>
      </c>
      <c r="I694" t="str">
        <f>IF(A694="","",IFERROR(VLOOKUP(LEFT(A694,1),Map!$D$2:$E$20,2,FALSE),""))</f>
        <v/>
      </c>
      <c r="J694" t="str">
        <f>IF(OR(H694="",NOT(OR(LEFT(H694,1)="G",LEFT(H694,1)="R"))),"",IFERROR(VLOOKUP(MID(H694,2,1),Map!$J$2:$M$10,2,FALSE),""))</f>
        <v/>
      </c>
      <c r="K694" t="str">
        <f t="shared" si="105"/>
        <v/>
      </c>
      <c r="L694" t="str">
        <f t="shared" si="106"/>
        <v/>
      </c>
      <c r="M694" t="str">
        <f t="shared" si="107"/>
        <v/>
      </c>
      <c r="N694" t="str">
        <f t="shared" si="108"/>
        <v/>
      </c>
      <c r="O694" t="str">
        <f t="shared" si="109"/>
        <v/>
      </c>
      <c r="P694" t="str">
        <f>IF(OR(H694="",NOT(OR(LEFT(H694,1)="G",LEFT(H694,1)="R"))),"",IFERROR(VLOOKUP(MID(H694,3,1),Map!$G$2:$H$10,2,FALSE),""))</f>
        <v/>
      </c>
      <c r="Q694" t="str">
        <f>IF(A694="","",IFERROR(VLOOKUP(MID(A694,4,1),Map!$O$2:$P$10,2,FALSE),""))</f>
        <v/>
      </c>
    </row>
    <row r="695" spans="2:17" x14ac:dyDescent="0.25">
      <c r="B695" t="str">
        <f t="shared" si="100"/>
        <v/>
      </c>
      <c r="C695" t="str">
        <f t="shared" si="101"/>
        <v>**</v>
      </c>
      <c r="D695" t="str">
        <f t="shared" si="102"/>
        <v/>
      </c>
      <c r="E695" t="str">
        <f>IFERROR(VLOOKUP(MID(A695,7,2),Map!$A$2:$B$20,2,FALSE),"")</f>
        <v/>
      </c>
      <c r="F695" t="str">
        <f>IF(A695="","",IFERROR(VLOOKUP(MID(A695,9,2),Map!$R$2:$S$14,2,FALSE),""))</f>
        <v/>
      </c>
      <c r="G695" t="str">
        <f t="shared" si="103"/>
        <v/>
      </c>
      <c r="H695" t="str">
        <f t="shared" si="104"/>
        <v/>
      </c>
      <c r="I695" t="str">
        <f>IF(A695="","",IFERROR(VLOOKUP(LEFT(A695,1),Map!$D$2:$E$20,2,FALSE),""))</f>
        <v/>
      </c>
      <c r="J695" t="str">
        <f>IF(OR(H695="",NOT(OR(LEFT(H695,1)="G",LEFT(H695,1)="R"))),"",IFERROR(VLOOKUP(MID(H695,2,1),Map!$J$2:$M$10,2,FALSE),""))</f>
        <v/>
      </c>
      <c r="K695" t="str">
        <f t="shared" si="105"/>
        <v/>
      </c>
      <c r="L695" t="str">
        <f t="shared" si="106"/>
        <v/>
      </c>
      <c r="M695" t="str">
        <f t="shared" si="107"/>
        <v/>
      </c>
      <c r="N695" t="str">
        <f t="shared" si="108"/>
        <v/>
      </c>
      <c r="O695" t="str">
        <f t="shared" si="109"/>
        <v/>
      </c>
      <c r="P695" t="str">
        <f>IF(OR(H695="",NOT(OR(LEFT(H695,1)="G",LEFT(H695,1)="R"))),"",IFERROR(VLOOKUP(MID(H695,3,1),Map!$G$2:$H$10,2,FALSE),""))</f>
        <v/>
      </c>
      <c r="Q695" t="str">
        <f>IF(A695="","",IFERROR(VLOOKUP(MID(A695,4,1),Map!$O$2:$P$10,2,FALSE),""))</f>
        <v/>
      </c>
    </row>
    <row r="696" spans="2:17" x14ac:dyDescent="0.25">
      <c r="B696" t="str">
        <f t="shared" si="100"/>
        <v/>
      </c>
      <c r="C696" t="str">
        <f t="shared" si="101"/>
        <v>**</v>
      </c>
      <c r="D696" t="str">
        <f t="shared" si="102"/>
        <v/>
      </c>
      <c r="E696" t="str">
        <f>IFERROR(VLOOKUP(MID(A696,7,2),Map!$A$2:$B$20,2,FALSE),"")</f>
        <v/>
      </c>
      <c r="F696" t="str">
        <f>IF(A696="","",IFERROR(VLOOKUP(MID(A696,9,2),Map!$R$2:$S$14,2,FALSE),""))</f>
        <v/>
      </c>
      <c r="G696" t="str">
        <f t="shared" si="103"/>
        <v/>
      </c>
      <c r="H696" t="str">
        <f t="shared" si="104"/>
        <v/>
      </c>
      <c r="I696" t="str">
        <f>IF(A696="","",IFERROR(VLOOKUP(LEFT(A696,1),Map!$D$2:$E$20,2,FALSE),""))</f>
        <v/>
      </c>
      <c r="J696" t="str">
        <f>IF(OR(H696="",NOT(OR(LEFT(H696,1)="G",LEFT(H696,1)="R"))),"",IFERROR(VLOOKUP(MID(H696,2,1),Map!$J$2:$M$10,2,FALSE),""))</f>
        <v/>
      </c>
      <c r="K696" t="str">
        <f t="shared" si="105"/>
        <v/>
      </c>
      <c r="L696" t="str">
        <f t="shared" si="106"/>
        <v/>
      </c>
      <c r="M696" t="str">
        <f t="shared" si="107"/>
        <v/>
      </c>
      <c r="N696" t="str">
        <f t="shared" si="108"/>
        <v/>
      </c>
      <c r="O696" t="str">
        <f t="shared" si="109"/>
        <v/>
      </c>
      <c r="P696" t="str">
        <f>IF(OR(H696="",NOT(OR(LEFT(H696,1)="G",LEFT(H696,1)="R"))),"",IFERROR(VLOOKUP(MID(H696,3,1),Map!$G$2:$H$10,2,FALSE),""))</f>
        <v/>
      </c>
      <c r="Q696" t="str">
        <f>IF(A696="","",IFERROR(VLOOKUP(MID(A696,4,1),Map!$O$2:$P$10,2,FALSE),""))</f>
        <v/>
      </c>
    </row>
    <row r="697" spans="2:17" x14ac:dyDescent="0.25">
      <c r="B697" t="str">
        <f t="shared" si="100"/>
        <v/>
      </c>
      <c r="C697" t="str">
        <f t="shared" si="101"/>
        <v>**</v>
      </c>
      <c r="D697" t="str">
        <f t="shared" si="102"/>
        <v/>
      </c>
      <c r="E697" t="str">
        <f>IFERROR(VLOOKUP(MID(A697,7,2),Map!$A$2:$B$20,2,FALSE),"")</f>
        <v/>
      </c>
      <c r="F697" t="str">
        <f>IF(A697="","",IFERROR(VLOOKUP(MID(A697,9,2),Map!$R$2:$S$14,2,FALSE),""))</f>
        <v/>
      </c>
      <c r="G697" t="str">
        <f t="shared" si="103"/>
        <v/>
      </c>
      <c r="H697" t="str">
        <f t="shared" si="104"/>
        <v/>
      </c>
      <c r="I697" t="str">
        <f>IF(A697="","",IFERROR(VLOOKUP(LEFT(A697,1),Map!$D$2:$E$20,2,FALSE),""))</f>
        <v/>
      </c>
      <c r="J697" t="str">
        <f>IF(OR(H697="",NOT(OR(LEFT(H697,1)="G",LEFT(H697,1)="R"))),"",IFERROR(VLOOKUP(MID(H697,2,1),Map!$J$2:$M$10,2,FALSE),""))</f>
        <v/>
      </c>
      <c r="K697" t="str">
        <f t="shared" si="105"/>
        <v/>
      </c>
      <c r="L697" t="str">
        <f t="shared" si="106"/>
        <v/>
      </c>
      <c r="M697" t="str">
        <f t="shared" si="107"/>
        <v/>
      </c>
      <c r="N697" t="str">
        <f t="shared" si="108"/>
        <v/>
      </c>
      <c r="O697" t="str">
        <f t="shared" si="109"/>
        <v/>
      </c>
      <c r="P697" t="str">
        <f>IF(OR(H697="",NOT(OR(LEFT(H697,1)="G",LEFT(H697,1)="R"))),"",IFERROR(VLOOKUP(MID(H697,3,1),Map!$G$2:$H$10,2,FALSE),""))</f>
        <v/>
      </c>
      <c r="Q697" t="str">
        <f>IF(A697="","",IFERROR(VLOOKUP(MID(A697,4,1),Map!$O$2:$P$10,2,FALSE),""))</f>
        <v/>
      </c>
    </row>
    <row r="698" spans="2:17" x14ac:dyDescent="0.25">
      <c r="B698" t="str">
        <f t="shared" si="100"/>
        <v/>
      </c>
      <c r="C698" t="str">
        <f t="shared" si="101"/>
        <v>**</v>
      </c>
      <c r="D698" t="str">
        <f t="shared" si="102"/>
        <v/>
      </c>
      <c r="E698" t="str">
        <f>IFERROR(VLOOKUP(MID(A698,7,2),Map!$A$2:$B$20,2,FALSE),"")</f>
        <v/>
      </c>
      <c r="F698" t="str">
        <f>IF(A698="","",IFERROR(VLOOKUP(MID(A698,9,2),Map!$R$2:$S$14,2,FALSE),""))</f>
        <v/>
      </c>
      <c r="G698" t="str">
        <f t="shared" si="103"/>
        <v/>
      </c>
      <c r="H698" t="str">
        <f t="shared" si="104"/>
        <v/>
      </c>
      <c r="I698" t="str">
        <f>IF(A698="","",IFERROR(VLOOKUP(LEFT(A698,1),Map!$D$2:$E$20,2,FALSE),""))</f>
        <v/>
      </c>
      <c r="J698" t="str">
        <f>IF(OR(H698="",NOT(OR(LEFT(H698,1)="G",LEFT(H698,1)="R"))),"",IFERROR(VLOOKUP(MID(H698,2,1),Map!$J$2:$M$10,2,FALSE),""))</f>
        <v/>
      </c>
      <c r="K698" t="str">
        <f t="shared" si="105"/>
        <v/>
      </c>
      <c r="L698" t="str">
        <f t="shared" si="106"/>
        <v/>
      </c>
      <c r="M698" t="str">
        <f t="shared" si="107"/>
        <v/>
      </c>
      <c r="N698" t="str">
        <f t="shared" si="108"/>
        <v/>
      </c>
      <c r="O698" t="str">
        <f t="shared" si="109"/>
        <v/>
      </c>
      <c r="P698" t="str">
        <f>IF(OR(H698="",NOT(OR(LEFT(H698,1)="G",LEFT(H698,1)="R"))),"",IFERROR(VLOOKUP(MID(H698,3,1),Map!$G$2:$H$10,2,FALSE),""))</f>
        <v/>
      </c>
      <c r="Q698" t="str">
        <f>IF(A698="","",IFERROR(VLOOKUP(MID(A698,4,1),Map!$O$2:$P$10,2,FALSE),""))</f>
        <v/>
      </c>
    </row>
    <row r="699" spans="2:17" x14ac:dyDescent="0.25">
      <c r="B699" t="str">
        <f t="shared" si="100"/>
        <v/>
      </c>
      <c r="C699" t="str">
        <f t="shared" si="101"/>
        <v>**</v>
      </c>
      <c r="D699" t="str">
        <f t="shared" si="102"/>
        <v/>
      </c>
      <c r="E699" t="str">
        <f>IFERROR(VLOOKUP(MID(A699,7,2),Map!$A$2:$B$20,2,FALSE),"")</f>
        <v/>
      </c>
      <c r="F699" t="str">
        <f>IF(A699="","",IFERROR(VLOOKUP(MID(A699,9,2),Map!$R$2:$S$14,2,FALSE),""))</f>
        <v/>
      </c>
      <c r="G699" t="str">
        <f t="shared" si="103"/>
        <v/>
      </c>
      <c r="H699" t="str">
        <f t="shared" si="104"/>
        <v/>
      </c>
      <c r="I699" t="str">
        <f>IF(A699="","",IFERROR(VLOOKUP(LEFT(A699,1),Map!$D$2:$E$20,2,FALSE),""))</f>
        <v/>
      </c>
      <c r="J699" t="str">
        <f>IF(OR(H699="",NOT(OR(LEFT(H699,1)="G",LEFT(H699,1)="R"))),"",IFERROR(VLOOKUP(MID(H699,2,1),Map!$J$2:$M$10,2,FALSE),""))</f>
        <v/>
      </c>
      <c r="K699" t="str">
        <f t="shared" si="105"/>
        <v/>
      </c>
      <c r="L699" t="str">
        <f t="shared" si="106"/>
        <v/>
      </c>
      <c r="M699" t="str">
        <f t="shared" si="107"/>
        <v/>
      </c>
      <c r="N699" t="str">
        <f t="shared" si="108"/>
        <v/>
      </c>
      <c r="O699" t="str">
        <f t="shared" si="109"/>
        <v/>
      </c>
      <c r="P699" t="str">
        <f>IF(OR(H699="",NOT(OR(LEFT(H699,1)="G",LEFT(H699,1)="R"))),"",IFERROR(VLOOKUP(MID(H699,3,1),Map!$G$2:$H$10,2,FALSE),""))</f>
        <v/>
      </c>
      <c r="Q699" t="str">
        <f>IF(A699="","",IFERROR(VLOOKUP(MID(A699,4,1),Map!$O$2:$P$10,2,FALSE),""))</f>
        <v/>
      </c>
    </row>
    <row r="700" spans="2:17" x14ac:dyDescent="0.25">
      <c r="B700" t="str">
        <f t="shared" si="100"/>
        <v/>
      </c>
      <c r="C700" t="str">
        <f t="shared" si="101"/>
        <v>**</v>
      </c>
      <c r="D700" t="str">
        <f t="shared" si="102"/>
        <v/>
      </c>
      <c r="E700" t="str">
        <f>IFERROR(VLOOKUP(MID(A700,7,2),Map!$A$2:$B$20,2,FALSE),"")</f>
        <v/>
      </c>
      <c r="F700" t="str">
        <f>IF(A700="","",IFERROR(VLOOKUP(MID(A700,9,2),Map!$R$2:$S$14,2,FALSE),""))</f>
        <v/>
      </c>
      <c r="G700" t="str">
        <f t="shared" si="103"/>
        <v/>
      </c>
      <c r="H700" t="str">
        <f t="shared" si="104"/>
        <v/>
      </c>
      <c r="I700" t="str">
        <f>IF(A700="","",IFERROR(VLOOKUP(LEFT(A700,1),Map!$D$2:$E$20,2,FALSE),""))</f>
        <v/>
      </c>
      <c r="J700" t="str">
        <f>IF(OR(H700="",NOT(OR(LEFT(H700,1)="G",LEFT(H700,1)="R"))),"",IFERROR(VLOOKUP(MID(H700,2,1),Map!$J$2:$M$10,2,FALSE),""))</f>
        <v/>
      </c>
      <c r="K700" t="str">
        <f t="shared" si="105"/>
        <v/>
      </c>
      <c r="L700" t="str">
        <f t="shared" si="106"/>
        <v/>
      </c>
      <c r="M700" t="str">
        <f t="shared" si="107"/>
        <v/>
      </c>
      <c r="N700" t="str">
        <f t="shared" si="108"/>
        <v/>
      </c>
      <c r="O700" t="str">
        <f t="shared" si="109"/>
        <v/>
      </c>
      <c r="P700" t="str">
        <f>IF(OR(H700="",NOT(OR(LEFT(H700,1)="G",LEFT(H700,1)="R"))),"",IFERROR(VLOOKUP(MID(H700,3,1),Map!$G$2:$H$10,2,FALSE),""))</f>
        <v/>
      </c>
      <c r="Q700" t="str">
        <f>IF(A700="","",IFERROR(VLOOKUP(MID(A700,4,1),Map!$O$2:$P$10,2,FALSE),""))</f>
        <v/>
      </c>
    </row>
    <row r="701" spans="2:17" x14ac:dyDescent="0.25">
      <c r="B701" t="str">
        <f t="shared" si="100"/>
        <v/>
      </c>
      <c r="C701" t="str">
        <f t="shared" si="101"/>
        <v>**</v>
      </c>
      <c r="D701" t="str">
        <f t="shared" si="102"/>
        <v/>
      </c>
      <c r="E701" t="str">
        <f>IFERROR(VLOOKUP(MID(A701,7,2),Map!$A$2:$B$20,2,FALSE),"")</f>
        <v/>
      </c>
      <c r="F701" t="str">
        <f>IF(A701="","",IFERROR(VLOOKUP(MID(A701,9,2),Map!$R$2:$S$14,2,FALSE),""))</f>
        <v/>
      </c>
      <c r="G701" t="str">
        <f t="shared" si="103"/>
        <v/>
      </c>
      <c r="H701" t="str">
        <f t="shared" si="104"/>
        <v/>
      </c>
      <c r="I701" t="str">
        <f>IF(A701="","",IFERROR(VLOOKUP(LEFT(A701,1),Map!$D$2:$E$20,2,FALSE),""))</f>
        <v/>
      </c>
      <c r="J701" t="str">
        <f>IF(OR(H701="",NOT(OR(LEFT(H701,1)="G",LEFT(H701,1)="R"))),"",IFERROR(VLOOKUP(MID(H701,2,1),Map!$J$2:$M$10,2,FALSE),""))</f>
        <v/>
      </c>
      <c r="K701" t="str">
        <f t="shared" si="105"/>
        <v/>
      </c>
      <c r="L701" t="str">
        <f t="shared" si="106"/>
        <v/>
      </c>
      <c r="M701" t="str">
        <f t="shared" si="107"/>
        <v/>
      </c>
      <c r="N701" t="str">
        <f t="shared" si="108"/>
        <v/>
      </c>
      <c r="O701" t="str">
        <f t="shared" si="109"/>
        <v/>
      </c>
      <c r="P701" t="str">
        <f>IF(OR(H701="",NOT(OR(LEFT(H701,1)="G",LEFT(H701,1)="R"))),"",IFERROR(VLOOKUP(MID(H701,3,1),Map!$G$2:$H$10,2,FALSE),""))</f>
        <v/>
      </c>
      <c r="Q701" t="str">
        <f>IF(A701="","",IFERROR(VLOOKUP(MID(A701,4,1),Map!$O$2:$P$10,2,FALSE),""))</f>
        <v/>
      </c>
    </row>
    <row r="702" spans="2:17" x14ac:dyDescent="0.25">
      <c r="B702" t="str">
        <f t="shared" si="100"/>
        <v/>
      </c>
      <c r="C702" t="str">
        <f t="shared" si="101"/>
        <v>**</v>
      </c>
      <c r="D702" t="str">
        <f t="shared" si="102"/>
        <v/>
      </c>
      <c r="E702" t="str">
        <f>IFERROR(VLOOKUP(MID(A702,7,2),Map!$A$2:$B$20,2,FALSE),"")</f>
        <v/>
      </c>
      <c r="F702" t="str">
        <f>IF(A702="","",IFERROR(VLOOKUP(MID(A702,9,2),Map!$R$2:$S$14,2,FALSE),""))</f>
        <v/>
      </c>
      <c r="G702" t="str">
        <f t="shared" si="103"/>
        <v/>
      </c>
      <c r="H702" t="str">
        <f t="shared" si="104"/>
        <v/>
      </c>
      <c r="I702" t="str">
        <f>IF(A702="","",IFERROR(VLOOKUP(LEFT(A702,1),Map!$D$2:$E$20,2,FALSE),""))</f>
        <v/>
      </c>
      <c r="J702" t="str">
        <f>IF(OR(H702="",NOT(OR(LEFT(H702,1)="G",LEFT(H702,1)="R"))),"",IFERROR(VLOOKUP(MID(H702,2,1),Map!$J$2:$M$10,2,FALSE),""))</f>
        <v/>
      </c>
      <c r="K702" t="str">
        <f t="shared" si="105"/>
        <v/>
      </c>
      <c r="L702" t="str">
        <f t="shared" si="106"/>
        <v/>
      </c>
      <c r="M702" t="str">
        <f t="shared" si="107"/>
        <v/>
      </c>
      <c r="N702" t="str">
        <f t="shared" si="108"/>
        <v/>
      </c>
      <c r="O702" t="str">
        <f t="shared" si="109"/>
        <v/>
      </c>
      <c r="P702" t="str">
        <f>IF(OR(H702="",NOT(OR(LEFT(H702,1)="G",LEFT(H702,1)="R"))),"",IFERROR(VLOOKUP(MID(H702,3,1),Map!$G$2:$H$10,2,FALSE),""))</f>
        <v/>
      </c>
      <c r="Q702" t="str">
        <f>IF(A702="","",IFERROR(VLOOKUP(MID(A702,4,1),Map!$O$2:$P$10,2,FALSE),""))</f>
        <v/>
      </c>
    </row>
    <row r="703" spans="2:17" x14ac:dyDescent="0.25">
      <c r="B703" t="str">
        <f t="shared" si="100"/>
        <v/>
      </c>
      <c r="C703" t="str">
        <f t="shared" si="101"/>
        <v>**</v>
      </c>
      <c r="D703" t="str">
        <f t="shared" si="102"/>
        <v/>
      </c>
      <c r="E703" t="str">
        <f>IFERROR(VLOOKUP(MID(A703,7,2),Map!$A$2:$B$20,2,FALSE),"")</f>
        <v/>
      </c>
      <c r="F703" t="str">
        <f>IF(A703="","",IFERROR(VLOOKUP(MID(A703,9,2),Map!$R$2:$S$14,2,FALSE),""))</f>
        <v/>
      </c>
      <c r="G703" t="str">
        <f t="shared" si="103"/>
        <v/>
      </c>
      <c r="H703" t="str">
        <f t="shared" si="104"/>
        <v/>
      </c>
      <c r="I703" t="str">
        <f>IF(A703="","",IFERROR(VLOOKUP(LEFT(A703,1),Map!$D$2:$E$20,2,FALSE),""))</f>
        <v/>
      </c>
      <c r="J703" t="str">
        <f>IF(OR(H703="",NOT(OR(LEFT(H703,1)="G",LEFT(H703,1)="R"))),"",IFERROR(VLOOKUP(MID(H703,2,1),Map!$J$2:$M$10,2,FALSE),""))</f>
        <v/>
      </c>
      <c r="K703" t="str">
        <f t="shared" si="105"/>
        <v/>
      </c>
      <c r="L703" t="str">
        <f t="shared" si="106"/>
        <v/>
      </c>
      <c r="M703" t="str">
        <f t="shared" si="107"/>
        <v/>
      </c>
      <c r="N703" t="str">
        <f t="shared" si="108"/>
        <v/>
      </c>
      <c r="O703" t="str">
        <f t="shared" si="109"/>
        <v/>
      </c>
      <c r="P703" t="str">
        <f>IF(OR(H703="",NOT(OR(LEFT(H703,1)="G",LEFT(H703,1)="R"))),"",IFERROR(VLOOKUP(MID(H703,3,1),Map!$G$2:$H$10,2,FALSE),""))</f>
        <v/>
      </c>
      <c r="Q703" t="str">
        <f>IF(A703="","",IFERROR(VLOOKUP(MID(A703,4,1),Map!$O$2:$P$10,2,FALSE),""))</f>
        <v/>
      </c>
    </row>
    <row r="704" spans="2:17" x14ac:dyDescent="0.25">
      <c r="B704" t="str">
        <f t="shared" si="100"/>
        <v/>
      </c>
      <c r="C704" t="str">
        <f t="shared" si="101"/>
        <v>**</v>
      </c>
      <c r="D704" t="str">
        <f t="shared" si="102"/>
        <v/>
      </c>
      <c r="E704" t="str">
        <f>IFERROR(VLOOKUP(MID(A704,7,2),Map!$A$2:$B$20,2,FALSE),"")</f>
        <v/>
      </c>
      <c r="F704" t="str">
        <f>IF(A704="","",IFERROR(VLOOKUP(MID(A704,9,2),Map!$R$2:$S$14,2,FALSE),""))</f>
        <v/>
      </c>
      <c r="G704" t="str">
        <f t="shared" si="103"/>
        <v/>
      </c>
      <c r="H704" t="str">
        <f t="shared" si="104"/>
        <v/>
      </c>
      <c r="I704" t="str">
        <f>IF(A704="","",IFERROR(VLOOKUP(LEFT(A704,1),Map!$D$2:$E$20,2,FALSE),""))</f>
        <v/>
      </c>
      <c r="J704" t="str">
        <f>IF(OR(H704="",NOT(OR(LEFT(H704,1)="G",LEFT(H704,1)="R"))),"",IFERROR(VLOOKUP(MID(H704,2,1),Map!$J$2:$M$10,2,FALSE),""))</f>
        <v/>
      </c>
      <c r="K704" t="str">
        <f t="shared" si="105"/>
        <v/>
      </c>
      <c r="L704" t="str">
        <f t="shared" si="106"/>
        <v/>
      </c>
      <c r="M704" t="str">
        <f t="shared" si="107"/>
        <v/>
      </c>
      <c r="N704" t="str">
        <f t="shared" si="108"/>
        <v/>
      </c>
      <c r="O704" t="str">
        <f t="shared" si="109"/>
        <v/>
      </c>
      <c r="P704" t="str">
        <f>IF(OR(H704="",NOT(OR(LEFT(H704,1)="G",LEFT(H704,1)="R"))),"",IFERROR(VLOOKUP(MID(H704,3,1),Map!$G$2:$H$10,2,FALSE),""))</f>
        <v/>
      </c>
      <c r="Q704" t="str">
        <f>IF(A704="","",IFERROR(VLOOKUP(MID(A704,4,1),Map!$O$2:$P$10,2,FALSE),""))</f>
        <v/>
      </c>
    </row>
    <row r="705" spans="2:17" x14ac:dyDescent="0.25">
      <c r="B705" t="str">
        <f t="shared" si="100"/>
        <v/>
      </c>
      <c r="C705" t="str">
        <f t="shared" si="101"/>
        <v>**</v>
      </c>
      <c r="D705" t="str">
        <f t="shared" si="102"/>
        <v/>
      </c>
      <c r="E705" t="str">
        <f>IFERROR(VLOOKUP(MID(A705,7,2),Map!$A$2:$B$20,2,FALSE),"")</f>
        <v/>
      </c>
      <c r="F705" t="str">
        <f>IF(A705="","",IFERROR(VLOOKUP(MID(A705,9,2),Map!$R$2:$S$14,2,FALSE),""))</f>
        <v/>
      </c>
      <c r="G705" t="str">
        <f t="shared" si="103"/>
        <v/>
      </c>
      <c r="H705" t="str">
        <f t="shared" si="104"/>
        <v/>
      </c>
      <c r="I705" t="str">
        <f>IF(A705="","",IFERROR(VLOOKUP(LEFT(A705,1),Map!$D$2:$E$20,2,FALSE),""))</f>
        <v/>
      </c>
      <c r="J705" t="str">
        <f>IF(OR(H705="",NOT(OR(LEFT(H705,1)="G",LEFT(H705,1)="R"))),"",IFERROR(VLOOKUP(MID(H705,2,1),Map!$J$2:$M$10,2,FALSE),""))</f>
        <v/>
      </c>
      <c r="K705" t="str">
        <f t="shared" si="105"/>
        <v/>
      </c>
      <c r="L705" t="str">
        <f t="shared" si="106"/>
        <v/>
      </c>
      <c r="M705" t="str">
        <f t="shared" si="107"/>
        <v/>
      </c>
      <c r="N705" t="str">
        <f t="shared" si="108"/>
        <v/>
      </c>
      <c r="O705" t="str">
        <f t="shared" si="109"/>
        <v/>
      </c>
      <c r="P705" t="str">
        <f>IF(OR(H705="",NOT(OR(LEFT(H705,1)="G",LEFT(H705,1)="R"))),"",IFERROR(VLOOKUP(MID(H705,3,1),Map!$G$2:$H$10,2,FALSE),""))</f>
        <v/>
      </c>
      <c r="Q705" t="str">
        <f>IF(A705="","",IFERROR(VLOOKUP(MID(A705,4,1),Map!$O$2:$P$10,2,FALSE),""))</f>
        <v/>
      </c>
    </row>
    <row r="706" spans="2:17" x14ac:dyDescent="0.25">
      <c r="B706" t="str">
        <f t="shared" ref="B706:B769" si="110">LEFT(A706,4)</f>
        <v/>
      </c>
      <c r="C706" t="str">
        <f t="shared" ref="C706:C769" si="111">LEFT(A706,2)&amp;"**"</f>
        <v>**</v>
      </c>
      <c r="D706" t="str">
        <f t="shared" ref="D706:D769" si="112">MID(A706,5,2)</f>
        <v/>
      </c>
      <c r="E706" t="str">
        <f>IFERROR(VLOOKUP(MID(A706,7,2),Map!$A$2:$B$20,2,FALSE),"")</f>
        <v/>
      </c>
      <c r="F706" t="str">
        <f>IF(A706="","",IFERROR(VLOOKUP(MID(A706,9,2),Map!$R$2:$S$14,2,FALSE),""))</f>
        <v/>
      </c>
      <c r="G706" t="str">
        <f t="shared" ref="G706:G769" si="113">IFERROR(MID(A706,FIND("-",A706)+1,FIND("-",A706,FIND("-",A706)+1)-FIND("-",A706)-1),"")</f>
        <v/>
      </c>
      <c r="H706" t="str">
        <f t="shared" ref="H706:H769" si="114">IFERROR(RIGHT(A706,LEN(A706)-FIND("-",A706,FIND("-",A706)+1)),"")</f>
        <v/>
      </c>
      <c r="I706" t="str">
        <f>IF(A706="","",IFERROR(VLOOKUP(LEFT(A706,1),Map!$D$2:$E$20,2,FALSE),""))</f>
        <v/>
      </c>
      <c r="J706" t="str">
        <f>IF(OR(H706="",NOT(OR(LEFT(H706,1)="G",LEFT(H706,1)="R"))),"",IFERROR(VLOOKUP(MID(H706,2,1),Map!$J$2:$M$10,2,FALSE),""))</f>
        <v/>
      </c>
      <c r="K706" t="str">
        <f t="shared" ref="K706:K769" si="115">IF(OR(H706="",NOT(OR(LEFT(H706,1)="G",LEFT(H706,1)="R")),MID(H706,2,1)&lt;&gt;"A"),"","M")</f>
        <v/>
      </c>
      <c r="L706" t="str">
        <f t="shared" ref="L706:L769" si="116">IF(OR(H706="",NOT(OR(LEFT(H706,1)="G",LEFT(H706,1)="R")),MID(H706,2,1)&lt;&gt;"A"),"","K")</f>
        <v/>
      </c>
      <c r="M706" t="str">
        <f t="shared" ref="M706:M769" si="117">IF(OR(H706="",NOT(OR(LEFT(H706,1)="G",LEFT(H706,1)="R"))),"","")</f>
        <v/>
      </c>
      <c r="N706" t="str">
        <f t="shared" ref="N706:N769" si="118">IF(OR(H706="",NOT(OR(LEFT(H706,1)="G",LEFT(H706,1)="R"))),"","")</f>
        <v/>
      </c>
      <c r="O706" t="str">
        <f t="shared" ref="O706:O769" si="119">IF(OR(H706="",NOT(OR(LEFT(H706,1)="G",LEFT(H706,1)="R"))),"","")</f>
        <v/>
      </c>
      <c r="P706" t="str">
        <f>IF(OR(H706="",NOT(OR(LEFT(H706,1)="G",LEFT(H706,1)="R"))),"",IFERROR(VLOOKUP(MID(H706,3,1),Map!$G$2:$H$10,2,FALSE),""))</f>
        <v/>
      </c>
      <c r="Q706" t="str">
        <f>IF(A706="","",IFERROR(VLOOKUP(MID(A706,4,1),Map!$O$2:$P$10,2,FALSE),""))</f>
        <v/>
      </c>
    </row>
    <row r="707" spans="2:17" x14ac:dyDescent="0.25">
      <c r="B707" t="str">
        <f t="shared" si="110"/>
        <v/>
      </c>
      <c r="C707" t="str">
        <f t="shared" si="111"/>
        <v>**</v>
      </c>
      <c r="D707" t="str">
        <f t="shared" si="112"/>
        <v/>
      </c>
      <c r="E707" t="str">
        <f>IFERROR(VLOOKUP(MID(A707,7,2),Map!$A$2:$B$20,2,FALSE),"")</f>
        <v/>
      </c>
      <c r="F707" t="str">
        <f>IF(A707="","",IFERROR(VLOOKUP(MID(A707,9,2),Map!$R$2:$S$14,2,FALSE),""))</f>
        <v/>
      </c>
      <c r="G707" t="str">
        <f t="shared" si="113"/>
        <v/>
      </c>
      <c r="H707" t="str">
        <f t="shared" si="114"/>
        <v/>
      </c>
      <c r="I707" t="str">
        <f>IF(A707="","",IFERROR(VLOOKUP(LEFT(A707,1),Map!$D$2:$E$20,2,FALSE),""))</f>
        <v/>
      </c>
      <c r="J707" t="str">
        <f>IF(OR(H707="",NOT(OR(LEFT(H707,1)="G",LEFT(H707,1)="R"))),"",IFERROR(VLOOKUP(MID(H707,2,1),Map!$J$2:$M$10,2,FALSE),""))</f>
        <v/>
      </c>
      <c r="K707" t="str">
        <f t="shared" si="115"/>
        <v/>
      </c>
      <c r="L707" t="str">
        <f t="shared" si="116"/>
        <v/>
      </c>
      <c r="M707" t="str">
        <f t="shared" si="117"/>
        <v/>
      </c>
      <c r="N707" t="str">
        <f t="shared" si="118"/>
        <v/>
      </c>
      <c r="O707" t="str">
        <f t="shared" si="119"/>
        <v/>
      </c>
      <c r="P707" t="str">
        <f>IF(OR(H707="",NOT(OR(LEFT(H707,1)="G",LEFT(H707,1)="R"))),"",IFERROR(VLOOKUP(MID(H707,3,1),Map!$G$2:$H$10,2,FALSE),""))</f>
        <v/>
      </c>
      <c r="Q707" t="str">
        <f>IF(A707="","",IFERROR(VLOOKUP(MID(A707,4,1),Map!$O$2:$P$10,2,FALSE),""))</f>
        <v/>
      </c>
    </row>
    <row r="708" spans="2:17" x14ac:dyDescent="0.25">
      <c r="B708" t="str">
        <f t="shared" si="110"/>
        <v/>
      </c>
      <c r="C708" t="str">
        <f t="shared" si="111"/>
        <v>**</v>
      </c>
      <c r="D708" t="str">
        <f t="shared" si="112"/>
        <v/>
      </c>
      <c r="E708" t="str">
        <f>IFERROR(VLOOKUP(MID(A708,7,2),Map!$A$2:$B$20,2,FALSE),"")</f>
        <v/>
      </c>
      <c r="F708" t="str">
        <f>IF(A708="","",IFERROR(VLOOKUP(MID(A708,9,2),Map!$R$2:$S$14,2,FALSE),""))</f>
        <v/>
      </c>
      <c r="G708" t="str">
        <f t="shared" si="113"/>
        <v/>
      </c>
      <c r="H708" t="str">
        <f t="shared" si="114"/>
        <v/>
      </c>
      <c r="I708" t="str">
        <f>IF(A708="","",IFERROR(VLOOKUP(LEFT(A708,1),Map!$D$2:$E$20,2,FALSE),""))</f>
        <v/>
      </c>
      <c r="J708" t="str">
        <f>IF(OR(H708="",NOT(OR(LEFT(H708,1)="G",LEFT(H708,1)="R"))),"",IFERROR(VLOOKUP(MID(H708,2,1),Map!$J$2:$M$10,2,FALSE),""))</f>
        <v/>
      </c>
      <c r="K708" t="str">
        <f t="shared" si="115"/>
        <v/>
      </c>
      <c r="L708" t="str">
        <f t="shared" si="116"/>
        <v/>
      </c>
      <c r="M708" t="str">
        <f t="shared" si="117"/>
        <v/>
      </c>
      <c r="N708" t="str">
        <f t="shared" si="118"/>
        <v/>
      </c>
      <c r="O708" t="str">
        <f t="shared" si="119"/>
        <v/>
      </c>
      <c r="P708" t="str">
        <f>IF(OR(H708="",NOT(OR(LEFT(H708,1)="G",LEFT(H708,1)="R"))),"",IFERROR(VLOOKUP(MID(H708,3,1),Map!$G$2:$H$10,2,FALSE),""))</f>
        <v/>
      </c>
      <c r="Q708" t="str">
        <f>IF(A708="","",IFERROR(VLOOKUP(MID(A708,4,1),Map!$O$2:$P$10,2,FALSE),""))</f>
        <v/>
      </c>
    </row>
    <row r="709" spans="2:17" x14ac:dyDescent="0.25">
      <c r="B709" t="str">
        <f t="shared" si="110"/>
        <v/>
      </c>
      <c r="C709" t="str">
        <f t="shared" si="111"/>
        <v>**</v>
      </c>
      <c r="D709" t="str">
        <f t="shared" si="112"/>
        <v/>
      </c>
      <c r="E709" t="str">
        <f>IFERROR(VLOOKUP(MID(A709,7,2),Map!$A$2:$B$20,2,FALSE),"")</f>
        <v/>
      </c>
      <c r="F709" t="str">
        <f>IF(A709="","",IFERROR(VLOOKUP(MID(A709,9,2),Map!$R$2:$S$14,2,FALSE),""))</f>
        <v/>
      </c>
      <c r="G709" t="str">
        <f t="shared" si="113"/>
        <v/>
      </c>
      <c r="H709" t="str">
        <f t="shared" si="114"/>
        <v/>
      </c>
      <c r="I709" t="str">
        <f>IF(A709="","",IFERROR(VLOOKUP(LEFT(A709,1),Map!$D$2:$E$20,2,FALSE),""))</f>
        <v/>
      </c>
      <c r="J709" t="str">
        <f>IF(OR(H709="",NOT(OR(LEFT(H709,1)="G",LEFT(H709,1)="R"))),"",IFERROR(VLOOKUP(MID(H709,2,1),Map!$J$2:$M$10,2,FALSE),""))</f>
        <v/>
      </c>
      <c r="K709" t="str">
        <f t="shared" si="115"/>
        <v/>
      </c>
      <c r="L709" t="str">
        <f t="shared" si="116"/>
        <v/>
      </c>
      <c r="M709" t="str">
        <f t="shared" si="117"/>
        <v/>
      </c>
      <c r="N709" t="str">
        <f t="shared" si="118"/>
        <v/>
      </c>
      <c r="O709" t="str">
        <f t="shared" si="119"/>
        <v/>
      </c>
      <c r="P709" t="str">
        <f>IF(OR(H709="",NOT(OR(LEFT(H709,1)="G",LEFT(H709,1)="R"))),"",IFERROR(VLOOKUP(MID(H709,3,1),Map!$G$2:$H$10,2,FALSE),""))</f>
        <v/>
      </c>
      <c r="Q709" t="str">
        <f>IF(A709="","",IFERROR(VLOOKUP(MID(A709,4,1),Map!$O$2:$P$10,2,FALSE),""))</f>
        <v/>
      </c>
    </row>
    <row r="710" spans="2:17" x14ac:dyDescent="0.25">
      <c r="B710" t="str">
        <f t="shared" si="110"/>
        <v/>
      </c>
      <c r="C710" t="str">
        <f t="shared" si="111"/>
        <v>**</v>
      </c>
      <c r="D710" t="str">
        <f t="shared" si="112"/>
        <v/>
      </c>
      <c r="E710" t="str">
        <f>IFERROR(VLOOKUP(MID(A710,7,2),Map!$A$2:$B$20,2,FALSE),"")</f>
        <v/>
      </c>
      <c r="F710" t="str">
        <f>IF(A710="","",IFERROR(VLOOKUP(MID(A710,9,2),Map!$R$2:$S$14,2,FALSE),""))</f>
        <v/>
      </c>
      <c r="G710" t="str">
        <f t="shared" si="113"/>
        <v/>
      </c>
      <c r="H710" t="str">
        <f t="shared" si="114"/>
        <v/>
      </c>
      <c r="I710" t="str">
        <f>IF(A710="","",IFERROR(VLOOKUP(LEFT(A710,1),Map!$D$2:$E$20,2,FALSE),""))</f>
        <v/>
      </c>
      <c r="J710" t="str">
        <f>IF(OR(H710="",NOT(OR(LEFT(H710,1)="G",LEFT(H710,1)="R"))),"",IFERROR(VLOOKUP(MID(H710,2,1),Map!$J$2:$M$10,2,FALSE),""))</f>
        <v/>
      </c>
      <c r="K710" t="str">
        <f t="shared" si="115"/>
        <v/>
      </c>
      <c r="L710" t="str">
        <f t="shared" si="116"/>
        <v/>
      </c>
      <c r="M710" t="str">
        <f t="shared" si="117"/>
        <v/>
      </c>
      <c r="N710" t="str">
        <f t="shared" si="118"/>
        <v/>
      </c>
      <c r="O710" t="str">
        <f t="shared" si="119"/>
        <v/>
      </c>
      <c r="P710" t="str">
        <f>IF(OR(H710="",NOT(OR(LEFT(H710,1)="G",LEFT(H710,1)="R"))),"",IFERROR(VLOOKUP(MID(H710,3,1),Map!$G$2:$H$10,2,FALSE),""))</f>
        <v/>
      </c>
      <c r="Q710" t="str">
        <f>IF(A710="","",IFERROR(VLOOKUP(MID(A710,4,1),Map!$O$2:$P$10,2,FALSE),""))</f>
        <v/>
      </c>
    </row>
    <row r="711" spans="2:17" x14ac:dyDescent="0.25">
      <c r="B711" t="str">
        <f t="shared" si="110"/>
        <v/>
      </c>
      <c r="C711" t="str">
        <f t="shared" si="111"/>
        <v>**</v>
      </c>
      <c r="D711" t="str">
        <f t="shared" si="112"/>
        <v/>
      </c>
      <c r="E711" t="str">
        <f>IFERROR(VLOOKUP(MID(A711,7,2),Map!$A$2:$B$20,2,FALSE),"")</f>
        <v/>
      </c>
      <c r="F711" t="str">
        <f>IF(A711="","",IFERROR(VLOOKUP(MID(A711,9,2),Map!$R$2:$S$14,2,FALSE),""))</f>
        <v/>
      </c>
      <c r="G711" t="str">
        <f t="shared" si="113"/>
        <v/>
      </c>
      <c r="H711" t="str">
        <f t="shared" si="114"/>
        <v/>
      </c>
      <c r="I711" t="str">
        <f>IF(A711="","",IFERROR(VLOOKUP(LEFT(A711,1),Map!$D$2:$E$20,2,FALSE),""))</f>
        <v/>
      </c>
      <c r="J711" t="str">
        <f>IF(OR(H711="",NOT(OR(LEFT(H711,1)="G",LEFT(H711,1)="R"))),"",IFERROR(VLOOKUP(MID(H711,2,1),Map!$J$2:$M$10,2,FALSE),""))</f>
        <v/>
      </c>
      <c r="K711" t="str">
        <f t="shared" si="115"/>
        <v/>
      </c>
      <c r="L711" t="str">
        <f t="shared" si="116"/>
        <v/>
      </c>
      <c r="M711" t="str">
        <f t="shared" si="117"/>
        <v/>
      </c>
      <c r="N711" t="str">
        <f t="shared" si="118"/>
        <v/>
      </c>
      <c r="O711" t="str">
        <f t="shared" si="119"/>
        <v/>
      </c>
      <c r="P711" t="str">
        <f>IF(OR(H711="",NOT(OR(LEFT(H711,1)="G",LEFT(H711,1)="R"))),"",IFERROR(VLOOKUP(MID(H711,3,1),Map!$G$2:$H$10,2,FALSE),""))</f>
        <v/>
      </c>
      <c r="Q711" t="str">
        <f>IF(A711="","",IFERROR(VLOOKUP(MID(A711,4,1),Map!$O$2:$P$10,2,FALSE),""))</f>
        <v/>
      </c>
    </row>
    <row r="712" spans="2:17" x14ac:dyDescent="0.25">
      <c r="B712" t="str">
        <f t="shared" si="110"/>
        <v/>
      </c>
      <c r="C712" t="str">
        <f t="shared" si="111"/>
        <v>**</v>
      </c>
      <c r="D712" t="str">
        <f t="shared" si="112"/>
        <v/>
      </c>
      <c r="E712" t="str">
        <f>IFERROR(VLOOKUP(MID(A712,7,2),Map!$A$2:$B$20,2,FALSE),"")</f>
        <v/>
      </c>
      <c r="F712" t="str">
        <f>IF(A712="","",IFERROR(VLOOKUP(MID(A712,9,2),Map!$R$2:$S$14,2,FALSE),""))</f>
        <v/>
      </c>
      <c r="G712" t="str">
        <f t="shared" si="113"/>
        <v/>
      </c>
      <c r="H712" t="str">
        <f t="shared" si="114"/>
        <v/>
      </c>
      <c r="I712" t="str">
        <f>IF(A712="","",IFERROR(VLOOKUP(LEFT(A712,1),Map!$D$2:$E$20,2,FALSE),""))</f>
        <v/>
      </c>
      <c r="J712" t="str">
        <f>IF(OR(H712="",NOT(OR(LEFT(H712,1)="G",LEFT(H712,1)="R"))),"",IFERROR(VLOOKUP(MID(H712,2,1),Map!$J$2:$M$10,2,FALSE),""))</f>
        <v/>
      </c>
      <c r="K712" t="str">
        <f t="shared" si="115"/>
        <v/>
      </c>
      <c r="L712" t="str">
        <f t="shared" si="116"/>
        <v/>
      </c>
      <c r="M712" t="str">
        <f t="shared" si="117"/>
        <v/>
      </c>
      <c r="N712" t="str">
        <f t="shared" si="118"/>
        <v/>
      </c>
      <c r="O712" t="str">
        <f t="shared" si="119"/>
        <v/>
      </c>
      <c r="P712" t="str">
        <f>IF(OR(H712="",NOT(OR(LEFT(H712,1)="G",LEFT(H712,1)="R"))),"",IFERROR(VLOOKUP(MID(H712,3,1),Map!$G$2:$H$10,2,FALSE),""))</f>
        <v/>
      </c>
      <c r="Q712" t="str">
        <f>IF(A712="","",IFERROR(VLOOKUP(MID(A712,4,1),Map!$O$2:$P$10,2,FALSE),""))</f>
        <v/>
      </c>
    </row>
    <row r="713" spans="2:17" x14ac:dyDescent="0.25">
      <c r="B713" t="str">
        <f t="shared" si="110"/>
        <v/>
      </c>
      <c r="C713" t="str">
        <f t="shared" si="111"/>
        <v>**</v>
      </c>
      <c r="D713" t="str">
        <f t="shared" si="112"/>
        <v/>
      </c>
      <c r="E713" t="str">
        <f>IFERROR(VLOOKUP(MID(A713,7,2),Map!$A$2:$B$20,2,FALSE),"")</f>
        <v/>
      </c>
      <c r="F713" t="str">
        <f>IF(A713="","",IFERROR(VLOOKUP(MID(A713,9,2),Map!$R$2:$S$14,2,FALSE),""))</f>
        <v/>
      </c>
      <c r="G713" t="str">
        <f t="shared" si="113"/>
        <v/>
      </c>
      <c r="H713" t="str">
        <f t="shared" si="114"/>
        <v/>
      </c>
      <c r="I713" t="str">
        <f>IF(A713="","",IFERROR(VLOOKUP(LEFT(A713,1),Map!$D$2:$E$20,2,FALSE),""))</f>
        <v/>
      </c>
      <c r="J713" t="str">
        <f>IF(OR(H713="",NOT(OR(LEFT(H713,1)="G",LEFT(H713,1)="R"))),"",IFERROR(VLOOKUP(MID(H713,2,1),Map!$J$2:$M$10,2,FALSE),""))</f>
        <v/>
      </c>
      <c r="K713" t="str">
        <f t="shared" si="115"/>
        <v/>
      </c>
      <c r="L713" t="str">
        <f t="shared" si="116"/>
        <v/>
      </c>
      <c r="M713" t="str">
        <f t="shared" si="117"/>
        <v/>
      </c>
      <c r="N713" t="str">
        <f t="shared" si="118"/>
        <v/>
      </c>
      <c r="O713" t="str">
        <f t="shared" si="119"/>
        <v/>
      </c>
      <c r="P713" t="str">
        <f>IF(OR(H713="",NOT(OR(LEFT(H713,1)="G",LEFT(H713,1)="R"))),"",IFERROR(VLOOKUP(MID(H713,3,1),Map!$G$2:$H$10,2,FALSE),""))</f>
        <v/>
      </c>
      <c r="Q713" t="str">
        <f>IF(A713="","",IFERROR(VLOOKUP(MID(A713,4,1),Map!$O$2:$P$10,2,FALSE),""))</f>
        <v/>
      </c>
    </row>
    <row r="714" spans="2:17" x14ac:dyDescent="0.25">
      <c r="B714" t="str">
        <f t="shared" si="110"/>
        <v/>
      </c>
      <c r="C714" t="str">
        <f t="shared" si="111"/>
        <v>**</v>
      </c>
      <c r="D714" t="str">
        <f t="shared" si="112"/>
        <v/>
      </c>
      <c r="E714" t="str">
        <f>IFERROR(VLOOKUP(MID(A714,7,2),Map!$A$2:$B$20,2,FALSE),"")</f>
        <v/>
      </c>
      <c r="F714" t="str">
        <f>IF(A714="","",IFERROR(VLOOKUP(MID(A714,9,2),Map!$R$2:$S$14,2,FALSE),""))</f>
        <v/>
      </c>
      <c r="G714" t="str">
        <f t="shared" si="113"/>
        <v/>
      </c>
      <c r="H714" t="str">
        <f t="shared" si="114"/>
        <v/>
      </c>
      <c r="I714" t="str">
        <f>IF(A714="","",IFERROR(VLOOKUP(LEFT(A714,1),Map!$D$2:$E$20,2,FALSE),""))</f>
        <v/>
      </c>
      <c r="J714" t="str">
        <f>IF(OR(H714="",NOT(OR(LEFT(H714,1)="G",LEFT(H714,1)="R"))),"",IFERROR(VLOOKUP(MID(H714,2,1),Map!$J$2:$M$10,2,FALSE),""))</f>
        <v/>
      </c>
      <c r="K714" t="str">
        <f t="shared" si="115"/>
        <v/>
      </c>
      <c r="L714" t="str">
        <f t="shared" si="116"/>
        <v/>
      </c>
      <c r="M714" t="str">
        <f t="shared" si="117"/>
        <v/>
      </c>
      <c r="N714" t="str">
        <f t="shared" si="118"/>
        <v/>
      </c>
      <c r="O714" t="str">
        <f t="shared" si="119"/>
        <v/>
      </c>
      <c r="P714" t="str">
        <f>IF(OR(H714="",NOT(OR(LEFT(H714,1)="G",LEFT(H714,1)="R"))),"",IFERROR(VLOOKUP(MID(H714,3,1),Map!$G$2:$H$10,2,FALSE),""))</f>
        <v/>
      </c>
      <c r="Q714" t="str">
        <f>IF(A714="","",IFERROR(VLOOKUP(MID(A714,4,1),Map!$O$2:$P$10,2,FALSE),""))</f>
        <v/>
      </c>
    </row>
    <row r="715" spans="2:17" x14ac:dyDescent="0.25">
      <c r="B715" t="str">
        <f t="shared" si="110"/>
        <v/>
      </c>
      <c r="C715" t="str">
        <f t="shared" si="111"/>
        <v>**</v>
      </c>
      <c r="D715" t="str">
        <f t="shared" si="112"/>
        <v/>
      </c>
      <c r="E715" t="str">
        <f>IFERROR(VLOOKUP(MID(A715,7,2),Map!$A$2:$B$20,2,FALSE),"")</f>
        <v/>
      </c>
      <c r="F715" t="str">
        <f>IF(A715="","",IFERROR(VLOOKUP(MID(A715,9,2),Map!$R$2:$S$14,2,FALSE),""))</f>
        <v/>
      </c>
      <c r="G715" t="str">
        <f t="shared" si="113"/>
        <v/>
      </c>
      <c r="H715" t="str">
        <f t="shared" si="114"/>
        <v/>
      </c>
      <c r="I715" t="str">
        <f>IF(A715="","",IFERROR(VLOOKUP(LEFT(A715,1),Map!$D$2:$E$20,2,FALSE),""))</f>
        <v/>
      </c>
      <c r="J715" t="str">
        <f>IF(OR(H715="",NOT(OR(LEFT(H715,1)="G",LEFT(H715,1)="R"))),"",IFERROR(VLOOKUP(MID(H715,2,1),Map!$J$2:$M$10,2,FALSE),""))</f>
        <v/>
      </c>
      <c r="K715" t="str">
        <f t="shared" si="115"/>
        <v/>
      </c>
      <c r="L715" t="str">
        <f t="shared" si="116"/>
        <v/>
      </c>
      <c r="M715" t="str">
        <f t="shared" si="117"/>
        <v/>
      </c>
      <c r="N715" t="str">
        <f t="shared" si="118"/>
        <v/>
      </c>
      <c r="O715" t="str">
        <f t="shared" si="119"/>
        <v/>
      </c>
      <c r="P715" t="str">
        <f>IF(OR(H715="",NOT(OR(LEFT(H715,1)="G",LEFT(H715,1)="R"))),"",IFERROR(VLOOKUP(MID(H715,3,1),Map!$G$2:$H$10,2,FALSE),""))</f>
        <v/>
      </c>
      <c r="Q715" t="str">
        <f>IF(A715="","",IFERROR(VLOOKUP(MID(A715,4,1),Map!$O$2:$P$10,2,FALSE),""))</f>
        <v/>
      </c>
    </row>
    <row r="716" spans="2:17" x14ac:dyDescent="0.25">
      <c r="B716" t="str">
        <f t="shared" si="110"/>
        <v/>
      </c>
      <c r="C716" t="str">
        <f t="shared" si="111"/>
        <v>**</v>
      </c>
      <c r="D716" t="str">
        <f t="shared" si="112"/>
        <v/>
      </c>
      <c r="E716" t="str">
        <f>IFERROR(VLOOKUP(MID(A716,7,2),Map!$A$2:$B$20,2,FALSE),"")</f>
        <v/>
      </c>
      <c r="F716" t="str">
        <f>IF(A716="","",IFERROR(VLOOKUP(MID(A716,9,2),Map!$R$2:$S$14,2,FALSE),""))</f>
        <v/>
      </c>
      <c r="G716" t="str">
        <f t="shared" si="113"/>
        <v/>
      </c>
      <c r="H716" t="str">
        <f t="shared" si="114"/>
        <v/>
      </c>
      <c r="I716" t="str">
        <f>IF(A716="","",IFERROR(VLOOKUP(LEFT(A716,1),Map!$D$2:$E$20,2,FALSE),""))</f>
        <v/>
      </c>
      <c r="J716" t="str">
        <f>IF(OR(H716="",NOT(OR(LEFT(H716,1)="G",LEFT(H716,1)="R"))),"",IFERROR(VLOOKUP(MID(H716,2,1),Map!$J$2:$M$10,2,FALSE),""))</f>
        <v/>
      </c>
      <c r="K716" t="str">
        <f t="shared" si="115"/>
        <v/>
      </c>
      <c r="L716" t="str">
        <f t="shared" si="116"/>
        <v/>
      </c>
      <c r="M716" t="str">
        <f t="shared" si="117"/>
        <v/>
      </c>
      <c r="N716" t="str">
        <f t="shared" si="118"/>
        <v/>
      </c>
      <c r="O716" t="str">
        <f t="shared" si="119"/>
        <v/>
      </c>
      <c r="P716" t="str">
        <f>IF(OR(H716="",NOT(OR(LEFT(H716,1)="G",LEFT(H716,1)="R"))),"",IFERROR(VLOOKUP(MID(H716,3,1),Map!$G$2:$H$10,2,FALSE),""))</f>
        <v/>
      </c>
      <c r="Q716" t="str">
        <f>IF(A716="","",IFERROR(VLOOKUP(MID(A716,4,1),Map!$O$2:$P$10,2,FALSE),""))</f>
        <v/>
      </c>
    </row>
    <row r="717" spans="2:17" x14ac:dyDescent="0.25">
      <c r="B717" t="str">
        <f t="shared" si="110"/>
        <v/>
      </c>
      <c r="C717" t="str">
        <f t="shared" si="111"/>
        <v>**</v>
      </c>
      <c r="D717" t="str">
        <f t="shared" si="112"/>
        <v/>
      </c>
      <c r="E717" t="str">
        <f>IFERROR(VLOOKUP(MID(A717,7,2),Map!$A$2:$B$20,2,FALSE),"")</f>
        <v/>
      </c>
      <c r="F717" t="str">
        <f>IF(A717="","",IFERROR(VLOOKUP(MID(A717,9,2),Map!$R$2:$S$14,2,FALSE),""))</f>
        <v/>
      </c>
      <c r="G717" t="str">
        <f t="shared" si="113"/>
        <v/>
      </c>
      <c r="H717" t="str">
        <f t="shared" si="114"/>
        <v/>
      </c>
      <c r="I717" t="str">
        <f>IF(A717="","",IFERROR(VLOOKUP(LEFT(A717,1),Map!$D$2:$E$20,2,FALSE),""))</f>
        <v/>
      </c>
      <c r="J717" t="str">
        <f>IF(OR(H717="",NOT(OR(LEFT(H717,1)="G",LEFT(H717,1)="R"))),"",IFERROR(VLOOKUP(MID(H717,2,1),Map!$J$2:$M$10,2,FALSE),""))</f>
        <v/>
      </c>
      <c r="K717" t="str">
        <f t="shared" si="115"/>
        <v/>
      </c>
      <c r="L717" t="str">
        <f t="shared" si="116"/>
        <v/>
      </c>
      <c r="M717" t="str">
        <f t="shared" si="117"/>
        <v/>
      </c>
      <c r="N717" t="str">
        <f t="shared" si="118"/>
        <v/>
      </c>
      <c r="O717" t="str">
        <f t="shared" si="119"/>
        <v/>
      </c>
      <c r="P717" t="str">
        <f>IF(OR(H717="",NOT(OR(LEFT(H717,1)="G",LEFT(H717,1)="R"))),"",IFERROR(VLOOKUP(MID(H717,3,1),Map!$G$2:$H$10,2,FALSE),""))</f>
        <v/>
      </c>
      <c r="Q717" t="str">
        <f>IF(A717="","",IFERROR(VLOOKUP(MID(A717,4,1),Map!$O$2:$P$10,2,FALSE),""))</f>
        <v/>
      </c>
    </row>
    <row r="718" spans="2:17" x14ac:dyDescent="0.25">
      <c r="B718" t="str">
        <f t="shared" si="110"/>
        <v/>
      </c>
      <c r="C718" t="str">
        <f t="shared" si="111"/>
        <v>**</v>
      </c>
      <c r="D718" t="str">
        <f t="shared" si="112"/>
        <v/>
      </c>
      <c r="E718" t="str">
        <f>IFERROR(VLOOKUP(MID(A718,7,2),Map!$A$2:$B$20,2,FALSE),"")</f>
        <v/>
      </c>
      <c r="F718" t="str">
        <f>IF(A718="","",IFERROR(VLOOKUP(MID(A718,9,2),Map!$R$2:$S$14,2,FALSE),""))</f>
        <v/>
      </c>
      <c r="G718" t="str">
        <f t="shared" si="113"/>
        <v/>
      </c>
      <c r="H718" t="str">
        <f t="shared" si="114"/>
        <v/>
      </c>
      <c r="I718" t="str">
        <f>IF(A718="","",IFERROR(VLOOKUP(LEFT(A718,1),Map!$D$2:$E$20,2,FALSE),""))</f>
        <v/>
      </c>
      <c r="J718" t="str">
        <f>IF(OR(H718="",NOT(OR(LEFT(H718,1)="G",LEFT(H718,1)="R"))),"",IFERROR(VLOOKUP(MID(H718,2,1),Map!$J$2:$M$10,2,FALSE),""))</f>
        <v/>
      </c>
      <c r="K718" t="str">
        <f t="shared" si="115"/>
        <v/>
      </c>
      <c r="L718" t="str">
        <f t="shared" si="116"/>
        <v/>
      </c>
      <c r="M718" t="str">
        <f t="shared" si="117"/>
        <v/>
      </c>
      <c r="N718" t="str">
        <f t="shared" si="118"/>
        <v/>
      </c>
      <c r="O718" t="str">
        <f t="shared" si="119"/>
        <v/>
      </c>
      <c r="P718" t="str">
        <f>IF(OR(H718="",NOT(OR(LEFT(H718,1)="G",LEFT(H718,1)="R"))),"",IFERROR(VLOOKUP(MID(H718,3,1),Map!$G$2:$H$10,2,FALSE),""))</f>
        <v/>
      </c>
      <c r="Q718" t="str">
        <f>IF(A718="","",IFERROR(VLOOKUP(MID(A718,4,1),Map!$O$2:$P$10,2,FALSE),""))</f>
        <v/>
      </c>
    </row>
    <row r="719" spans="2:17" x14ac:dyDescent="0.25">
      <c r="B719" t="str">
        <f t="shared" si="110"/>
        <v/>
      </c>
      <c r="C719" t="str">
        <f t="shared" si="111"/>
        <v>**</v>
      </c>
      <c r="D719" t="str">
        <f t="shared" si="112"/>
        <v/>
      </c>
      <c r="E719" t="str">
        <f>IFERROR(VLOOKUP(MID(A719,7,2),Map!$A$2:$B$20,2,FALSE),"")</f>
        <v/>
      </c>
      <c r="F719" t="str">
        <f>IF(A719="","",IFERROR(VLOOKUP(MID(A719,9,2),Map!$R$2:$S$14,2,FALSE),""))</f>
        <v/>
      </c>
      <c r="G719" t="str">
        <f t="shared" si="113"/>
        <v/>
      </c>
      <c r="H719" t="str">
        <f t="shared" si="114"/>
        <v/>
      </c>
      <c r="I719" t="str">
        <f>IF(A719="","",IFERROR(VLOOKUP(LEFT(A719,1),Map!$D$2:$E$20,2,FALSE),""))</f>
        <v/>
      </c>
      <c r="J719" t="str">
        <f>IF(OR(H719="",NOT(OR(LEFT(H719,1)="G",LEFT(H719,1)="R"))),"",IFERROR(VLOOKUP(MID(H719,2,1),Map!$J$2:$M$10,2,FALSE),""))</f>
        <v/>
      </c>
      <c r="K719" t="str">
        <f t="shared" si="115"/>
        <v/>
      </c>
      <c r="L719" t="str">
        <f t="shared" si="116"/>
        <v/>
      </c>
      <c r="M719" t="str">
        <f t="shared" si="117"/>
        <v/>
      </c>
      <c r="N719" t="str">
        <f t="shared" si="118"/>
        <v/>
      </c>
      <c r="O719" t="str">
        <f t="shared" si="119"/>
        <v/>
      </c>
      <c r="P719" t="str">
        <f>IF(OR(H719="",NOT(OR(LEFT(H719,1)="G",LEFT(H719,1)="R"))),"",IFERROR(VLOOKUP(MID(H719,3,1),Map!$G$2:$H$10,2,FALSE),""))</f>
        <v/>
      </c>
      <c r="Q719" t="str">
        <f>IF(A719="","",IFERROR(VLOOKUP(MID(A719,4,1),Map!$O$2:$P$10,2,FALSE),""))</f>
        <v/>
      </c>
    </row>
    <row r="720" spans="2:17" x14ac:dyDescent="0.25">
      <c r="B720" t="str">
        <f t="shared" si="110"/>
        <v/>
      </c>
      <c r="C720" t="str">
        <f t="shared" si="111"/>
        <v>**</v>
      </c>
      <c r="D720" t="str">
        <f t="shared" si="112"/>
        <v/>
      </c>
      <c r="E720" t="str">
        <f>IFERROR(VLOOKUP(MID(A720,7,2),Map!$A$2:$B$20,2,FALSE),"")</f>
        <v/>
      </c>
      <c r="F720" t="str">
        <f>IF(A720="","",IFERROR(VLOOKUP(MID(A720,9,2),Map!$R$2:$S$14,2,FALSE),""))</f>
        <v/>
      </c>
      <c r="G720" t="str">
        <f t="shared" si="113"/>
        <v/>
      </c>
      <c r="H720" t="str">
        <f t="shared" si="114"/>
        <v/>
      </c>
      <c r="I720" t="str">
        <f>IF(A720="","",IFERROR(VLOOKUP(LEFT(A720,1),Map!$D$2:$E$20,2,FALSE),""))</f>
        <v/>
      </c>
      <c r="J720" t="str">
        <f>IF(OR(H720="",NOT(OR(LEFT(H720,1)="G",LEFT(H720,1)="R"))),"",IFERROR(VLOOKUP(MID(H720,2,1),Map!$J$2:$M$10,2,FALSE),""))</f>
        <v/>
      </c>
      <c r="K720" t="str">
        <f t="shared" si="115"/>
        <v/>
      </c>
      <c r="L720" t="str">
        <f t="shared" si="116"/>
        <v/>
      </c>
      <c r="M720" t="str">
        <f t="shared" si="117"/>
        <v/>
      </c>
      <c r="N720" t="str">
        <f t="shared" si="118"/>
        <v/>
      </c>
      <c r="O720" t="str">
        <f t="shared" si="119"/>
        <v/>
      </c>
      <c r="P720" t="str">
        <f>IF(OR(H720="",NOT(OR(LEFT(H720,1)="G",LEFT(H720,1)="R"))),"",IFERROR(VLOOKUP(MID(H720,3,1),Map!$G$2:$H$10,2,FALSE),""))</f>
        <v/>
      </c>
      <c r="Q720" t="str">
        <f>IF(A720="","",IFERROR(VLOOKUP(MID(A720,4,1),Map!$O$2:$P$10,2,FALSE),""))</f>
        <v/>
      </c>
    </row>
    <row r="721" spans="2:17" x14ac:dyDescent="0.25">
      <c r="B721" t="str">
        <f t="shared" si="110"/>
        <v/>
      </c>
      <c r="C721" t="str">
        <f t="shared" si="111"/>
        <v>**</v>
      </c>
      <c r="D721" t="str">
        <f t="shared" si="112"/>
        <v/>
      </c>
      <c r="E721" t="str">
        <f>IFERROR(VLOOKUP(MID(A721,7,2),Map!$A$2:$B$20,2,FALSE),"")</f>
        <v/>
      </c>
      <c r="F721" t="str">
        <f>IF(A721="","",IFERROR(VLOOKUP(MID(A721,9,2),Map!$R$2:$S$14,2,FALSE),""))</f>
        <v/>
      </c>
      <c r="G721" t="str">
        <f t="shared" si="113"/>
        <v/>
      </c>
      <c r="H721" t="str">
        <f t="shared" si="114"/>
        <v/>
      </c>
      <c r="I721" t="str">
        <f>IF(A721="","",IFERROR(VLOOKUP(LEFT(A721,1),Map!$D$2:$E$20,2,FALSE),""))</f>
        <v/>
      </c>
      <c r="J721" t="str">
        <f>IF(OR(H721="",NOT(OR(LEFT(H721,1)="G",LEFT(H721,1)="R"))),"",IFERROR(VLOOKUP(MID(H721,2,1),Map!$J$2:$M$10,2,FALSE),""))</f>
        <v/>
      </c>
      <c r="K721" t="str">
        <f t="shared" si="115"/>
        <v/>
      </c>
      <c r="L721" t="str">
        <f t="shared" si="116"/>
        <v/>
      </c>
      <c r="M721" t="str">
        <f t="shared" si="117"/>
        <v/>
      </c>
      <c r="N721" t="str">
        <f t="shared" si="118"/>
        <v/>
      </c>
      <c r="O721" t="str">
        <f t="shared" si="119"/>
        <v/>
      </c>
      <c r="P721" t="str">
        <f>IF(OR(H721="",NOT(OR(LEFT(H721,1)="G",LEFT(H721,1)="R"))),"",IFERROR(VLOOKUP(MID(H721,3,1),Map!$G$2:$H$10,2,FALSE),""))</f>
        <v/>
      </c>
      <c r="Q721" t="str">
        <f>IF(A721="","",IFERROR(VLOOKUP(MID(A721,4,1),Map!$O$2:$P$10,2,FALSE),""))</f>
        <v/>
      </c>
    </row>
    <row r="722" spans="2:17" x14ac:dyDescent="0.25">
      <c r="B722" t="str">
        <f t="shared" si="110"/>
        <v/>
      </c>
      <c r="C722" t="str">
        <f t="shared" si="111"/>
        <v>**</v>
      </c>
      <c r="D722" t="str">
        <f t="shared" si="112"/>
        <v/>
      </c>
      <c r="E722" t="str">
        <f>IFERROR(VLOOKUP(MID(A722,7,2),Map!$A$2:$B$20,2,FALSE),"")</f>
        <v/>
      </c>
      <c r="F722" t="str">
        <f>IF(A722="","",IFERROR(VLOOKUP(MID(A722,9,2),Map!$R$2:$S$14,2,FALSE),""))</f>
        <v/>
      </c>
      <c r="G722" t="str">
        <f t="shared" si="113"/>
        <v/>
      </c>
      <c r="H722" t="str">
        <f t="shared" si="114"/>
        <v/>
      </c>
      <c r="I722" t="str">
        <f>IF(A722="","",IFERROR(VLOOKUP(LEFT(A722,1),Map!$D$2:$E$20,2,FALSE),""))</f>
        <v/>
      </c>
      <c r="J722" t="str">
        <f>IF(OR(H722="",NOT(OR(LEFT(H722,1)="G",LEFT(H722,1)="R"))),"",IFERROR(VLOOKUP(MID(H722,2,1),Map!$J$2:$M$10,2,FALSE),""))</f>
        <v/>
      </c>
      <c r="K722" t="str">
        <f t="shared" si="115"/>
        <v/>
      </c>
      <c r="L722" t="str">
        <f t="shared" si="116"/>
        <v/>
      </c>
      <c r="M722" t="str">
        <f t="shared" si="117"/>
        <v/>
      </c>
      <c r="N722" t="str">
        <f t="shared" si="118"/>
        <v/>
      </c>
      <c r="O722" t="str">
        <f t="shared" si="119"/>
        <v/>
      </c>
      <c r="P722" t="str">
        <f>IF(OR(H722="",NOT(OR(LEFT(H722,1)="G",LEFT(H722,1)="R"))),"",IFERROR(VLOOKUP(MID(H722,3,1),Map!$G$2:$H$10,2,FALSE),""))</f>
        <v/>
      </c>
      <c r="Q722" t="str">
        <f>IF(A722="","",IFERROR(VLOOKUP(MID(A722,4,1),Map!$O$2:$P$10,2,FALSE),""))</f>
        <v/>
      </c>
    </row>
    <row r="723" spans="2:17" x14ac:dyDescent="0.25">
      <c r="B723" t="str">
        <f t="shared" si="110"/>
        <v/>
      </c>
      <c r="C723" t="str">
        <f t="shared" si="111"/>
        <v>**</v>
      </c>
      <c r="D723" t="str">
        <f t="shared" si="112"/>
        <v/>
      </c>
      <c r="E723" t="str">
        <f>IFERROR(VLOOKUP(MID(A723,7,2),Map!$A$2:$B$20,2,FALSE),"")</f>
        <v/>
      </c>
      <c r="F723" t="str">
        <f>IF(A723="","",IFERROR(VLOOKUP(MID(A723,9,2),Map!$R$2:$S$14,2,FALSE),""))</f>
        <v/>
      </c>
      <c r="G723" t="str">
        <f t="shared" si="113"/>
        <v/>
      </c>
      <c r="H723" t="str">
        <f t="shared" si="114"/>
        <v/>
      </c>
      <c r="I723" t="str">
        <f>IF(A723="","",IFERROR(VLOOKUP(LEFT(A723,1),Map!$D$2:$E$20,2,FALSE),""))</f>
        <v/>
      </c>
      <c r="J723" t="str">
        <f>IF(OR(H723="",NOT(OR(LEFT(H723,1)="G",LEFT(H723,1)="R"))),"",IFERROR(VLOOKUP(MID(H723,2,1),Map!$J$2:$M$10,2,FALSE),""))</f>
        <v/>
      </c>
      <c r="K723" t="str">
        <f t="shared" si="115"/>
        <v/>
      </c>
      <c r="L723" t="str">
        <f t="shared" si="116"/>
        <v/>
      </c>
      <c r="M723" t="str">
        <f t="shared" si="117"/>
        <v/>
      </c>
      <c r="N723" t="str">
        <f t="shared" si="118"/>
        <v/>
      </c>
      <c r="O723" t="str">
        <f t="shared" si="119"/>
        <v/>
      </c>
      <c r="P723" t="str">
        <f>IF(OR(H723="",NOT(OR(LEFT(H723,1)="G",LEFT(H723,1)="R"))),"",IFERROR(VLOOKUP(MID(H723,3,1),Map!$G$2:$H$10,2,FALSE),""))</f>
        <v/>
      </c>
      <c r="Q723" t="str">
        <f>IF(A723="","",IFERROR(VLOOKUP(MID(A723,4,1),Map!$O$2:$P$10,2,FALSE),""))</f>
        <v/>
      </c>
    </row>
    <row r="724" spans="2:17" x14ac:dyDescent="0.25">
      <c r="B724" t="str">
        <f t="shared" si="110"/>
        <v/>
      </c>
      <c r="C724" t="str">
        <f t="shared" si="111"/>
        <v>**</v>
      </c>
      <c r="D724" t="str">
        <f t="shared" si="112"/>
        <v/>
      </c>
      <c r="E724" t="str">
        <f>IFERROR(VLOOKUP(MID(A724,7,2),Map!$A$2:$B$20,2,FALSE),"")</f>
        <v/>
      </c>
      <c r="F724" t="str">
        <f>IF(A724="","",IFERROR(VLOOKUP(MID(A724,9,2),Map!$R$2:$S$14,2,FALSE),""))</f>
        <v/>
      </c>
      <c r="G724" t="str">
        <f t="shared" si="113"/>
        <v/>
      </c>
      <c r="H724" t="str">
        <f t="shared" si="114"/>
        <v/>
      </c>
      <c r="I724" t="str">
        <f>IF(A724="","",IFERROR(VLOOKUP(LEFT(A724,1),Map!$D$2:$E$20,2,FALSE),""))</f>
        <v/>
      </c>
      <c r="J724" t="str">
        <f>IF(OR(H724="",NOT(OR(LEFT(H724,1)="G",LEFT(H724,1)="R"))),"",IFERROR(VLOOKUP(MID(H724,2,1),Map!$J$2:$M$10,2,FALSE),""))</f>
        <v/>
      </c>
      <c r="K724" t="str">
        <f t="shared" si="115"/>
        <v/>
      </c>
      <c r="L724" t="str">
        <f t="shared" si="116"/>
        <v/>
      </c>
      <c r="M724" t="str">
        <f t="shared" si="117"/>
        <v/>
      </c>
      <c r="N724" t="str">
        <f t="shared" si="118"/>
        <v/>
      </c>
      <c r="O724" t="str">
        <f t="shared" si="119"/>
        <v/>
      </c>
      <c r="P724" t="str">
        <f>IF(OR(H724="",NOT(OR(LEFT(H724,1)="G",LEFT(H724,1)="R"))),"",IFERROR(VLOOKUP(MID(H724,3,1),Map!$G$2:$H$10,2,FALSE),""))</f>
        <v/>
      </c>
      <c r="Q724" t="str">
        <f>IF(A724="","",IFERROR(VLOOKUP(MID(A724,4,1),Map!$O$2:$P$10,2,FALSE),""))</f>
        <v/>
      </c>
    </row>
    <row r="725" spans="2:17" x14ac:dyDescent="0.25">
      <c r="B725" t="str">
        <f t="shared" si="110"/>
        <v/>
      </c>
      <c r="C725" t="str">
        <f t="shared" si="111"/>
        <v>**</v>
      </c>
      <c r="D725" t="str">
        <f t="shared" si="112"/>
        <v/>
      </c>
      <c r="E725" t="str">
        <f>IFERROR(VLOOKUP(MID(A725,7,2),Map!$A$2:$B$20,2,FALSE),"")</f>
        <v/>
      </c>
      <c r="F725" t="str">
        <f>IF(A725="","",IFERROR(VLOOKUP(MID(A725,9,2),Map!$R$2:$S$14,2,FALSE),""))</f>
        <v/>
      </c>
      <c r="G725" t="str">
        <f t="shared" si="113"/>
        <v/>
      </c>
      <c r="H725" t="str">
        <f t="shared" si="114"/>
        <v/>
      </c>
      <c r="I725" t="str">
        <f>IF(A725="","",IFERROR(VLOOKUP(LEFT(A725,1),Map!$D$2:$E$20,2,FALSE),""))</f>
        <v/>
      </c>
      <c r="J725" t="str">
        <f>IF(OR(H725="",NOT(OR(LEFT(H725,1)="G",LEFT(H725,1)="R"))),"",IFERROR(VLOOKUP(MID(H725,2,1),Map!$J$2:$M$10,2,FALSE),""))</f>
        <v/>
      </c>
      <c r="K725" t="str">
        <f t="shared" si="115"/>
        <v/>
      </c>
      <c r="L725" t="str">
        <f t="shared" si="116"/>
        <v/>
      </c>
      <c r="M725" t="str">
        <f t="shared" si="117"/>
        <v/>
      </c>
      <c r="N725" t="str">
        <f t="shared" si="118"/>
        <v/>
      </c>
      <c r="O725" t="str">
        <f t="shared" si="119"/>
        <v/>
      </c>
      <c r="P725" t="str">
        <f>IF(OR(H725="",NOT(OR(LEFT(H725,1)="G",LEFT(H725,1)="R"))),"",IFERROR(VLOOKUP(MID(H725,3,1),Map!$G$2:$H$10,2,FALSE),""))</f>
        <v/>
      </c>
      <c r="Q725" t="str">
        <f>IF(A725="","",IFERROR(VLOOKUP(MID(A725,4,1),Map!$O$2:$P$10,2,FALSE),""))</f>
        <v/>
      </c>
    </row>
    <row r="726" spans="2:17" x14ac:dyDescent="0.25">
      <c r="B726" t="str">
        <f t="shared" si="110"/>
        <v/>
      </c>
      <c r="C726" t="str">
        <f t="shared" si="111"/>
        <v>**</v>
      </c>
      <c r="D726" t="str">
        <f t="shared" si="112"/>
        <v/>
      </c>
      <c r="E726" t="str">
        <f>IFERROR(VLOOKUP(MID(A726,7,2),Map!$A$2:$B$20,2,FALSE),"")</f>
        <v/>
      </c>
      <c r="F726" t="str">
        <f>IF(A726="","",IFERROR(VLOOKUP(MID(A726,9,2),Map!$R$2:$S$14,2,FALSE),""))</f>
        <v/>
      </c>
      <c r="G726" t="str">
        <f t="shared" si="113"/>
        <v/>
      </c>
      <c r="H726" t="str">
        <f t="shared" si="114"/>
        <v/>
      </c>
      <c r="I726" t="str">
        <f>IF(A726="","",IFERROR(VLOOKUP(LEFT(A726,1),Map!$D$2:$E$20,2,FALSE),""))</f>
        <v/>
      </c>
      <c r="J726" t="str">
        <f>IF(OR(H726="",NOT(OR(LEFT(H726,1)="G",LEFT(H726,1)="R"))),"",IFERROR(VLOOKUP(MID(H726,2,1),Map!$J$2:$M$10,2,FALSE),""))</f>
        <v/>
      </c>
      <c r="K726" t="str">
        <f t="shared" si="115"/>
        <v/>
      </c>
      <c r="L726" t="str">
        <f t="shared" si="116"/>
        <v/>
      </c>
      <c r="M726" t="str">
        <f t="shared" si="117"/>
        <v/>
      </c>
      <c r="N726" t="str">
        <f t="shared" si="118"/>
        <v/>
      </c>
      <c r="O726" t="str">
        <f t="shared" si="119"/>
        <v/>
      </c>
      <c r="P726" t="str">
        <f>IF(OR(H726="",NOT(OR(LEFT(H726,1)="G",LEFT(H726,1)="R"))),"",IFERROR(VLOOKUP(MID(H726,3,1),Map!$G$2:$H$10,2,FALSE),""))</f>
        <v/>
      </c>
      <c r="Q726" t="str">
        <f>IF(A726="","",IFERROR(VLOOKUP(MID(A726,4,1),Map!$O$2:$P$10,2,FALSE),""))</f>
        <v/>
      </c>
    </row>
    <row r="727" spans="2:17" x14ac:dyDescent="0.25">
      <c r="B727" t="str">
        <f t="shared" si="110"/>
        <v/>
      </c>
      <c r="C727" t="str">
        <f t="shared" si="111"/>
        <v>**</v>
      </c>
      <c r="D727" t="str">
        <f t="shared" si="112"/>
        <v/>
      </c>
      <c r="E727" t="str">
        <f>IFERROR(VLOOKUP(MID(A727,7,2),Map!$A$2:$B$20,2,FALSE),"")</f>
        <v/>
      </c>
      <c r="F727" t="str">
        <f>IF(A727="","",IFERROR(VLOOKUP(MID(A727,9,2),Map!$R$2:$S$14,2,FALSE),""))</f>
        <v/>
      </c>
      <c r="G727" t="str">
        <f t="shared" si="113"/>
        <v/>
      </c>
      <c r="H727" t="str">
        <f t="shared" si="114"/>
        <v/>
      </c>
      <c r="I727" t="str">
        <f>IF(A727="","",IFERROR(VLOOKUP(LEFT(A727,1),Map!$D$2:$E$20,2,FALSE),""))</f>
        <v/>
      </c>
      <c r="J727" t="str">
        <f>IF(OR(H727="",NOT(OR(LEFT(H727,1)="G",LEFT(H727,1)="R"))),"",IFERROR(VLOOKUP(MID(H727,2,1),Map!$J$2:$M$10,2,FALSE),""))</f>
        <v/>
      </c>
      <c r="K727" t="str">
        <f t="shared" si="115"/>
        <v/>
      </c>
      <c r="L727" t="str">
        <f t="shared" si="116"/>
        <v/>
      </c>
      <c r="M727" t="str">
        <f t="shared" si="117"/>
        <v/>
      </c>
      <c r="N727" t="str">
        <f t="shared" si="118"/>
        <v/>
      </c>
      <c r="O727" t="str">
        <f t="shared" si="119"/>
        <v/>
      </c>
      <c r="P727" t="str">
        <f>IF(OR(H727="",NOT(OR(LEFT(H727,1)="G",LEFT(H727,1)="R"))),"",IFERROR(VLOOKUP(MID(H727,3,1),Map!$G$2:$H$10,2,FALSE),""))</f>
        <v/>
      </c>
      <c r="Q727" t="str">
        <f>IF(A727="","",IFERROR(VLOOKUP(MID(A727,4,1),Map!$O$2:$P$10,2,FALSE),""))</f>
        <v/>
      </c>
    </row>
    <row r="728" spans="2:17" x14ac:dyDescent="0.25">
      <c r="B728" t="str">
        <f t="shared" si="110"/>
        <v/>
      </c>
      <c r="C728" t="str">
        <f t="shared" si="111"/>
        <v>**</v>
      </c>
      <c r="D728" t="str">
        <f t="shared" si="112"/>
        <v/>
      </c>
      <c r="E728" t="str">
        <f>IFERROR(VLOOKUP(MID(A728,7,2),Map!$A$2:$B$20,2,FALSE),"")</f>
        <v/>
      </c>
      <c r="F728" t="str">
        <f>IF(A728="","",IFERROR(VLOOKUP(MID(A728,9,2),Map!$R$2:$S$14,2,FALSE),""))</f>
        <v/>
      </c>
      <c r="G728" t="str">
        <f t="shared" si="113"/>
        <v/>
      </c>
      <c r="H728" t="str">
        <f t="shared" si="114"/>
        <v/>
      </c>
      <c r="I728" t="str">
        <f>IF(A728="","",IFERROR(VLOOKUP(LEFT(A728,1),Map!$D$2:$E$20,2,FALSE),""))</f>
        <v/>
      </c>
      <c r="J728" t="str">
        <f>IF(OR(H728="",NOT(OR(LEFT(H728,1)="G",LEFT(H728,1)="R"))),"",IFERROR(VLOOKUP(MID(H728,2,1),Map!$J$2:$M$10,2,FALSE),""))</f>
        <v/>
      </c>
      <c r="K728" t="str">
        <f t="shared" si="115"/>
        <v/>
      </c>
      <c r="L728" t="str">
        <f t="shared" si="116"/>
        <v/>
      </c>
      <c r="M728" t="str">
        <f t="shared" si="117"/>
        <v/>
      </c>
      <c r="N728" t="str">
        <f t="shared" si="118"/>
        <v/>
      </c>
      <c r="O728" t="str">
        <f t="shared" si="119"/>
        <v/>
      </c>
      <c r="P728" t="str">
        <f>IF(OR(H728="",NOT(OR(LEFT(H728,1)="G",LEFT(H728,1)="R"))),"",IFERROR(VLOOKUP(MID(H728,3,1),Map!$G$2:$H$10,2,FALSE),""))</f>
        <v/>
      </c>
      <c r="Q728" t="str">
        <f>IF(A728="","",IFERROR(VLOOKUP(MID(A728,4,1),Map!$O$2:$P$10,2,FALSE),""))</f>
        <v/>
      </c>
    </row>
    <row r="729" spans="2:17" x14ac:dyDescent="0.25">
      <c r="B729" t="str">
        <f t="shared" si="110"/>
        <v/>
      </c>
      <c r="C729" t="str">
        <f t="shared" si="111"/>
        <v>**</v>
      </c>
      <c r="D729" t="str">
        <f t="shared" si="112"/>
        <v/>
      </c>
      <c r="E729" t="str">
        <f>IFERROR(VLOOKUP(MID(A729,7,2),Map!$A$2:$B$20,2,FALSE),"")</f>
        <v/>
      </c>
      <c r="F729" t="str">
        <f>IF(A729="","",IFERROR(VLOOKUP(MID(A729,9,2),Map!$R$2:$S$14,2,FALSE),""))</f>
        <v/>
      </c>
      <c r="G729" t="str">
        <f t="shared" si="113"/>
        <v/>
      </c>
      <c r="H729" t="str">
        <f t="shared" si="114"/>
        <v/>
      </c>
      <c r="I729" t="str">
        <f>IF(A729="","",IFERROR(VLOOKUP(LEFT(A729,1),Map!$D$2:$E$20,2,FALSE),""))</f>
        <v/>
      </c>
      <c r="J729" t="str">
        <f>IF(OR(H729="",NOT(OR(LEFT(H729,1)="G",LEFT(H729,1)="R"))),"",IFERROR(VLOOKUP(MID(H729,2,1),Map!$J$2:$M$10,2,FALSE),""))</f>
        <v/>
      </c>
      <c r="K729" t="str">
        <f t="shared" si="115"/>
        <v/>
      </c>
      <c r="L729" t="str">
        <f t="shared" si="116"/>
        <v/>
      </c>
      <c r="M729" t="str">
        <f t="shared" si="117"/>
        <v/>
      </c>
      <c r="N729" t="str">
        <f t="shared" si="118"/>
        <v/>
      </c>
      <c r="O729" t="str">
        <f t="shared" si="119"/>
        <v/>
      </c>
      <c r="P729" t="str">
        <f>IF(OR(H729="",NOT(OR(LEFT(H729,1)="G",LEFT(H729,1)="R"))),"",IFERROR(VLOOKUP(MID(H729,3,1),Map!$G$2:$H$10,2,FALSE),""))</f>
        <v/>
      </c>
      <c r="Q729" t="str">
        <f>IF(A729="","",IFERROR(VLOOKUP(MID(A729,4,1),Map!$O$2:$P$10,2,FALSE),""))</f>
        <v/>
      </c>
    </row>
    <row r="730" spans="2:17" x14ac:dyDescent="0.25">
      <c r="B730" t="str">
        <f t="shared" si="110"/>
        <v/>
      </c>
      <c r="C730" t="str">
        <f t="shared" si="111"/>
        <v>**</v>
      </c>
      <c r="D730" t="str">
        <f t="shared" si="112"/>
        <v/>
      </c>
      <c r="E730" t="str">
        <f>IFERROR(VLOOKUP(MID(A730,7,2),Map!$A$2:$B$20,2,FALSE),"")</f>
        <v/>
      </c>
      <c r="F730" t="str">
        <f>IF(A730="","",IFERROR(VLOOKUP(MID(A730,9,2),Map!$R$2:$S$14,2,FALSE),""))</f>
        <v/>
      </c>
      <c r="G730" t="str">
        <f t="shared" si="113"/>
        <v/>
      </c>
      <c r="H730" t="str">
        <f t="shared" si="114"/>
        <v/>
      </c>
      <c r="I730" t="str">
        <f>IF(A730="","",IFERROR(VLOOKUP(LEFT(A730,1),Map!$D$2:$E$20,2,FALSE),""))</f>
        <v/>
      </c>
      <c r="J730" t="str">
        <f>IF(OR(H730="",NOT(OR(LEFT(H730,1)="G",LEFT(H730,1)="R"))),"",IFERROR(VLOOKUP(MID(H730,2,1),Map!$J$2:$M$10,2,FALSE),""))</f>
        <v/>
      </c>
      <c r="K730" t="str">
        <f t="shared" si="115"/>
        <v/>
      </c>
      <c r="L730" t="str">
        <f t="shared" si="116"/>
        <v/>
      </c>
      <c r="M730" t="str">
        <f t="shared" si="117"/>
        <v/>
      </c>
      <c r="N730" t="str">
        <f t="shared" si="118"/>
        <v/>
      </c>
      <c r="O730" t="str">
        <f t="shared" si="119"/>
        <v/>
      </c>
      <c r="P730" t="str">
        <f>IF(OR(H730="",NOT(OR(LEFT(H730,1)="G",LEFT(H730,1)="R"))),"",IFERROR(VLOOKUP(MID(H730,3,1),Map!$G$2:$H$10,2,FALSE),""))</f>
        <v/>
      </c>
      <c r="Q730" t="str">
        <f>IF(A730="","",IFERROR(VLOOKUP(MID(A730,4,1),Map!$O$2:$P$10,2,FALSE),""))</f>
        <v/>
      </c>
    </row>
    <row r="731" spans="2:17" x14ac:dyDescent="0.25">
      <c r="B731" t="str">
        <f t="shared" si="110"/>
        <v/>
      </c>
      <c r="C731" t="str">
        <f t="shared" si="111"/>
        <v>**</v>
      </c>
      <c r="D731" t="str">
        <f t="shared" si="112"/>
        <v/>
      </c>
      <c r="E731" t="str">
        <f>IFERROR(VLOOKUP(MID(A731,7,2),Map!$A$2:$B$20,2,FALSE),"")</f>
        <v/>
      </c>
      <c r="F731" t="str">
        <f>IF(A731="","",IFERROR(VLOOKUP(MID(A731,9,2),Map!$R$2:$S$14,2,FALSE),""))</f>
        <v/>
      </c>
      <c r="G731" t="str">
        <f t="shared" si="113"/>
        <v/>
      </c>
      <c r="H731" t="str">
        <f t="shared" si="114"/>
        <v/>
      </c>
      <c r="I731" t="str">
        <f>IF(A731="","",IFERROR(VLOOKUP(LEFT(A731,1),Map!$D$2:$E$20,2,FALSE),""))</f>
        <v/>
      </c>
      <c r="J731" t="str">
        <f>IF(OR(H731="",NOT(OR(LEFT(H731,1)="G",LEFT(H731,1)="R"))),"",IFERROR(VLOOKUP(MID(H731,2,1),Map!$J$2:$M$10,2,FALSE),""))</f>
        <v/>
      </c>
      <c r="K731" t="str">
        <f t="shared" si="115"/>
        <v/>
      </c>
      <c r="L731" t="str">
        <f t="shared" si="116"/>
        <v/>
      </c>
      <c r="M731" t="str">
        <f t="shared" si="117"/>
        <v/>
      </c>
      <c r="N731" t="str">
        <f t="shared" si="118"/>
        <v/>
      </c>
      <c r="O731" t="str">
        <f t="shared" si="119"/>
        <v/>
      </c>
      <c r="P731" t="str">
        <f>IF(OR(H731="",NOT(OR(LEFT(H731,1)="G",LEFT(H731,1)="R"))),"",IFERROR(VLOOKUP(MID(H731,3,1),Map!$G$2:$H$10,2,FALSE),""))</f>
        <v/>
      </c>
      <c r="Q731" t="str">
        <f>IF(A731="","",IFERROR(VLOOKUP(MID(A731,4,1),Map!$O$2:$P$10,2,FALSE),""))</f>
        <v/>
      </c>
    </row>
    <row r="732" spans="2:17" x14ac:dyDescent="0.25">
      <c r="B732" t="str">
        <f t="shared" si="110"/>
        <v/>
      </c>
      <c r="C732" t="str">
        <f t="shared" si="111"/>
        <v>**</v>
      </c>
      <c r="D732" t="str">
        <f t="shared" si="112"/>
        <v/>
      </c>
      <c r="E732" t="str">
        <f>IFERROR(VLOOKUP(MID(A732,7,2),Map!$A$2:$B$20,2,FALSE),"")</f>
        <v/>
      </c>
      <c r="F732" t="str">
        <f>IF(A732="","",IFERROR(VLOOKUP(MID(A732,9,2),Map!$R$2:$S$14,2,FALSE),""))</f>
        <v/>
      </c>
      <c r="G732" t="str">
        <f t="shared" si="113"/>
        <v/>
      </c>
      <c r="H732" t="str">
        <f t="shared" si="114"/>
        <v/>
      </c>
      <c r="I732" t="str">
        <f>IF(A732="","",IFERROR(VLOOKUP(LEFT(A732,1),Map!$D$2:$E$20,2,FALSE),""))</f>
        <v/>
      </c>
      <c r="J732" t="str">
        <f>IF(OR(H732="",NOT(OR(LEFT(H732,1)="G",LEFT(H732,1)="R"))),"",IFERROR(VLOOKUP(MID(H732,2,1),Map!$J$2:$M$10,2,FALSE),""))</f>
        <v/>
      </c>
      <c r="K732" t="str">
        <f t="shared" si="115"/>
        <v/>
      </c>
      <c r="L732" t="str">
        <f t="shared" si="116"/>
        <v/>
      </c>
      <c r="M732" t="str">
        <f t="shared" si="117"/>
        <v/>
      </c>
      <c r="N732" t="str">
        <f t="shared" si="118"/>
        <v/>
      </c>
      <c r="O732" t="str">
        <f t="shared" si="119"/>
        <v/>
      </c>
      <c r="P732" t="str">
        <f>IF(OR(H732="",NOT(OR(LEFT(H732,1)="G",LEFT(H732,1)="R"))),"",IFERROR(VLOOKUP(MID(H732,3,1),Map!$G$2:$H$10,2,FALSE),""))</f>
        <v/>
      </c>
      <c r="Q732" t="str">
        <f>IF(A732="","",IFERROR(VLOOKUP(MID(A732,4,1),Map!$O$2:$P$10,2,FALSE),""))</f>
        <v/>
      </c>
    </row>
    <row r="733" spans="2:17" x14ac:dyDescent="0.25">
      <c r="B733" t="str">
        <f t="shared" si="110"/>
        <v/>
      </c>
      <c r="C733" t="str">
        <f t="shared" si="111"/>
        <v>**</v>
      </c>
      <c r="D733" t="str">
        <f t="shared" si="112"/>
        <v/>
      </c>
      <c r="E733" t="str">
        <f>IFERROR(VLOOKUP(MID(A733,7,2),Map!$A$2:$B$20,2,FALSE),"")</f>
        <v/>
      </c>
      <c r="F733" t="str">
        <f>IF(A733="","",IFERROR(VLOOKUP(MID(A733,9,2),Map!$R$2:$S$14,2,FALSE),""))</f>
        <v/>
      </c>
      <c r="G733" t="str">
        <f t="shared" si="113"/>
        <v/>
      </c>
      <c r="H733" t="str">
        <f t="shared" si="114"/>
        <v/>
      </c>
      <c r="I733" t="str">
        <f>IF(A733="","",IFERROR(VLOOKUP(LEFT(A733,1),Map!$D$2:$E$20,2,FALSE),""))</f>
        <v/>
      </c>
      <c r="J733" t="str">
        <f>IF(OR(H733="",NOT(OR(LEFT(H733,1)="G",LEFT(H733,1)="R"))),"",IFERROR(VLOOKUP(MID(H733,2,1),Map!$J$2:$M$10,2,FALSE),""))</f>
        <v/>
      </c>
      <c r="K733" t="str">
        <f t="shared" si="115"/>
        <v/>
      </c>
      <c r="L733" t="str">
        <f t="shared" si="116"/>
        <v/>
      </c>
      <c r="M733" t="str">
        <f t="shared" si="117"/>
        <v/>
      </c>
      <c r="N733" t="str">
        <f t="shared" si="118"/>
        <v/>
      </c>
      <c r="O733" t="str">
        <f t="shared" si="119"/>
        <v/>
      </c>
      <c r="P733" t="str">
        <f>IF(OR(H733="",NOT(OR(LEFT(H733,1)="G",LEFT(H733,1)="R"))),"",IFERROR(VLOOKUP(MID(H733,3,1),Map!$G$2:$H$10,2,FALSE),""))</f>
        <v/>
      </c>
      <c r="Q733" t="str">
        <f>IF(A733="","",IFERROR(VLOOKUP(MID(A733,4,1),Map!$O$2:$P$10,2,FALSE),""))</f>
        <v/>
      </c>
    </row>
    <row r="734" spans="2:17" x14ac:dyDescent="0.25">
      <c r="B734" t="str">
        <f t="shared" si="110"/>
        <v/>
      </c>
      <c r="C734" t="str">
        <f t="shared" si="111"/>
        <v>**</v>
      </c>
      <c r="D734" t="str">
        <f t="shared" si="112"/>
        <v/>
      </c>
      <c r="E734" t="str">
        <f>IFERROR(VLOOKUP(MID(A734,7,2),Map!$A$2:$B$20,2,FALSE),"")</f>
        <v/>
      </c>
      <c r="F734" t="str">
        <f>IF(A734="","",IFERROR(VLOOKUP(MID(A734,9,2),Map!$R$2:$S$14,2,FALSE),""))</f>
        <v/>
      </c>
      <c r="G734" t="str">
        <f t="shared" si="113"/>
        <v/>
      </c>
      <c r="H734" t="str">
        <f t="shared" si="114"/>
        <v/>
      </c>
      <c r="I734" t="str">
        <f>IF(A734="","",IFERROR(VLOOKUP(LEFT(A734,1),Map!$D$2:$E$20,2,FALSE),""))</f>
        <v/>
      </c>
      <c r="J734" t="str">
        <f>IF(OR(H734="",NOT(OR(LEFT(H734,1)="G",LEFT(H734,1)="R"))),"",IFERROR(VLOOKUP(MID(H734,2,1),Map!$J$2:$M$10,2,FALSE),""))</f>
        <v/>
      </c>
      <c r="K734" t="str">
        <f t="shared" si="115"/>
        <v/>
      </c>
      <c r="L734" t="str">
        <f t="shared" si="116"/>
        <v/>
      </c>
      <c r="M734" t="str">
        <f t="shared" si="117"/>
        <v/>
      </c>
      <c r="N734" t="str">
        <f t="shared" si="118"/>
        <v/>
      </c>
      <c r="O734" t="str">
        <f t="shared" si="119"/>
        <v/>
      </c>
      <c r="P734" t="str">
        <f>IF(OR(H734="",NOT(OR(LEFT(H734,1)="G",LEFT(H734,1)="R"))),"",IFERROR(VLOOKUP(MID(H734,3,1),Map!$G$2:$H$10,2,FALSE),""))</f>
        <v/>
      </c>
      <c r="Q734" t="str">
        <f>IF(A734="","",IFERROR(VLOOKUP(MID(A734,4,1),Map!$O$2:$P$10,2,FALSE),""))</f>
        <v/>
      </c>
    </row>
    <row r="735" spans="2:17" x14ac:dyDescent="0.25">
      <c r="B735" t="str">
        <f t="shared" si="110"/>
        <v/>
      </c>
      <c r="C735" t="str">
        <f t="shared" si="111"/>
        <v>**</v>
      </c>
      <c r="D735" t="str">
        <f t="shared" si="112"/>
        <v/>
      </c>
      <c r="E735" t="str">
        <f>IFERROR(VLOOKUP(MID(A735,7,2),Map!$A$2:$B$20,2,FALSE),"")</f>
        <v/>
      </c>
      <c r="F735" t="str">
        <f>IF(A735="","",IFERROR(VLOOKUP(MID(A735,9,2),Map!$R$2:$S$14,2,FALSE),""))</f>
        <v/>
      </c>
      <c r="G735" t="str">
        <f t="shared" si="113"/>
        <v/>
      </c>
      <c r="H735" t="str">
        <f t="shared" si="114"/>
        <v/>
      </c>
      <c r="I735" t="str">
        <f>IF(A735="","",IFERROR(VLOOKUP(LEFT(A735,1),Map!$D$2:$E$20,2,FALSE),""))</f>
        <v/>
      </c>
      <c r="J735" t="str">
        <f>IF(OR(H735="",NOT(OR(LEFT(H735,1)="G",LEFT(H735,1)="R"))),"",IFERROR(VLOOKUP(MID(H735,2,1),Map!$J$2:$M$10,2,FALSE),""))</f>
        <v/>
      </c>
      <c r="K735" t="str">
        <f t="shared" si="115"/>
        <v/>
      </c>
      <c r="L735" t="str">
        <f t="shared" si="116"/>
        <v/>
      </c>
      <c r="M735" t="str">
        <f t="shared" si="117"/>
        <v/>
      </c>
      <c r="N735" t="str">
        <f t="shared" si="118"/>
        <v/>
      </c>
      <c r="O735" t="str">
        <f t="shared" si="119"/>
        <v/>
      </c>
      <c r="P735" t="str">
        <f>IF(OR(H735="",NOT(OR(LEFT(H735,1)="G",LEFT(H735,1)="R"))),"",IFERROR(VLOOKUP(MID(H735,3,1),Map!$G$2:$H$10,2,FALSE),""))</f>
        <v/>
      </c>
      <c r="Q735" t="str">
        <f>IF(A735="","",IFERROR(VLOOKUP(MID(A735,4,1),Map!$O$2:$P$10,2,FALSE),""))</f>
        <v/>
      </c>
    </row>
    <row r="736" spans="2:17" x14ac:dyDescent="0.25">
      <c r="B736" t="str">
        <f t="shared" si="110"/>
        <v/>
      </c>
      <c r="C736" t="str">
        <f t="shared" si="111"/>
        <v>**</v>
      </c>
      <c r="D736" t="str">
        <f t="shared" si="112"/>
        <v/>
      </c>
      <c r="E736" t="str">
        <f>IFERROR(VLOOKUP(MID(A736,7,2),Map!$A$2:$B$20,2,FALSE),"")</f>
        <v/>
      </c>
      <c r="F736" t="str">
        <f>IF(A736="","",IFERROR(VLOOKUP(MID(A736,9,2),Map!$R$2:$S$14,2,FALSE),""))</f>
        <v/>
      </c>
      <c r="G736" t="str">
        <f t="shared" si="113"/>
        <v/>
      </c>
      <c r="H736" t="str">
        <f t="shared" si="114"/>
        <v/>
      </c>
      <c r="I736" t="str">
        <f>IF(A736="","",IFERROR(VLOOKUP(LEFT(A736,1),Map!$D$2:$E$20,2,FALSE),""))</f>
        <v/>
      </c>
      <c r="J736" t="str">
        <f>IF(OR(H736="",NOT(OR(LEFT(H736,1)="G",LEFT(H736,1)="R"))),"",IFERROR(VLOOKUP(MID(H736,2,1),Map!$J$2:$M$10,2,FALSE),""))</f>
        <v/>
      </c>
      <c r="K736" t="str">
        <f t="shared" si="115"/>
        <v/>
      </c>
      <c r="L736" t="str">
        <f t="shared" si="116"/>
        <v/>
      </c>
      <c r="M736" t="str">
        <f t="shared" si="117"/>
        <v/>
      </c>
      <c r="N736" t="str">
        <f t="shared" si="118"/>
        <v/>
      </c>
      <c r="O736" t="str">
        <f t="shared" si="119"/>
        <v/>
      </c>
      <c r="P736" t="str">
        <f>IF(OR(H736="",NOT(OR(LEFT(H736,1)="G",LEFT(H736,1)="R"))),"",IFERROR(VLOOKUP(MID(H736,3,1),Map!$G$2:$H$10,2,FALSE),""))</f>
        <v/>
      </c>
      <c r="Q736" t="str">
        <f>IF(A736="","",IFERROR(VLOOKUP(MID(A736,4,1),Map!$O$2:$P$10,2,FALSE),""))</f>
        <v/>
      </c>
    </row>
    <row r="737" spans="2:17" x14ac:dyDescent="0.25">
      <c r="B737" t="str">
        <f t="shared" si="110"/>
        <v/>
      </c>
      <c r="C737" t="str">
        <f t="shared" si="111"/>
        <v>**</v>
      </c>
      <c r="D737" t="str">
        <f t="shared" si="112"/>
        <v/>
      </c>
      <c r="E737" t="str">
        <f>IFERROR(VLOOKUP(MID(A737,7,2),Map!$A$2:$B$20,2,FALSE),"")</f>
        <v/>
      </c>
      <c r="F737" t="str">
        <f>IF(A737="","",IFERROR(VLOOKUP(MID(A737,9,2),Map!$R$2:$S$14,2,FALSE),""))</f>
        <v/>
      </c>
      <c r="G737" t="str">
        <f t="shared" si="113"/>
        <v/>
      </c>
      <c r="H737" t="str">
        <f t="shared" si="114"/>
        <v/>
      </c>
      <c r="I737" t="str">
        <f>IF(A737="","",IFERROR(VLOOKUP(LEFT(A737,1),Map!$D$2:$E$20,2,FALSE),""))</f>
        <v/>
      </c>
      <c r="J737" t="str">
        <f>IF(OR(H737="",NOT(OR(LEFT(H737,1)="G",LEFT(H737,1)="R"))),"",IFERROR(VLOOKUP(MID(H737,2,1),Map!$J$2:$M$10,2,FALSE),""))</f>
        <v/>
      </c>
      <c r="K737" t="str">
        <f t="shared" si="115"/>
        <v/>
      </c>
      <c r="L737" t="str">
        <f t="shared" si="116"/>
        <v/>
      </c>
      <c r="M737" t="str">
        <f t="shared" si="117"/>
        <v/>
      </c>
      <c r="N737" t="str">
        <f t="shared" si="118"/>
        <v/>
      </c>
      <c r="O737" t="str">
        <f t="shared" si="119"/>
        <v/>
      </c>
      <c r="P737" t="str">
        <f>IF(OR(H737="",NOT(OR(LEFT(H737,1)="G",LEFT(H737,1)="R"))),"",IFERROR(VLOOKUP(MID(H737,3,1),Map!$G$2:$H$10,2,FALSE),""))</f>
        <v/>
      </c>
      <c r="Q737" t="str">
        <f>IF(A737="","",IFERROR(VLOOKUP(MID(A737,4,1),Map!$O$2:$P$10,2,FALSE),""))</f>
        <v/>
      </c>
    </row>
    <row r="738" spans="2:17" x14ac:dyDescent="0.25">
      <c r="B738" t="str">
        <f t="shared" si="110"/>
        <v/>
      </c>
      <c r="C738" t="str">
        <f t="shared" si="111"/>
        <v>**</v>
      </c>
      <c r="D738" t="str">
        <f t="shared" si="112"/>
        <v/>
      </c>
      <c r="E738" t="str">
        <f>IFERROR(VLOOKUP(MID(A738,7,2),Map!$A$2:$B$20,2,FALSE),"")</f>
        <v/>
      </c>
      <c r="F738" t="str">
        <f>IF(A738="","",IFERROR(VLOOKUP(MID(A738,9,2),Map!$R$2:$S$14,2,FALSE),""))</f>
        <v/>
      </c>
      <c r="G738" t="str">
        <f t="shared" si="113"/>
        <v/>
      </c>
      <c r="H738" t="str">
        <f t="shared" si="114"/>
        <v/>
      </c>
      <c r="I738" t="str">
        <f>IF(A738="","",IFERROR(VLOOKUP(LEFT(A738,1),Map!$D$2:$E$20,2,FALSE),""))</f>
        <v/>
      </c>
      <c r="J738" t="str">
        <f>IF(OR(H738="",NOT(OR(LEFT(H738,1)="G",LEFT(H738,1)="R"))),"",IFERROR(VLOOKUP(MID(H738,2,1),Map!$J$2:$M$10,2,FALSE),""))</f>
        <v/>
      </c>
      <c r="K738" t="str">
        <f t="shared" si="115"/>
        <v/>
      </c>
      <c r="L738" t="str">
        <f t="shared" si="116"/>
        <v/>
      </c>
      <c r="M738" t="str">
        <f t="shared" si="117"/>
        <v/>
      </c>
      <c r="N738" t="str">
        <f t="shared" si="118"/>
        <v/>
      </c>
      <c r="O738" t="str">
        <f t="shared" si="119"/>
        <v/>
      </c>
      <c r="P738" t="str">
        <f>IF(OR(H738="",NOT(OR(LEFT(H738,1)="G",LEFT(H738,1)="R"))),"",IFERROR(VLOOKUP(MID(H738,3,1),Map!$G$2:$H$10,2,FALSE),""))</f>
        <v/>
      </c>
      <c r="Q738" t="str">
        <f>IF(A738="","",IFERROR(VLOOKUP(MID(A738,4,1),Map!$O$2:$P$10,2,FALSE),""))</f>
        <v/>
      </c>
    </row>
    <row r="739" spans="2:17" x14ac:dyDescent="0.25">
      <c r="B739" t="str">
        <f t="shared" si="110"/>
        <v/>
      </c>
      <c r="C739" t="str">
        <f t="shared" si="111"/>
        <v>**</v>
      </c>
      <c r="D739" t="str">
        <f t="shared" si="112"/>
        <v/>
      </c>
      <c r="E739" t="str">
        <f>IFERROR(VLOOKUP(MID(A739,7,2),Map!$A$2:$B$20,2,FALSE),"")</f>
        <v/>
      </c>
      <c r="F739" t="str">
        <f>IF(A739="","",IFERROR(VLOOKUP(MID(A739,9,2),Map!$R$2:$S$14,2,FALSE),""))</f>
        <v/>
      </c>
      <c r="G739" t="str">
        <f t="shared" si="113"/>
        <v/>
      </c>
      <c r="H739" t="str">
        <f t="shared" si="114"/>
        <v/>
      </c>
      <c r="I739" t="str">
        <f>IF(A739="","",IFERROR(VLOOKUP(LEFT(A739,1),Map!$D$2:$E$20,2,FALSE),""))</f>
        <v/>
      </c>
      <c r="J739" t="str">
        <f>IF(OR(H739="",NOT(OR(LEFT(H739,1)="G",LEFT(H739,1)="R"))),"",IFERROR(VLOOKUP(MID(H739,2,1),Map!$J$2:$M$10,2,FALSE),""))</f>
        <v/>
      </c>
      <c r="K739" t="str">
        <f t="shared" si="115"/>
        <v/>
      </c>
      <c r="L739" t="str">
        <f t="shared" si="116"/>
        <v/>
      </c>
      <c r="M739" t="str">
        <f t="shared" si="117"/>
        <v/>
      </c>
      <c r="N739" t="str">
        <f t="shared" si="118"/>
        <v/>
      </c>
      <c r="O739" t="str">
        <f t="shared" si="119"/>
        <v/>
      </c>
      <c r="P739" t="str">
        <f>IF(OR(H739="",NOT(OR(LEFT(H739,1)="G",LEFT(H739,1)="R"))),"",IFERROR(VLOOKUP(MID(H739,3,1),Map!$G$2:$H$10,2,FALSE),""))</f>
        <v/>
      </c>
      <c r="Q739" t="str">
        <f>IF(A739="","",IFERROR(VLOOKUP(MID(A739,4,1),Map!$O$2:$P$10,2,FALSE),""))</f>
        <v/>
      </c>
    </row>
    <row r="740" spans="2:17" x14ac:dyDescent="0.25">
      <c r="B740" t="str">
        <f t="shared" si="110"/>
        <v/>
      </c>
      <c r="C740" t="str">
        <f t="shared" si="111"/>
        <v>**</v>
      </c>
      <c r="D740" t="str">
        <f t="shared" si="112"/>
        <v/>
      </c>
      <c r="E740" t="str">
        <f>IFERROR(VLOOKUP(MID(A740,7,2),Map!$A$2:$B$20,2,FALSE),"")</f>
        <v/>
      </c>
      <c r="F740" t="str">
        <f>IF(A740="","",IFERROR(VLOOKUP(MID(A740,9,2),Map!$R$2:$S$14,2,FALSE),""))</f>
        <v/>
      </c>
      <c r="G740" t="str">
        <f t="shared" si="113"/>
        <v/>
      </c>
      <c r="H740" t="str">
        <f t="shared" si="114"/>
        <v/>
      </c>
      <c r="I740" t="str">
        <f>IF(A740="","",IFERROR(VLOOKUP(LEFT(A740,1),Map!$D$2:$E$20,2,FALSE),""))</f>
        <v/>
      </c>
      <c r="J740" t="str">
        <f>IF(OR(H740="",NOT(OR(LEFT(H740,1)="G",LEFT(H740,1)="R"))),"",IFERROR(VLOOKUP(MID(H740,2,1),Map!$J$2:$M$10,2,FALSE),""))</f>
        <v/>
      </c>
      <c r="K740" t="str">
        <f t="shared" si="115"/>
        <v/>
      </c>
      <c r="L740" t="str">
        <f t="shared" si="116"/>
        <v/>
      </c>
      <c r="M740" t="str">
        <f t="shared" si="117"/>
        <v/>
      </c>
      <c r="N740" t="str">
        <f t="shared" si="118"/>
        <v/>
      </c>
      <c r="O740" t="str">
        <f t="shared" si="119"/>
        <v/>
      </c>
      <c r="P740" t="str">
        <f>IF(OR(H740="",NOT(OR(LEFT(H740,1)="G",LEFT(H740,1)="R"))),"",IFERROR(VLOOKUP(MID(H740,3,1),Map!$G$2:$H$10,2,FALSE),""))</f>
        <v/>
      </c>
      <c r="Q740" t="str">
        <f>IF(A740="","",IFERROR(VLOOKUP(MID(A740,4,1),Map!$O$2:$P$10,2,FALSE),""))</f>
        <v/>
      </c>
    </row>
    <row r="741" spans="2:17" x14ac:dyDescent="0.25">
      <c r="B741" t="str">
        <f t="shared" si="110"/>
        <v/>
      </c>
      <c r="C741" t="str">
        <f t="shared" si="111"/>
        <v>**</v>
      </c>
      <c r="D741" t="str">
        <f t="shared" si="112"/>
        <v/>
      </c>
      <c r="E741" t="str">
        <f>IFERROR(VLOOKUP(MID(A741,7,2),Map!$A$2:$B$20,2,FALSE),"")</f>
        <v/>
      </c>
      <c r="F741" t="str">
        <f>IF(A741="","",IFERROR(VLOOKUP(MID(A741,9,2),Map!$R$2:$S$14,2,FALSE),""))</f>
        <v/>
      </c>
      <c r="G741" t="str">
        <f t="shared" si="113"/>
        <v/>
      </c>
      <c r="H741" t="str">
        <f t="shared" si="114"/>
        <v/>
      </c>
      <c r="I741" t="str">
        <f>IF(A741="","",IFERROR(VLOOKUP(LEFT(A741,1),Map!$D$2:$E$20,2,FALSE),""))</f>
        <v/>
      </c>
      <c r="J741" t="str">
        <f>IF(OR(H741="",NOT(OR(LEFT(H741,1)="G",LEFT(H741,1)="R"))),"",IFERROR(VLOOKUP(MID(H741,2,1),Map!$J$2:$M$10,2,FALSE),""))</f>
        <v/>
      </c>
      <c r="K741" t="str">
        <f t="shared" si="115"/>
        <v/>
      </c>
      <c r="L741" t="str">
        <f t="shared" si="116"/>
        <v/>
      </c>
      <c r="M741" t="str">
        <f t="shared" si="117"/>
        <v/>
      </c>
      <c r="N741" t="str">
        <f t="shared" si="118"/>
        <v/>
      </c>
      <c r="O741" t="str">
        <f t="shared" si="119"/>
        <v/>
      </c>
      <c r="P741" t="str">
        <f>IF(OR(H741="",NOT(OR(LEFT(H741,1)="G",LEFT(H741,1)="R"))),"",IFERROR(VLOOKUP(MID(H741,3,1),Map!$G$2:$H$10,2,FALSE),""))</f>
        <v/>
      </c>
      <c r="Q741" t="str">
        <f>IF(A741="","",IFERROR(VLOOKUP(MID(A741,4,1),Map!$O$2:$P$10,2,FALSE),""))</f>
        <v/>
      </c>
    </row>
    <row r="742" spans="2:17" x14ac:dyDescent="0.25">
      <c r="B742" t="str">
        <f t="shared" si="110"/>
        <v/>
      </c>
      <c r="C742" t="str">
        <f t="shared" si="111"/>
        <v>**</v>
      </c>
      <c r="D742" t="str">
        <f t="shared" si="112"/>
        <v/>
      </c>
      <c r="E742" t="str">
        <f>IFERROR(VLOOKUP(MID(A742,7,2),Map!$A$2:$B$20,2,FALSE),"")</f>
        <v/>
      </c>
      <c r="F742" t="str">
        <f>IF(A742="","",IFERROR(VLOOKUP(MID(A742,9,2),Map!$R$2:$S$14,2,FALSE),""))</f>
        <v/>
      </c>
      <c r="G742" t="str">
        <f t="shared" si="113"/>
        <v/>
      </c>
      <c r="H742" t="str">
        <f t="shared" si="114"/>
        <v/>
      </c>
      <c r="I742" t="str">
        <f>IF(A742="","",IFERROR(VLOOKUP(LEFT(A742,1),Map!$D$2:$E$20,2,FALSE),""))</f>
        <v/>
      </c>
      <c r="J742" t="str">
        <f>IF(OR(H742="",NOT(OR(LEFT(H742,1)="G",LEFT(H742,1)="R"))),"",IFERROR(VLOOKUP(MID(H742,2,1),Map!$J$2:$M$10,2,FALSE),""))</f>
        <v/>
      </c>
      <c r="K742" t="str">
        <f t="shared" si="115"/>
        <v/>
      </c>
      <c r="L742" t="str">
        <f t="shared" si="116"/>
        <v/>
      </c>
      <c r="M742" t="str">
        <f t="shared" si="117"/>
        <v/>
      </c>
      <c r="N742" t="str">
        <f t="shared" si="118"/>
        <v/>
      </c>
      <c r="O742" t="str">
        <f t="shared" si="119"/>
        <v/>
      </c>
      <c r="P742" t="str">
        <f>IF(OR(H742="",NOT(OR(LEFT(H742,1)="G",LEFT(H742,1)="R"))),"",IFERROR(VLOOKUP(MID(H742,3,1),Map!$G$2:$H$10,2,FALSE),""))</f>
        <v/>
      </c>
      <c r="Q742" t="str">
        <f>IF(A742="","",IFERROR(VLOOKUP(MID(A742,4,1),Map!$O$2:$P$10,2,FALSE),""))</f>
        <v/>
      </c>
    </row>
    <row r="743" spans="2:17" x14ac:dyDescent="0.25">
      <c r="B743" t="str">
        <f t="shared" si="110"/>
        <v/>
      </c>
      <c r="C743" t="str">
        <f t="shared" si="111"/>
        <v>**</v>
      </c>
      <c r="D743" t="str">
        <f t="shared" si="112"/>
        <v/>
      </c>
      <c r="E743" t="str">
        <f>IFERROR(VLOOKUP(MID(A743,7,2),Map!$A$2:$B$20,2,FALSE),"")</f>
        <v/>
      </c>
      <c r="F743" t="str">
        <f>IF(A743="","",IFERROR(VLOOKUP(MID(A743,9,2),Map!$R$2:$S$14,2,FALSE),""))</f>
        <v/>
      </c>
      <c r="G743" t="str">
        <f t="shared" si="113"/>
        <v/>
      </c>
      <c r="H743" t="str">
        <f t="shared" si="114"/>
        <v/>
      </c>
      <c r="I743" t="str">
        <f>IF(A743="","",IFERROR(VLOOKUP(LEFT(A743,1),Map!$D$2:$E$20,2,FALSE),""))</f>
        <v/>
      </c>
      <c r="J743" t="str">
        <f>IF(OR(H743="",NOT(OR(LEFT(H743,1)="G",LEFT(H743,1)="R"))),"",IFERROR(VLOOKUP(MID(H743,2,1),Map!$J$2:$M$10,2,FALSE),""))</f>
        <v/>
      </c>
      <c r="K743" t="str">
        <f t="shared" si="115"/>
        <v/>
      </c>
      <c r="L743" t="str">
        <f t="shared" si="116"/>
        <v/>
      </c>
      <c r="M743" t="str">
        <f t="shared" si="117"/>
        <v/>
      </c>
      <c r="N743" t="str">
        <f t="shared" si="118"/>
        <v/>
      </c>
      <c r="O743" t="str">
        <f t="shared" si="119"/>
        <v/>
      </c>
      <c r="P743" t="str">
        <f>IF(OR(H743="",NOT(OR(LEFT(H743,1)="G",LEFT(H743,1)="R"))),"",IFERROR(VLOOKUP(MID(H743,3,1),Map!$G$2:$H$10,2,FALSE),""))</f>
        <v/>
      </c>
      <c r="Q743" t="str">
        <f>IF(A743="","",IFERROR(VLOOKUP(MID(A743,4,1),Map!$O$2:$P$10,2,FALSE),""))</f>
        <v/>
      </c>
    </row>
    <row r="744" spans="2:17" x14ac:dyDescent="0.25">
      <c r="B744" t="str">
        <f t="shared" si="110"/>
        <v/>
      </c>
      <c r="C744" t="str">
        <f t="shared" si="111"/>
        <v>**</v>
      </c>
      <c r="D744" t="str">
        <f t="shared" si="112"/>
        <v/>
      </c>
      <c r="E744" t="str">
        <f>IFERROR(VLOOKUP(MID(A744,7,2),Map!$A$2:$B$20,2,FALSE),"")</f>
        <v/>
      </c>
      <c r="F744" t="str">
        <f>IF(A744="","",IFERROR(VLOOKUP(MID(A744,9,2),Map!$R$2:$S$14,2,FALSE),""))</f>
        <v/>
      </c>
      <c r="G744" t="str">
        <f t="shared" si="113"/>
        <v/>
      </c>
      <c r="H744" t="str">
        <f t="shared" si="114"/>
        <v/>
      </c>
      <c r="I744" t="str">
        <f>IF(A744="","",IFERROR(VLOOKUP(LEFT(A744,1),Map!$D$2:$E$20,2,FALSE),""))</f>
        <v/>
      </c>
      <c r="J744" t="str">
        <f>IF(OR(H744="",NOT(OR(LEFT(H744,1)="G",LEFT(H744,1)="R"))),"",IFERROR(VLOOKUP(MID(H744,2,1),Map!$J$2:$M$10,2,FALSE),""))</f>
        <v/>
      </c>
      <c r="K744" t="str">
        <f t="shared" si="115"/>
        <v/>
      </c>
      <c r="L744" t="str">
        <f t="shared" si="116"/>
        <v/>
      </c>
      <c r="M744" t="str">
        <f t="shared" si="117"/>
        <v/>
      </c>
      <c r="N744" t="str">
        <f t="shared" si="118"/>
        <v/>
      </c>
      <c r="O744" t="str">
        <f t="shared" si="119"/>
        <v/>
      </c>
      <c r="P744" t="str">
        <f>IF(OR(H744="",NOT(OR(LEFT(H744,1)="G",LEFT(H744,1)="R"))),"",IFERROR(VLOOKUP(MID(H744,3,1),Map!$G$2:$H$10,2,FALSE),""))</f>
        <v/>
      </c>
      <c r="Q744" t="str">
        <f>IF(A744="","",IFERROR(VLOOKUP(MID(A744,4,1),Map!$O$2:$P$10,2,FALSE),""))</f>
        <v/>
      </c>
    </row>
    <row r="745" spans="2:17" x14ac:dyDescent="0.25">
      <c r="B745" t="str">
        <f t="shared" si="110"/>
        <v/>
      </c>
      <c r="C745" t="str">
        <f t="shared" si="111"/>
        <v>**</v>
      </c>
      <c r="D745" t="str">
        <f t="shared" si="112"/>
        <v/>
      </c>
      <c r="E745" t="str">
        <f>IFERROR(VLOOKUP(MID(A745,7,2),Map!$A$2:$B$20,2,FALSE),"")</f>
        <v/>
      </c>
      <c r="F745" t="str">
        <f>IF(A745="","",IFERROR(VLOOKUP(MID(A745,9,2),Map!$R$2:$S$14,2,FALSE),""))</f>
        <v/>
      </c>
      <c r="G745" t="str">
        <f t="shared" si="113"/>
        <v/>
      </c>
      <c r="H745" t="str">
        <f t="shared" si="114"/>
        <v/>
      </c>
      <c r="I745" t="str">
        <f>IF(A745="","",IFERROR(VLOOKUP(LEFT(A745,1),Map!$D$2:$E$20,2,FALSE),""))</f>
        <v/>
      </c>
      <c r="J745" t="str">
        <f>IF(OR(H745="",NOT(OR(LEFT(H745,1)="G",LEFT(H745,1)="R"))),"",IFERROR(VLOOKUP(MID(H745,2,1),Map!$J$2:$M$10,2,FALSE),""))</f>
        <v/>
      </c>
      <c r="K745" t="str">
        <f t="shared" si="115"/>
        <v/>
      </c>
      <c r="L745" t="str">
        <f t="shared" si="116"/>
        <v/>
      </c>
      <c r="M745" t="str">
        <f t="shared" si="117"/>
        <v/>
      </c>
      <c r="N745" t="str">
        <f t="shared" si="118"/>
        <v/>
      </c>
      <c r="O745" t="str">
        <f t="shared" si="119"/>
        <v/>
      </c>
      <c r="P745" t="str">
        <f>IF(OR(H745="",NOT(OR(LEFT(H745,1)="G",LEFT(H745,1)="R"))),"",IFERROR(VLOOKUP(MID(H745,3,1),Map!$G$2:$H$10,2,FALSE),""))</f>
        <v/>
      </c>
      <c r="Q745" t="str">
        <f>IF(A745="","",IFERROR(VLOOKUP(MID(A745,4,1),Map!$O$2:$P$10,2,FALSE),""))</f>
        <v/>
      </c>
    </row>
    <row r="746" spans="2:17" x14ac:dyDescent="0.25">
      <c r="B746" t="str">
        <f t="shared" si="110"/>
        <v/>
      </c>
      <c r="C746" t="str">
        <f t="shared" si="111"/>
        <v>**</v>
      </c>
      <c r="D746" t="str">
        <f t="shared" si="112"/>
        <v/>
      </c>
      <c r="E746" t="str">
        <f>IFERROR(VLOOKUP(MID(A746,7,2),Map!$A$2:$B$20,2,FALSE),"")</f>
        <v/>
      </c>
      <c r="F746" t="str">
        <f>IF(A746="","",IFERROR(VLOOKUP(MID(A746,9,2),Map!$R$2:$S$14,2,FALSE),""))</f>
        <v/>
      </c>
      <c r="G746" t="str">
        <f t="shared" si="113"/>
        <v/>
      </c>
      <c r="H746" t="str">
        <f t="shared" si="114"/>
        <v/>
      </c>
      <c r="I746" t="str">
        <f>IF(A746="","",IFERROR(VLOOKUP(LEFT(A746,1),Map!$D$2:$E$20,2,FALSE),""))</f>
        <v/>
      </c>
      <c r="J746" t="str">
        <f>IF(OR(H746="",NOT(OR(LEFT(H746,1)="G",LEFT(H746,1)="R"))),"",IFERROR(VLOOKUP(MID(H746,2,1),Map!$J$2:$M$10,2,FALSE),""))</f>
        <v/>
      </c>
      <c r="K746" t="str">
        <f t="shared" si="115"/>
        <v/>
      </c>
      <c r="L746" t="str">
        <f t="shared" si="116"/>
        <v/>
      </c>
      <c r="M746" t="str">
        <f t="shared" si="117"/>
        <v/>
      </c>
      <c r="N746" t="str">
        <f t="shared" si="118"/>
        <v/>
      </c>
      <c r="O746" t="str">
        <f t="shared" si="119"/>
        <v/>
      </c>
      <c r="P746" t="str">
        <f>IF(OR(H746="",NOT(OR(LEFT(H746,1)="G",LEFT(H746,1)="R"))),"",IFERROR(VLOOKUP(MID(H746,3,1),Map!$G$2:$H$10,2,FALSE),""))</f>
        <v/>
      </c>
      <c r="Q746" t="str">
        <f>IF(A746="","",IFERROR(VLOOKUP(MID(A746,4,1),Map!$O$2:$P$10,2,FALSE),""))</f>
        <v/>
      </c>
    </row>
    <row r="747" spans="2:17" x14ac:dyDescent="0.25">
      <c r="B747" t="str">
        <f t="shared" si="110"/>
        <v/>
      </c>
      <c r="C747" t="str">
        <f t="shared" si="111"/>
        <v>**</v>
      </c>
      <c r="D747" t="str">
        <f t="shared" si="112"/>
        <v/>
      </c>
      <c r="E747" t="str">
        <f>IFERROR(VLOOKUP(MID(A747,7,2),Map!$A$2:$B$20,2,FALSE),"")</f>
        <v/>
      </c>
      <c r="F747" t="str">
        <f>IF(A747="","",IFERROR(VLOOKUP(MID(A747,9,2),Map!$R$2:$S$14,2,FALSE),""))</f>
        <v/>
      </c>
      <c r="G747" t="str">
        <f t="shared" si="113"/>
        <v/>
      </c>
      <c r="H747" t="str">
        <f t="shared" si="114"/>
        <v/>
      </c>
      <c r="I747" t="str">
        <f>IF(A747="","",IFERROR(VLOOKUP(LEFT(A747,1),Map!$D$2:$E$20,2,FALSE),""))</f>
        <v/>
      </c>
      <c r="J747" t="str">
        <f>IF(OR(H747="",NOT(OR(LEFT(H747,1)="G",LEFT(H747,1)="R"))),"",IFERROR(VLOOKUP(MID(H747,2,1),Map!$J$2:$M$10,2,FALSE),""))</f>
        <v/>
      </c>
      <c r="K747" t="str">
        <f t="shared" si="115"/>
        <v/>
      </c>
      <c r="L747" t="str">
        <f t="shared" si="116"/>
        <v/>
      </c>
      <c r="M747" t="str">
        <f t="shared" si="117"/>
        <v/>
      </c>
      <c r="N747" t="str">
        <f t="shared" si="118"/>
        <v/>
      </c>
      <c r="O747" t="str">
        <f t="shared" si="119"/>
        <v/>
      </c>
      <c r="P747" t="str">
        <f>IF(OR(H747="",NOT(OR(LEFT(H747,1)="G",LEFT(H747,1)="R"))),"",IFERROR(VLOOKUP(MID(H747,3,1),Map!$G$2:$H$10,2,FALSE),""))</f>
        <v/>
      </c>
      <c r="Q747" t="str">
        <f>IF(A747="","",IFERROR(VLOOKUP(MID(A747,4,1),Map!$O$2:$P$10,2,FALSE),""))</f>
        <v/>
      </c>
    </row>
    <row r="748" spans="2:17" x14ac:dyDescent="0.25">
      <c r="B748" t="str">
        <f t="shared" si="110"/>
        <v/>
      </c>
      <c r="C748" t="str">
        <f t="shared" si="111"/>
        <v>**</v>
      </c>
      <c r="D748" t="str">
        <f t="shared" si="112"/>
        <v/>
      </c>
      <c r="E748" t="str">
        <f>IFERROR(VLOOKUP(MID(A748,7,2),Map!$A$2:$B$20,2,FALSE),"")</f>
        <v/>
      </c>
      <c r="F748" t="str">
        <f>IF(A748="","",IFERROR(VLOOKUP(MID(A748,9,2),Map!$R$2:$S$14,2,FALSE),""))</f>
        <v/>
      </c>
      <c r="G748" t="str">
        <f t="shared" si="113"/>
        <v/>
      </c>
      <c r="H748" t="str">
        <f t="shared" si="114"/>
        <v/>
      </c>
      <c r="I748" t="str">
        <f>IF(A748="","",IFERROR(VLOOKUP(LEFT(A748,1),Map!$D$2:$E$20,2,FALSE),""))</f>
        <v/>
      </c>
      <c r="J748" t="str">
        <f>IF(OR(H748="",NOT(OR(LEFT(H748,1)="G",LEFT(H748,1)="R"))),"",IFERROR(VLOOKUP(MID(H748,2,1),Map!$J$2:$M$10,2,FALSE),""))</f>
        <v/>
      </c>
      <c r="K748" t="str">
        <f t="shared" si="115"/>
        <v/>
      </c>
      <c r="L748" t="str">
        <f t="shared" si="116"/>
        <v/>
      </c>
      <c r="M748" t="str">
        <f t="shared" si="117"/>
        <v/>
      </c>
      <c r="N748" t="str">
        <f t="shared" si="118"/>
        <v/>
      </c>
      <c r="O748" t="str">
        <f t="shared" si="119"/>
        <v/>
      </c>
      <c r="P748" t="str">
        <f>IF(OR(H748="",NOT(OR(LEFT(H748,1)="G",LEFT(H748,1)="R"))),"",IFERROR(VLOOKUP(MID(H748,3,1),Map!$G$2:$H$10,2,FALSE),""))</f>
        <v/>
      </c>
      <c r="Q748" t="str">
        <f>IF(A748="","",IFERROR(VLOOKUP(MID(A748,4,1),Map!$O$2:$P$10,2,FALSE),""))</f>
        <v/>
      </c>
    </row>
    <row r="749" spans="2:17" x14ac:dyDescent="0.25">
      <c r="B749" t="str">
        <f t="shared" si="110"/>
        <v/>
      </c>
      <c r="C749" t="str">
        <f t="shared" si="111"/>
        <v>**</v>
      </c>
      <c r="D749" t="str">
        <f t="shared" si="112"/>
        <v/>
      </c>
      <c r="E749" t="str">
        <f>IFERROR(VLOOKUP(MID(A749,7,2),Map!$A$2:$B$20,2,FALSE),"")</f>
        <v/>
      </c>
      <c r="F749" t="str">
        <f>IF(A749="","",IFERROR(VLOOKUP(MID(A749,9,2),Map!$R$2:$S$14,2,FALSE),""))</f>
        <v/>
      </c>
      <c r="G749" t="str">
        <f t="shared" si="113"/>
        <v/>
      </c>
      <c r="H749" t="str">
        <f t="shared" si="114"/>
        <v/>
      </c>
      <c r="I749" t="str">
        <f>IF(A749="","",IFERROR(VLOOKUP(LEFT(A749,1),Map!$D$2:$E$20,2,FALSE),""))</f>
        <v/>
      </c>
      <c r="J749" t="str">
        <f>IF(OR(H749="",NOT(OR(LEFT(H749,1)="G",LEFT(H749,1)="R"))),"",IFERROR(VLOOKUP(MID(H749,2,1),Map!$J$2:$M$10,2,FALSE),""))</f>
        <v/>
      </c>
      <c r="K749" t="str">
        <f t="shared" si="115"/>
        <v/>
      </c>
      <c r="L749" t="str">
        <f t="shared" si="116"/>
        <v/>
      </c>
      <c r="M749" t="str">
        <f t="shared" si="117"/>
        <v/>
      </c>
      <c r="N749" t="str">
        <f t="shared" si="118"/>
        <v/>
      </c>
      <c r="O749" t="str">
        <f t="shared" si="119"/>
        <v/>
      </c>
      <c r="P749" t="str">
        <f>IF(OR(H749="",NOT(OR(LEFT(H749,1)="G",LEFT(H749,1)="R"))),"",IFERROR(VLOOKUP(MID(H749,3,1),Map!$G$2:$H$10,2,FALSE),""))</f>
        <v/>
      </c>
      <c r="Q749" t="str">
        <f>IF(A749="","",IFERROR(VLOOKUP(MID(A749,4,1),Map!$O$2:$P$10,2,FALSE),""))</f>
        <v/>
      </c>
    </row>
    <row r="750" spans="2:17" x14ac:dyDescent="0.25">
      <c r="B750" t="str">
        <f t="shared" si="110"/>
        <v/>
      </c>
      <c r="C750" t="str">
        <f t="shared" si="111"/>
        <v>**</v>
      </c>
      <c r="D750" t="str">
        <f t="shared" si="112"/>
        <v/>
      </c>
      <c r="E750" t="str">
        <f>IFERROR(VLOOKUP(MID(A750,7,2),Map!$A$2:$B$20,2,FALSE),"")</f>
        <v/>
      </c>
      <c r="F750" t="str">
        <f>IF(A750="","",IFERROR(VLOOKUP(MID(A750,9,2),Map!$R$2:$S$14,2,FALSE),""))</f>
        <v/>
      </c>
      <c r="G750" t="str">
        <f t="shared" si="113"/>
        <v/>
      </c>
      <c r="H750" t="str">
        <f t="shared" si="114"/>
        <v/>
      </c>
      <c r="I750" t="str">
        <f>IF(A750="","",IFERROR(VLOOKUP(LEFT(A750,1),Map!$D$2:$E$20,2,FALSE),""))</f>
        <v/>
      </c>
      <c r="J750" t="str">
        <f>IF(OR(H750="",NOT(OR(LEFT(H750,1)="G",LEFT(H750,1)="R"))),"",IFERROR(VLOOKUP(MID(H750,2,1),Map!$J$2:$M$10,2,FALSE),""))</f>
        <v/>
      </c>
      <c r="K750" t="str">
        <f t="shared" si="115"/>
        <v/>
      </c>
      <c r="L750" t="str">
        <f t="shared" si="116"/>
        <v/>
      </c>
      <c r="M750" t="str">
        <f t="shared" si="117"/>
        <v/>
      </c>
      <c r="N750" t="str">
        <f t="shared" si="118"/>
        <v/>
      </c>
      <c r="O750" t="str">
        <f t="shared" si="119"/>
        <v/>
      </c>
      <c r="P750" t="str">
        <f>IF(OR(H750="",NOT(OR(LEFT(H750,1)="G",LEFT(H750,1)="R"))),"",IFERROR(VLOOKUP(MID(H750,3,1),Map!$G$2:$H$10,2,FALSE),""))</f>
        <v/>
      </c>
      <c r="Q750" t="str">
        <f>IF(A750="","",IFERROR(VLOOKUP(MID(A750,4,1),Map!$O$2:$P$10,2,FALSE),""))</f>
        <v/>
      </c>
    </row>
    <row r="751" spans="2:17" x14ac:dyDescent="0.25">
      <c r="B751" t="str">
        <f t="shared" si="110"/>
        <v/>
      </c>
      <c r="C751" t="str">
        <f t="shared" si="111"/>
        <v>**</v>
      </c>
      <c r="D751" t="str">
        <f t="shared" si="112"/>
        <v/>
      </c>
      <c r="E751" t="str">
        <f>IFERROR(VLOOKUP(MID(A751,7,2),Map!$A$2:$B$20,2,FALSE),"")</f>
        <v/>
      </c>
      <c r="F751" t="str">
        <f>IF(A751="","",IFERROR(VLOOKUP(MID(A751,9,2),Map!$R$2:$S$14,2,FALSE),""))</f>
        <v/>
      </c>
      <c r="G751" t="str">
        <f t="shared" si="113"/>
        <v/>
      </c>
      <c r="H751" t="str">
        <f t="shared" si="114"/>
        <v/>
      </c>
      <c r="I751" t="str">
        <f>IF(A751="","",IFERROR(VLOOKUP(LEFT(A751,1),Map!$D$2:$E$20,2,FALSE),""))</f>
        <v/>
      </c>
      <c r="J751" t="str">
        <f>IF(OR(H751="",NOT(OR(LEFT(H751,1)="G",LEFT(H751,1)="R"))),"",IFERROR(VLOOKUP(MID(H751,2,1),Map!$J$2:$M$10,2,FALSE),""))</f>
        <v/>
      </c>
      <c r="K751" t="str">
        <f t="shared" si="115"/>
        <v/>
      </c>
      <c r="L751" t="str">
        <f t="shared" si="116"/>
        <v/>
      </c>
      <c r="M751" t="str">
        <f t="shared" si="117"/>
        <v/>
      </c>
      <c r="N751" t="str">
        <f t="shared" si="118"/>
        <v/>
      </c>
      <c r="O751" t="str">
        <f t="shared" si="119"/>
        <v/>
      </c>
      <c r="P751" t="str">
        <f>IF(OR(H751="",NOT(OR(LEFT(H751,1)="G",LEFT(H751,1)="R"))),"",IFERROR(VLOOKUP(MID(H751,3,1),Map!$G$2:$H$10,2,FALSE),""))</f>
        <v/>
      </c>
      <c r="Q751" t="str">
        <f>IF(A751="","",IFERROR(VLOOKUP(MID(A751,4,1),Map!$O$2:$P$10,2,FALSE),""))</f>
        <v/>
      </c>
    </row>
    <row r="752" spans="2:17" x14ac:dyDescent="0.25">
      <c r="B752" t="str">
        <f t="shared" si="110"/>
        <v/>
      </c>
      <c r="C752" t="str">
        <f t="shared" si="111"/>
        <v>**</v>
      </c>
      <c r="D752" t="str">
        <f t="shared" si="112"/>
        <v/>
      </c>
      <c r="E752" t="str">
        <f>IFERROR(VLOOKUP(MID(A752,7,2),Map!$A$2:$B$20,2,FALSE),"")</f>
        <v/>
      </c>
      <c r="F752" t="str">
        <f>IF(A752="","",IFERROR(VLOOKUP(MID(A752,9,2),Map!$R$2:$S$14,2,FALSE),""))</f>
        <v/>
      </c>
      <c r="G752" t="str">
        <f t="shared" si="113"/>
        <v/>
      </c>
      <c r="H752" t="str">
        <f t="shared" si="114"/>
        <v/>
      </c>
      <c r="I752" t="str">
        <f>IF(A752="","",IFERROR(VLOOKUP(LEFT(A752,1),Map!$D$2:$E$20,2,FALSE),""))</f>
        <v/>
      </c>
      <c r="J752" t="str">
        <f>IF(OR(H752="",NOT(OR(LEFT(H752,1)="G",LEFT(H752,1)="R"))),"",IFERROR(VLOOKUP(MID(H752,2,1),Map!$J$2:$M$10,2,FALSE),""))</f>
        <v/>
      </c>
      <c r="K752" t="str">
        <f t="shared" si="115"/>
        <v/>
      </c>
      <c r="L752" t="str">
        <f t="shared" si="116"/>
        <v/>
      </c>
      <c r="M752" t="str">
        <f t="shared" si="117"/>
        <v/>
      </c>
      <c r="N752" t="str">
        <f t="shared" si="118"/>
        <v/>
      </c>
      <c r="O752" t="str">
        <f t="shared" si="119"/>
        <v/>
      </c>
      <c r="P752" t="str">
        <f>IF(OR(H752="",NOT(OR(LEFT(H752,1)="G",LEFT(H752,1)="R"))),"",IFERROR(VLOOKUP(MID(H752,3,1),Map!$G$2:$H$10,2,FALSE),""))</f>
        <v/>
      </c>
      <c r="Q752" t="str">
        <f>IF(A752="","",IFERROR(VLOOKUP(MID(A752,4,1),Map!$O$2:$P$10,2,FALSE),""))</f>
        <v/>
      </c>
    </row>
    <row r="753" spans="2:17" x14ac:dyDescent="0.25">
      <c r="B753" t="str">
        <f t="shared" si="110"/>
        <v/>
      </c>
      <c r="C753" t="str">
        <f t="shared" si="111"/>
        <v>**</v>
      </c>
      <c r="D753" t="str">
        <f t="shared" si="112"/>
        <v/>
      </c>
      <c r="E753" t="str">
        <f>IFERROR(VLOOKUP(MID(A753,7,2),Map!$A$2:$B$20,2,FALSE),"")</f>
        <v/>
      </c>
      <c r="F753" t="str">
        <f>IF(A753="","",IFERROR(VLOOKUP(MID(A753,9,2),Map!$R$2:$S$14,2,FALSE),""))</f>
        <v/>
      </c>
      <c r="G753" t="str">
        <f t="shared" si="113"/>
        <v/>
      </c>
      <c r="H753" t="str">
        <f t="shared" si="114"/>
        <v/>
      </c>
      <c r="I753" t="str">
        <f>IF(A753="","",IFERROR(VLOOKUP(LEFT(A753,1),Map!$D$2:$E$20,2,FALSE),""))</f>
        <v/>
      </c>
      <c r="J753" t="str">
        <f>IF(OR(H753="",NOT(OR(LEFT(H753,1)="G",LEFT(H753,1)="R"))),"",IFERROR(VLOOKUP(MID(H753,2,1),Map!$J$2:$M$10,2,FALSE),""))</f>
        <v/>
      </c>
      <c r="K753" t="str">
        <f t="shared" si="115"/>
        <v/>
      </c>
      <c r="L753" t="str">
        <f t="shared" si="116"/>
        <v/>
      </c>
      <c r="M753" t="str">
        <f t="shared" si="117"/>
        <v/>
      </c>
      <c r="N753" t="str">
        <f t="shared" si="118"/>
        <v/>
      </c>
      <c r="O753" t="str">
        <f t="shared" si="119"/>
        <v/>
      </c>
      <c r="P753" t="str">
        <f>IF(OR(H753="",NOT(OR(LEFT(H753,1)="G",LEFT(H753,1)="R"))),"",IFERROR(VLOOKUP(MID(H753,3,1),Map!$G$2:$H$10,2,FALSE),""))</f>
        <v/>
      </c>
      <c r="Q753" t="str">
        <f>IF(A753="","",IFERROR(VLOOKUP(MID(A753,4,1),Map!$O$2:$P$10,2,FALSE),""))</f>
        <v/>
      </c>
    </row>
    <row r="754" spans="2:17" x14ac:dyDescent="0.25">
      <c r="B754" t="str">
        <f t="shared" si="110"/>
        <v/>
      </c>
      <c r="C754" t="str">
        <f t="shared" si="111"/>
        <v>**</v>
      </c>
      <c r="D754" t="str">
        <f t="shared" si="112"/>
        <v/>
      </c>
      <c r="E754" t="str">
        <f>IFERROR(VLOOKUP(MID(A754,7,2),Map!$A$2:$B$20,2,FALSE),"")</f>
        <v/>
      </c>
      <c r="F754" t="str">
        <f>IF(A754="","",IFERROR(VLOOKUP(MID(A754,9,2),Map!$R$2:$S$14,2,FALSE),""))</f>
        <v/>
      </c>
      <c r="G754" t="str">
        <f t="shared" si="113"/>
        <v/>
      </c>
      <c r="H754" t="str">
        <f t="shared" si="114"/>
        <v/>
      </c>
      <c r="I754" t="str">
        <f>IF(A754="","",IFERROR(VLOOKUP(LEFT(A754,1),Map!$D$2:$E$20,2,FALSE),""))</f>
        <v/>
      </c>
      <c r="J754" t="str">
        <f>IF(OR(H754="",NOT(OR(LEFT(H754,1)="G",LEFT(H754,1)="R"))),"",IFERROR(VLOOKUP(MID(H754,2,1),Map!$J$2:$M$10,2,FALSE),""))</f>
        <v/>
      </c>
      <c r="K754" t="str">
        <f t="shared" si="115"/>
        <v/>
      </c>
      <c r="L754" t="str">
        <f t="shared" si="116"/>
        <v/>
      </c>
      <c r="M754" t="str">
        <f t="shared" si="117"/>
        <v/>
      </c>
      <c r="N754" t="str">
        <f t="shared" si="118"/>
        <v/>
      </c>
      <c r="O754" t="str">
        <f t="shared" si="119"/>
        <v/>
      </c>
      <c r="P754" t="str">
        <f>IF(OR(H754="",NOT(OR(LEFT(H754,1)="G",LEFT(H754,1)="R"))),"",IFERROR(VLOOKUP(MID(H754,3,1),Map!$G$2:$H$10,2,FALSE),""))</f>
        <v/>
      </c>
      <c r="Q754" t="str">
        <f>IF(A754="","",IFERROR(VLOOKUP(MID(A754,4,1),Map!$O$2:$P$10,2,FALSE),""))</f>
        <v/>
      </c>
    </row>
    <row r="755" spans="2:17" x14ac:dyDescent="0.25">
      <c r="B755" t="str">
        <f t="shared" si="110"/>
        <v/>
      </c>
      <c r="C755" t="str">
        <f t="shared" si="111"/>
        <v>**</v>
      </c>
      <c r="D755" t="str">
        <f t="shared" si="112"/>
        <v/>
      </c>
      <c r="E755" t="str">
        <f>IFERROR(VLOOKUP(MID(A755,7,2),Map!$A$2:$B$20,2,FALSE),"")</f>
        <v/>
      </c>
      <c r="F755" t="str">
        <f>IF(A755="","",IFERROR(VLOOKUP(MID(A755,9,2),Map!$R$2:$S$14,2,FALSE),""))</f>
        <v/>
      </c>
      <c r="G755" t="str">
        <f t="shared" si="113"/>
        <v/>
      </c>
      <c r="H755" t="str">
        <f t="shared" si="114"/>
        <v/>
      </c>
      <c r="I755" t="str">
        <f>IF(A755="","",IFERROR(VLOOKUP(LEFT(A755,1),Map!$D$2:$E$20,2,FALSE),""))</f>
        <v/>
      </c>
      <c r="J755" t="str">
        <f>IF(OR(H755="",NOT(OR(LEFT(H755,1)="G",LEFT(H755,1)="R"))),"",IFERROR(VLOOKUP(MID(H755,2,1),Map!$J$2:$M$10,2,FALSE),""))</f>
        <v/>
      </c>
      <c r="K755" t="str">
        <f t="shared" si="115"/>
        <v/>
      </c>
      <c r="L755" t="str">
        <f t="shared" si="116"/>
        <v/>
      </c>
      <c r="M755" t="str">
        <f t="shared" si="117"/>
        <v/>
      </c>
      <c r="N755" t="str">
        <f t="shared" si="118"/>
        <v/>
      </c>
      <c r="O755" t="str">
        <f t="shared" si="119"/>
        <v/>
      </c>
      <c r="P755" t="str">
        <f>IF(OR(H755="",NOT(OR(LEFT(H755,1)="G",LEFT(H755,1)="R"))),"",IFERROR(VLOOKUP(MID(H755,3,1),Map!$G$2:$H$10,2,FALSE),""))</f>
        <v/>
      </c>
      <c r="Q755" t="str">
        <f>IF(A755="","",IFERROR(VLOOKUP(MID(A755,4,1),Map!$O$2:$P$10,2,FALSE),""))</f>
        <v/>
      </c>
    </row>
    <row r="756" spans="2:17" x14ac:dyDescent="0.25">
      <c r="B756" t="str">
        <f t="shared" si="110"/>
        <v/>
      </c>
      <c r="C756" t="str">
        <f t="shared" si="111"/>
        <v>**</v>
      </c>
      <c r="D756" t="str">
        <f t="shared" si="112"/>
        <v/>
      </c>
      <c r="E756" t="str">
        <f>IFERROR(VLOOKUP(MID(A756,7,2),Map!$A$2:$B$20,2,FALSE),"")</f>
        <v/>
      </c>
      <c r="F756" t="str">
        <f>IF(A756="","",IFERROR(VLOOKUP(MID(A756,9,2),Map!$R$2:$S$14,2,FALSE),""))</f>
        <v/>
      </c>
      <c r="G756" t="str">
        <f t="shared" si="113"/>
        <v/>
      </c>
      <c r="H756" t="str">
        <f t="shared" si="114"/>
        <v/>
      </c>
      <c r="I756" t="str">
        <f>IF(A756="","",IFERROR(VLOOKUP(LEFT(A756,1),Map!$D$2:$E$20,2,FALSE),""))</f>
        <v/>
      </c>
      <c r="J756" t="str">
        <f>IF(OR(H756="",NOT(OR(LEFT(H756,1)="G",LEFT(H756,1)="R"))),"",IFERROR(VLOOKUP(MID(H756,2,1),Map!$J$2:$M$10,2,FALSE),""))</f>
        <v/>
      </c>
      <c r="K756" t="str">
        <f t="shared" si="115"/>
        <v/>
      </c>
      <c r="L756" t="str">
        <f t="shared" si="116"/>
        <v/>
      </c>
      <c r="M756" t="str">
        <f t="shared" si="117"/>
        <v/>
      </c>
      <c r="N756" t="str">
        <f t="shared" si="118"/>
        <v/>
      </c>
      <c r="O756" t="str">
        <f t="shared" si="119"/>
        <v/>
      </c>
      <c r="P756" t="str">
        <f>IF(OR(H756="",NOT(OR(LEFT(H756,1)="G",LEFT(H756,1)="R"))),"",IFERROR(VLOOKUP(MID(H756,3,1),Map!$G$2:$H$10,2,FALSE),""))</f>
        <v/>
      </c>
      <c r="Q756" t="str">
        <f>IF(A756="","",IFERROR(VLOOKUP(MID(A756,4,1),Map!$O$2:$P$10,2,FALSE),""))</f>
        <v/>
      </c>
    </row>
    <row r="757" spans="2:17" x14ac:dyDescent="0.25">
      <c r="B757" t="str">
        <f t="shared" si="110"/>
        <v/>
      </c>
      <c r="C757" t="str">
        <f t="shared" si="111"/>
        <v>**</v>
      </c>
      <c r="D757" t="str">
        <f t="shared" si="112"/>
        <v/>
      </c>
      <c r="E757" t="str">
        <f>IFERROR(VLOOKUP(MID(A757,7,2),Map!$A$2:$B$20,2,FALSE),"")</f>
        <v/>
      </c>
      <c r="F757" t="str">
        <f>IF(A757="","",IFERROR(VLOOKUP(MID(A757,9,2),Map!$R$2:$S$14,2,FALSE),""))</f>
        <v/>
      </c>
      <c r="G757" t="str">
        <f t="shared" si="113"/>
        <v/>
      </c>
      <c r="H757" t="str">
        <f t="shared" si="114"/>
        <v/>
      </c>
      <c r="I757" t="str">
        <f>IF(A757="","",IFERROR(VLOOKUP(LEFT(A757,1),Map!$D$2:$E$20,2,FALSE),""))</f>
        <v/>
      </c>
      <c r="J757" t="str">
        <f>IF(OR(H757="",NOT(OR(LEFT(H757,1)="G",LEFT(H757,1)="R"))),"",IFERROR(VLOOKUP(MID(H757,2,1),Map!$J$2:$M$10,2,FALSE),""))</f>
        <v/>
      </c>
      <c r="K757" t="str">
        <f t="shared" si="115"/>
        <v/>
      </c>
      <c r="L757" t="str">
        <f t="shared" si="116"/>
        <v/>
      </c>
      <c r="M757" t="str">
        <f t="shared" si="117"/>
        <v/>
      </c>
      <c r="N757" t="str">
        <f t="shared" si="118"/>
        <v/>
      </c>
      <c r="O757" t="str">
        <f t="shared" si="119"/>
        <v/>
      </c>
      <c r="P757" t="str">
        <f>IF(OR(H757="",NOT(OR(LEFT(H757,1)="G",LEFT(H757,1)="R"))),"",IFERROR(VLOOKUP(MID(H757,3,1),Map!$G$2:$H$10,2,FALSE),""))</f>
        <v/>
      </c>
      <c r="Q757" t="str">
        <f>IF(A757="","",IFERROR(VLOOKUP(MID(A757,4,1),Map!$O$2:$P$10,2,FALSE),""))</f>
        <v/>
      </c>
    </row>
    <row r="758" spans="2:17" x14ac:dyDescent="0.25">
      <c r="B758" t="str">
        <f t="shared" si="110"/>
        <v/>
      </c>
      <c r="C758" t="str">
        <f t="shared" si="111"/>
        <v>**</v>
      </c>
      <c r="D758" t="str">
        <f t="shared" si="112"/>
        <v/>
      </c>
      <c r="E758" t="str">
        <f>IFERROR(VLOOKUP(MID(A758,7,2),Map!$A$2:$B$20,2,FALSE),"")</f>
        <v/>
      </c>
      <c r="F758" t="str">
        <f>IF(A758="","",IFERROR(VLOOKUP(MID(A758,9,2),Map!$R$2:$S$14,2,FALSE),""))</f>
        <v/>
      </c>
      <c r="G758" t="str">
        <f t="shared" si="113"/>
        <v/>
      </c>
      <c r="H758" t="str">
        <f t="shared" si="114"/>
        <v/>
      </c>
      <c r="I758" t="str">
        <f>IF(A758="","",IFERROR(VLOOKUP(LEFT(A758,1),Map!$D$2:$E$20,2,FALSE),""))</f>
        <v/>
      </c>
      <c r="J758" t="str">
        <f>IF(OR(H758="",NOT(OR(LEFT(H758,1)="G",LEFT(H758,1)="R"))),"",IFERROR(VLOOKUP(MID(H758,2,1),Map!$J$2:$M$10,2,FALSE),""))</f>
        <v/>
      </c>
      <c r="K758" t="str">
        <f t="shared" si="115"/>
        <v/>
      </c>
      <c r="L758" t="str">
        <f t="shared" si="116"/>
        <v/>
      </c>
      <c r="M758" t="str">
        <f t="shared" si="117"/>
        <v/>
      </c>
      <c r="N758" t="str">
        <f t="shared" si="118"/>
        <v/>
      </c>
      <c r="O758" t="str">
        <f t="shared" si="119"/>
        <v/>
      </c>
      <c r="P758" t="str">
        <f>IF(OR(H758="",NOT(OR(LEFT(H758,1)="G",LEFT(H758,1)="R"))),"",IFERROR(VLOOKUP(MID(H758,3,1),Map!$G$2:$H$10,2,FALSE),""))</f>
        <v/>
      </c>
      <c r="Q758" t="str">
        <f>IF(A758="","",IFERROR(VLOOKUP(MID(A758,4,1),Map!$O$2:$P$10,2,FALSE),""))</f>
        <v/>
      </c>
    </row>
    <row r="759" spans="2:17" x14ac:dyDescent="0.25">
      <c r="B759" t="str">
        <f t="shared" si="110"/>
        <v/>
      </c>
      <c r="C759" t="str">
        <f t="shared" si="111"/>
        <v>**</v>
      </c>
      <c r="D759" t="str">
        <f t="shared" si="112"/>
        <v/>
      </c>
      <c r="E759" t="str">
        <f>IFERROR(VLOOKUP(MID(A759,7,2),Map!$A$2:$B$20,2,FALSE),"")</f>
        <v/>
      </c>
      <c r="F759" t="str">
        <f>IF(A759="","",IFERROR(VLOOKUP(MID(A759,9,2),Map!$R$2:$S$14,2,FALSE),""))</f>
        <v/>
      </c>
      <c r="G759" t="str">
        <f t="shared" si="113"/>
        <v/>
      </c>
      <c r="H759" t="str">
        <f t="shared" si="114"/>
        <v/>
      </c>
      <c r="I759" t="str">
        <f>IF(A759="","",IFERROR(VLOOKUP(LEFT(A759,1),Map!$D$2:$E$20,2,FALSE),""))</f>
        <v/>
      </c>
      <c r="J759" t="str">
        <f>IF(OR(H759="",NOT(OR(LEFT(H759,1)="G",LEFT(H759,1)="R"))),"",IFERROR(VLOOKUP(MID(H759,2,1),Map!$J$2:$M$10,2,FALSE),""))</f>
        <v/>
      </c>
      <c r="K759" t="str">
        <f t="shared" si="115"/>
        <v/>
      </c>
      <c r="L759" t="str">
        <f t="shared" si="116"/>
        <v/>
      </c>
      <c r="M759" t="str">
        <f t="shared" si="117"/>
        <v/>
      </c>
      <c r="N759" t="str">
        <f t="shared" si="118"/>
        <v/>
      </c>
      <c r="O759" t="str">
        <f t="shared" si="119"/>
        <v/>
      </c>
      <c r="P759" t="str">
        <f>IF(OR(H759="",NOT(OR(LEFT(H759,1)="G",LEFT(H759,1)="R"))),"",IFERROR(VLOOKUP(MID(H759,3,1),Map!$G$2:$H$10,2,FALSE),""))</f>
        <v/>
      </c>
      <c r="Q759" t="str">
        <f>IF(A759="","",IFERROR(VLOOKUP(MID(A759,4,1),Map!$O$2:$P$10,2,FALSE),""))</f>
        <v/>
      </c>
    </row>
    <row r="760" spans="2:17" x14ac:dyDescent="0.25">
      <c r="B760" t="str">
        <f t="shared" si="110"/>
        <v/>
      </c>
      <c r="C760" t="str">
        <f t="shared" si="111"/>
        <v>**</v>
      </c>
      <c r="D760" t="str">
        <f t="shared" si="112"/>
        <v/>
      </c>
      <c r="E760" t="str">
        <f>IFERROR(VLOOKUP(MID(A760,7,2),Map!$A$2:$B$20,2,FALSE),"")</f>
        <v/>
      </c>
      <c r="F760" t="str">
        <f>IF(A760="","",IFERROR(VLOOKUP(MID(A760,9,2),Map!$R$2:$S$14,2,FALSE),""))</f>
        <v/>
      </c>
      <c r="G760" t="str">
        <f t="shared" si="113"/>
        <v/>
      </c>
      <c r="H760" t="str">
        <f t="shared" si="114"/>
        <v/>
      </c>
      <c r="I760" t="str">
        <f>IF(A760="","",IFERROR(VLOOKUP(LEFT(A760,1),Map!$D$2:$E$20,2,FALSE),""))</f>
        <v/>
      </c>
      <c r="J760" t="str">
        <f>IF(OR(H760="",NOT(OR(LEFT(H760,1)="G",LEFT(H760,1)="R"))),"",IFERROR(VLOOKUP(MID(H760,2,1),Map!$J$2:$M$10,2,FALSE),""))</f>
        <v/>
      </c>
      <c r="K760" t="str">
        <f t="shared" si="115"/>
        <v/>
      </c>
      <c r="L760" t="str">
        <f t="shared" si="116"/>
        <v/>
      </c>
      <c r="M760" t="str">
        <f t="shared" si="117"/>
        <v/>
      </c>
      <c r="N760" t="str">
        <f t="shared" si="118"/>
        <v/>
      </c>
      <c r="O760" t="str">
        <f t="shared" si="119"/>
        <v/>
      </c>
      <c r="P760" t="str">
        <f>IF(OR(H760="",NOT(OR(LEFT(H760,1)="G",LEFT(H760,1)="R"))),"",IFERROR(VLOOKUP(MID(H760,3,1),Map!$G$2:$H$10,2,FALSE),""))</f>
        <v/>
      </c>
      <c r="Q760" t="str">
        <f>IF(A760="","",IFERROR(VLOOKUP(MID(A760,4,1),Map!$O$2:$P$10,2,FALSE),""))</f>
        <v/>
      </c>
    </row>
    <row r="761" spans="2:17" x14ac:dyDescent="0.25">
      <c r="B761" t="str">
        <f t="shared" si="110"/>
        <v/>
      </c>
      <c r="C761" t="str">
        <f t="shared" si="111"/>
        <v>**</v>
      </c>
      <c r="D761" t="str">
        <f t="shared" si="112"/>
        <v/>
      </c>
      <c r="E761" t="str">
        <f>IFERROR(VLOOKUP(MID(A761,7,2),Map!$A$2:$B$20,2,FALSE),"")</f>
        <v/>
      </c>
      <c r="F761" t="str">
        <f>IF(A761="","",IFERROR(VLOOKUP(MID(A761,9,2),Map!$R$2:$S$14,2,FALSE),""))</f>
        <v/>
      </c>
      <c r="G761" t="str">
        <f t="shared" si="113"/>
        <v/>
      </c>
      <c r="H761" t="str">
        <f t="shared" si="114"/>
        <v/>
      </c>
      <c r="I761" t="str">
        <f>IF(A761="","",IFERROR(VLOOKUP(LEFT(A761,1),Map!$D$2:$E$20,2,FALSE),""))</f>
        <v/>
      </c>
      <c r="J761" t="str">
        <f>IF(OR(H761="",NOT(OR(LEFT(H761,1)="G",LEFT(H761,1)="R"))),"",IFERROR(VLOOKUP(MID(H761,2,1),Map!$J$2:$M$10,2,FALSE),""))</f>
        <v/>
      </c>
      <c r="K761" t="str">
        <f t="shared" si="115"/>
        <v/>
      </c>
      <c r="L761" t="str">
        <f t="shared" si="116"/>
        <v/>
      </c>
      <c r="M761" t="str">
        <f t="shared" si="117"/>
        <v/>
      </c>
      <c r="N761" t="str">
        <f t="shared" si="118"/>
        <v/>
      </c>
      <c r="O761" t="str">
        <f t="shared" si="119"/>
        <v/>
      </c>
      <c r="P761" t="str">
        <f>IF(OR(H761="",NOT(OR(LEFT(H761,1)="G",LEFT(H761,1)="R"))),"",IFERROR(VLOOKUP(MID(H761,3,1),Map!$G$2:$H$10,2,FALSE),""))</f>
        <v/>
      </c>
      <c r="Q761" t="str">
        <f>IF(A761="","",IFERROR(VLOOKUP(MID(A761,4,1),Map!$O$2:$P$10,2,FALSE),""))</f>
        <v/>
      </c>
    </row>
    <row r="762" spans="2:17" x14ac:dyDescent="0.25">
      <c r="B762" t="str">
        <f t="shared" si="110"/>
        <v/>
      </c>
      <c r="C762" t="str">
        <f t="shared" si="111"/>
        <v>**</v>
      </c>
      <c r="D762" t="str">
        <f t="shared" si="112"/>
        <v/>
      </c>
      <c r="E762" t="str">
        <f>IFERROR(VLOOKUP(MID(A762,7,2),Map!$A$2:$B$20,2,FALSE),"")</f>
        <v/>
      </c>
      <c r="F762" t="str">
        <f>IF(A762="","",IFERROR(VLOOKUP(MID(A762,9,2),Map!$R$2:$S$14,2,FALSE),""))</f>
        <v/>
      </c>
      <c r="G762" t="str">
        <f t="shared" si="113"/>
        <v/>
      </c>
      <c r="H762" t="str">
        <f t="shared" si="114"/>
        <v/>
      </c>
      <c r="I762" t="str">
        <f>IF(A762="","",IFERROR(VLOOKUP(LEFT(A762,1),Map!$D$2:$E$20,2,FALSE),""))</f>
        <v/>
      </c>
      <c r="J762" t="str">
        <f>IF(OR(H762="",NOT(OR(LEFT(H762,1)="G",LEFT(H762,1)="R"))),"",IFERROR(VLOOKUP(MID(H762,2,1),Map!$J$2:$M$10,2,FALSE),""))</f>
        <v/>
      </c>
      <c r="K762" t="str">
        <f t="shared" si="115"/>
        <v/>
      </c>
      <c r="L762" t="str">
        <f t="shared" si="116"/>
        <v/>
      </c>
      <c r="M762" t="str">
        <f t="shared" si="117"/>
        <v/>
      </c>
      <c r="N762" t="str">
        <f t="shared" si="118"/>
        <v/>
      </c>
      <c r="O762" t="str">
        <f t="shared" si="119"/>
        <v/>
      </c>
      <c r="P762" t="str">
        <f>IF(OR(H762="",NOT(OR(LEFT(H762,1)="G",LEFT(H762,1)="R"))),"",IFERROR(VLOOKUP(MID(H762,3,1),Map!$G$2:$H$10,2,FALSE),""))</f>
        <v/>
      </c>
      <c r="Q762" t="str">
        <f>IF(A762="","",IFERROR(VLOOKUP(MID(A762,4,1),Map!$O$2:$P$10,2,FALSE),""))</f>
        <v/>
      </c>
    </row>
    <row r="763" spans="2:17" x14ac:dyDescent="0.25">
      <c r="B763" t="str">
        <f t="shared" si="110"/>
        <v/>
      </c>
      <c r="C763" t="str">
        <f t="shared" si="111"/>
        <v>**</v>
      </c>
      <c r="D763" t="str">
        <f t="shared" si="112"/>
        <v/>
      </c>
      <c r="E763" t="str">
        <f>IFERROR(VLOOKUP(MID(A763,7,2),Map!$A$2:$B$20,2,FALSE),"")</f>
        <v/>
      </c>
      <c r="F763" t="str">
        <f>IF(A763="","",IFERROR(VLOOKUP(MID(A763,9,2),Map!$R$2:$S$14,2,FALSE),""))</f>
        <v/>
      </c>
      <c r="G763" t="str">
        <f t="shared" si="113"/>
        <v/>
      </c>
      <c r="H763" t="str">
        <f t="shared" si="114"/>
        <v/>
      </c>
      <c r="I763" t="str">
        <f>IF(A763="","",IFERROR(VLOOKUP(LEFT(A763,1),Map!$D$2:$E$20,2,FALSE),""))</f>
        <v/>
      </c>
      <c r="J763" t="str">
        <f>IF(OR(H763="",NOT(OR(LEFT(H763,1)="G",LEFT(H763,1)="R"))),"",IFERROR(VLOOKUP(MID(H763,2,1),Map!$J$2:$M$10,2,FALSE),""))</f>
        <v/>
      </c>
      <c r="K763" t="str">
        <f t="shared" si="115"/>
        <v/>
      </c>
      <c r="L763" t="str">
        <f t="shared" si="116"/>
        <v/>
      </c>
      <c r="M763" t="str">
        <f t="shared" si="117"/>
        <v/>
      </c>
      <c r="N763" t="str">
        <f t="shared" si="118"/>
        <v/>
      </c>
      <c r="O763" t="str">
        <f t="shared" si="119"/>
        <v/>
      </c>
      <c r="P763" t="str">
        <f>IF(OR(H763="",NOT(OR(LEFT(H763,1)="G",LEFT(H763,1)="R"))),"",IFERROR(VLOOKUP(MID(H763,3,1),Map!$G$2:$H$10,2,FALSE),""))</f>
        <v/>
      </c>
      <c r="Q763" t="str">
        <f>IF(A763="","",IFERROR(VLOOKUP(MID(A763,4,1),Map!$O$2:$P$10,2,FALSE),""))</f>
        <v/>
      </c>
    </row>
    <row r="764" spans="2:17" x14ac:dyDescent="0.25">
      <c r="B764" t="str">
        <f t="shared" si="110"/>
        <v/>
      </c>
      <c r="C764" t="str">
        <f t="shared" si="111"/>
        <v>**</v>
      </c>
      <c r="D764" t="str">
        <f t="shared" si="112"/>
        <v/>
      </c>
      <c r="E764" t="str">
        <f>IFERROR(VLOOKUP(MID(A764,7,2),Map!$A$2:$B$20,2,FALSE),"")</f>
        <v/>
      </c>
      <c r="F764" t="str">
        <f>IF(A764="","",IFERROR(VLOOKUP(MID(A764,9,2),Map!$R$2:$S$14,2,FALSE),""))</f>
        <v/>
      </c>
      <c r="G764" t="str">
        <f t="shared" si="113"/>
        <v/>
      </c>
      <c r="H764" t="str">
        <f t="shared" si="114"/>
        <v/>
      </c>
      <c r="I764" t="str">
        <f>IF(A764="","",IFERROR(VLOOKUP(LEFT(A764,1),Map!$D$2:$E$20,2,FALSE),""))</f>
        <v/>
      </c>
      <c r="J764" t="str">
        <f>IF(OR(H764="",NOT(OR(LEFT(H764,1)="G",LEFT(H764,1)="R"))),"",IFERROR(VLOOKUP(MID(H764,2,1),Map!$J$2:$M$10,2,FALSE),""))</f>
        <v/>
      </c>
      <c r="K764" t="str">
        <f t="shared" si="115"/>
        <v/>
      </c>
      <c r="L764" t="str">
        <f t="shared" si="116"/>
        <v/>
      </c>
      <c r="M764" t="str">
        <f t="shared" si="117"/>
        <v/>
      </c>
      <c r="N764" t="str">
        <f t="shared" si="118"/>
        <v/>
      </c>
      <c r="O764" t="str">
        <f t="shared" si="119"/>
        <v/>
      </c>
      <c r="P764" t="str">
        <f>IF(OR(H764="",NOT(OR(LEFT(H764,1)="G",LEFT(H764,1)="R"))),"",IFERROR(VLOOKUP(MID(H764,3,1),Map!$G$2:$H$10,2,FALSE),""))</f>
        <v/>
      </c>
      <c r="Q764" t="str">
        <f>IF(A764="","",IFERROR(VLOOKUP(MID(A764,4,1),Map!$O$2:$P$10,2,FALSE),""))</f>
        <v/>
      </c>
    </row>
    <row r="765" spans="2:17" x14ac:dyDescent="0.25">
      <c r="B765" t="str">
        <f t="shared" si="110"/>
        <v/>
      </c>
      <c r="C765" t="str">
        <f t="shared" si="111"/>
        <v>**</v>
      </c>
      <c r="D765" t="str">
        <f t="shared" si="112"/>
        <v/>
      </c>
      <c r="E765" t="str">
        <f>IFERROR(VLOOKUP(MID(A765,7,2),Map!$A$2:$B$20,2,FALSE),"")</f>
        <v/>
      </c>
      <c r="F765" t="str">
        <f>IF(A765="","",IFERROR(VLOOKUP(MID(A765,9,2),Map!$R$2:$S$14,2,FALSE),""))</f>
        <v/>
      </c>
      <c r="G765" t="str">
        <f t="shared" si="113"/>
        <v/>
      </c>
      <c r="H765" t="str">
        <f t="shared" si="114"/>
        <v/>
      </c>
      <c r="I765" t="str">
        <f>IF(A765="","",IFERROR(VLOOKUP(LEFT(A765,1),Map!$D$2:$E$20,2,FALSE),""))</f>
        <v/>
      </c>
      <c r="J765" t="str">
        <f>IF(OR(H765="",NOT(OR(LEFT(H765,1)="G",LEFT(H765,1)="R"))),"",IFERROR(VLOOKUP(MID(H765,2,1),Map!$J$2:$M$10,2,FALSE),""))</f>
        <v/>
      </c>
      <c r="K765" t="str">
        <f t="shared" si="115"/>
        <v/>
      </c>
      <c r="L765" t="str">
        <f t="shared" si="116"/>
        <v/>
      </c>
      <c r="M765" t="str">
        <f t="shared" si="117"/>
        <v/>
      </c>
      <c r="N765" t="str">
        <f t="shared" si="118"/>
        <v/>
      </c>
      <c r="O765" t="str">
        <f t="shared" si="119"/>
        <v/>
      </c>
      <c r="P765" t="str">
        <f>IF(OR(H765="",NOT(OR(LEFT(H765,1)="G",LEFT(H765,1)="R"))),"",IFERROR(VLOOKUP(MID(H765,3,1),Map!$G$2:$H$10,2,FALSE),""))</f>
        <v/>
      </c>
      <c r="Q765" t="str">
        <f>IF(A765="","",IFERROR(VLOOKUP(MID(A765,4,1),Map!$O$2:$P$10,2,FALSE),""))</f>
        <v/>
      </c>
    </row>
    <row r="766" spans="2:17" x14ac:dyDescent="0.25">
      <c r="B766" t="str">
        <f t="shared" si="110"/>
        <v/>
      </c>
      <c r="C766" t="str">
        <f t="shared" si="111"/>
        <v>**</v>
      </c>
      <c r="D766" t="str">
        <f t="shared" si="112"/>
        <v/>
      </c>
      <c r="E766" t="str">
        <f>IFERROR(VLOOKUP(MID(A766,7,2),Map!$A$2:$B$20,2,FALSE),"")</f>
        <v/>
      </c>
      <c r="F766" t="str">
        <f>IF(A766="","",IFERROR(VLOOKUP(MID(A766,9,2),Map!$R$2:$S$14,2,FALSE),""))</f>
        <v/>
      </c>
      <c r="G766" t="str">
        <f t="shared" si="113"/>
        <v/>
      </c>
      <c r="H766" t="str">
        <f t="shared" si="114"/>
        <v/>
      </c>
      <c r="I766" t="str">
        <f>IF(A766="","",IFERROR(VLOOKUP(LEFT(A766,1),Map!$D$2:$E$20,2,FALSE),""))</f>
        <v/>
      </c>
      <c r="J766" t="str">
        <f>IF(OR(H766="",NOT(OR(LEFT(H766,1)="G",LEFT(H766,1)="R"))),"",IFERROR(VLOOKUP(MID(H766,2,1),Map!$J$2:$M$10,2,FALSE),""))</f>
        <v/>
      </c>
      <c r="K766" t="str">
        <f t="shared" si="115"/>
        <v/>
      </c>
      <c r="L766" t="str">
        <f t="shared" si="116"/>
        <v/>
      </c>
      <c r="M766" t="str">
        <f t="shared" si="117"/>
        <v/>
      </c>
      <c r="N766" t="str">
        <f t="shared" si="118"/>
        <v/>
      </c>
      <c r="O766" t="str">
        <f t="shared" si="119"/>
        <v/>
      </c>
      <c r="P766" t="str">
        <f>IF(OR(H766="",NOT(OR(LEFT(H766,1)="G",LEFT(H766,1)="R"))),"",IFERROR(VLOOKUP(MID(H766,3,1),Map!$G$2:$H$10,2,FALSE),""))</f>
        <v/>
      </c>
      <c r="Q766" t="str">
        <f>IF(A766="","",IFERROR(VLOOKUP(MID(A766,4,1),Map!$O$2:$P$10,2,FALSE),""))</f>
        <v/>
      </c>
    </row>
    <row r="767" spans="2:17" x14ac:dyDescent="0.25">
      <c r="B767" t="str">
        <f t="shared" si="110"/>
        <v/>
      </c>
      <c r="C767" t="str">
        <f t="shared" si="111"/>
        <v>**</v>
      </c>
      <c r="D767" t="str">
        <f t="shared" si="112"/>
        <v/>
      </c>
      <c r="E767" t="str">
        <f>IFERROR(VLOOKUP(MID(A767,7,2),Map!$A$2:$B$20,2,FALSE),"")</f>
        <v/>
      </c>
      <c r="F767" t="str">
        <f>IF(A767="","",IFERROR(VLOOKUP(MID(A767,9,2),Map!$R$2:$S$14,2,FALSE),""))</f>
        <v/>
      </c>
      <c r="G767" t="str">
        <f t="shared" si="113"/>
        <v/>
      </c>
      <c r="H767" t="str">
        <f t="shared" si="114"/>
        <v/>
      </c>
      <c r="I767" t="str">
        <f>IF(A767="","",IFERROR(VLOOKUP(LEFT(A767,1),Map!$D$2:$E$20,2,FALSE),""))</f>
        <v/>
      </c>
      <c r="J767" t="str">
        <f>IF(OR(H767="",NOT(OR(LEFT(H767,1)="G",LEFT(H767,1)="R"))),"",IFERROR(VLOOKUP(MID(H767,2,1),Map!$J$2:$M$10,2,FALSE),""))</f>
        <v/>
      </c>
      <c r="K767" t="str">
        <f t="shared" si="115"/>
        <v/>
      </c>
      <c r="L767" t="str">
        <f t="shared" si="116"/>
        <v/>
      </c>
      <c r="M767" t="str">
        <f t="shared" si="117"/>
        <v/>
      </c>
      <c r="N767" t="str">
        <f t="shared" si="118"/>
        <v/>
      </c>
      <c r="O767" t="str">
        <f t="shared" si="119"/>
        <v/>
      </c>
      <c r="P767" t="str">
        <f>IF(OR(H767="",NOT(OR(LEFT(H767,1)="G",LEFT(H767,1)="R"))),"",IFERROR(VLOOKUP(MID(H767,3,1),Map!$G$2:$H$10,2,FALSE),""))</f>
        <v/>
      </c>
      <c r="Q767" t="str">
        <f>IF(A767="","",IFERROR(VLOOKUP(MID(A767,4,1),Map!$O$2:$P$10,2,FALSE),""))</f>
        <v/>
      </c>
    </row>
    <row r="768" spans="2:17" x14ac:dyDescent="0.25">
      <c r="B768" t="str">
        <f t="shared" si="110"/>
        <v/>
      </c>
      <c r="C768" t="str">
        <f t="shared" si="111"/>
        <v>**</v>
      </c>
      <c r="D768" t="str">
        <f t="shared" si="112"/>
        <v/>
      </c>
      <c r="E768" t="str">
        <f>IFERROR(VLOOKUP(MID(A768,7,2),Map!$A$2:$B$20,2,FALSE),"")</f>
        <v/>
      </c>
      <c r="F768" t="str">
        <f>IF(A768="","",IFERROR(VLOOKUP(MID(A768,9,2),Map!$R$2:$S$14,2,FALSE),""))</f>
        <v/>
      </c>
      <c r="G768" t="str">
        <f t="shared" si="113"/>
        <v/>
      </c>
      <c r="H768" t="str">
        <f t="shared" si="114"/>
        <v/>
      </c>
      <c r="I768" t="str">
        <f>IF(A768="","",IFERROR(VLOOKUP(LEFT(A768,1),Map!$D$2:$E$20,2,FALSE),""))</f>
        <v/>
      </c>
      <c r="J768" t="str">
        <f>IF(OR(H768="",NOT(OR(LEFT(H768,1)="G",LEFT(H768,1)="R"))),"",IFERROR(VLOOKUP(MID(H768,2,1),Map!$J$2:$M$10,2,FALSE),""))</f>
        <v/>
      </c>
      <c r="K768" t="str">
        <f t="shared" si="115"/>
        <v/>
      </c>
      <c r="L768" t="str">
        <f t="shared" si="116"/>
        <v/>
      </c>
      <c r="M768" t="str">
        <f t="shared" si="117"/>
        <v/>
      </c>
      <c r="N768" t="str">
        <f t="shared" si="118"/>
        <v/>
      </c>
      <c r="O768" t="str">
        <f t="shared" si="119"/>
        <v/>
      </c>
      <c r="P768" t="str">
        <f>IF(OR(H768="",NOT(OR(LEFT(H768,1)="G",LEFT(H768,1)="R"))),"",IFERROR(VLOOKUP(MID(H768,3,1),Map!$G$2:$H$10,2,FALSE),""))</f>
        <v/>
      </c>
      <c r="Q768" t="str">
        <f>IF(A768="","",IFERROR(VLOOKUP(MID(A768,4,1),Map!$O$2:$P$10,2,FALSE),""))</f>
        <v/>
      </c>
    </row>
    <row r="769" spans="2:17" x14ac:dyDescent="0.25">
      <c r="B769" t="str">
        <f t="shared" si="110"/>
        <v/>
      </c>
      <c r="C769" t="str">
        <f t="shared" si="111"/>
        <v>**</v>
      </c>
      <c r="D769" t="str">
        <f t="shared" si="112"/>
        <v/>
      </c>
      <c r="E769" t="str">
        <f>IFERROR(VLOOKUP(MID(A769,7,2),Map!$A$2:$B$20,2,FALSE),"")</f>
        <v/>
      </c>
      <c r="F769" t="str">
        <f>IF(A769="","",IFERROR(VLOOKUP(MID(A769,9,2),Map!$R$2:$S$14,2,FALSE),""))</f>
        <v/>
      </c>
      <c r="G769" t="str">
        <f t="shared" si="113"/>
        <v/>
      </c>
      <c r="H769" t="str">
        <f t="shared" si="114"/>
        <v/>
      </c>
      <c r="I769" t="str">
        <f>IF(A769="","",IFERROR(VLOOKUP(LEFT(A769,1),Map!$D$2:$E$20,2,FALSE),""))</f>
        <v/>
      </c>
      <c r="J769" t="str">
        <f>IF(OR(H769="",NOT(OR(LEFT(H769,1)="G",LEFT(H769,1)="R"))),"",IFERROR(VLOOKUP(MID(H769,2,1),Map!$J$2:$M$10,2,FALSE),""))</f>
        <v/>
      </c>
      <c r="K769" t="str">
        <f t="shared" si="115"/>
        <v/>
      </c>
      <c r="L769" t="str">
        <f t="shared" si="116"/>
        <v/>
      </c>
      <c r="M769" t="str">
        <f t="shared" si="117"/>
        <v/>
      </c>
      <c r="N769" t="str">
        <f t="shared" si="118"/>
        <v/>
      </c>
      <c r="O769" t="str">
        <f t="shared" si="119"/>
        <v/>
      </c>
      <c r="P769" t="str">
        <f>IF(OR(H769="",NOT(OR(LEFT(H769,1)="G",LEFT(H769,1)="R"))),"",IFERROR(VLOOKUP(MID(H769,3,1),Map!$G$2:$H$10,2,FALSE),""))</f>
        <v/>
      </c>
      <c r="Q769" t="str">
        <f>IF(A769="","",IFERROR(VLOOKUP(MID(A769,4,1),Map!$O$2:$P$10,2,FALSE),""))</f>
        <v/>
      </c>
    </row>
    <row r="770" spans="2:17" x14ac:dyDescent="0.25">
      <c r="B770" t="str">
        <f t="shared" ref="B770:B833" si="120">LEFT(A770,4)</f>
        <v/>
      </c>
      <c r="C770" t="str">
        <f t="shared" ref="C770:C833" si="121">LEFT(A770,2)&amp;"**"</f>
        <v>**</v>
      </c>
      <c r="D770" t="str">
        <f t="shared" ref="D770:D833" si="122">MID(A770,5,2)</f>
        <v/>
      </c>
      <c r="E770" t="str">
        <f>IFERROR(VLOOKUP(MID(A770,7,2),Map!$A$2:$B$20,2,FALSE),"")</f>
        <v/>
      </c>
      <c r="F770" t="str">
        <f>IF(A770="","",IFERROR(VLOOKUP(MID(A770,9,2),Map!$R$2:$S$14,2,FALSE),""))</f>
        <v/>
      </c>
      <c r="G770" t="str">
        <f t="shared" ref="G770:G833" si="123">IFERROR(MID(A770,FIND("-",A770)+1,FIND("-",A770,FIND("-",A770)+1)-FIND("-",A770)-1),"")</f>
        <v/>
      </c>
      <c r="H770" t="str">
        <f t="shared" ref="H770:H833" si="124">IFERROR(RIGHT(A770,LEN(A770)-FIND("-",A770,FIND("-",A770)+1)),"")</f>
        <v/>
      </c>
      <c r="I770" t="str">
        <f>IF(A770="","",IFERROR(VLOOKUP(LEFT(A770,1),Map!$D$2:$E$20,2,FALSE),""))</f>
        <v/>
      </c>
      <c r="J770" t="str">
        <f>IF(OR(H770="",NOT(OR(LEFT(H770,1)="G",LEFT(H770,1)="R"))),"",IFERROR(VLOOKUP(MID(H770,2,1),Map!$J$2:$M$10,2,FALSE),""))</f>
        <v/>
      </c>
      <c r="K770" t="str">
        <f t="shared" ref="K770:K833" si="125">IF(OR(H770="",NOT(OR(LEFT(H770,1)="G",LEFT(H770,1)="R")),MID(H770,2,1)&lt;&gt;"A"),"","M")</f>
        <v/>
      </c>
      <c r="L770" t="str">
        <f t="shared" ref="L770:L833" si="126">IF(OR(H770="",NOT(OR(LEFT(H770,1)="G",LEFT(H770,1)="R")),MID(H770,2,1)&lt;&gt;"A"),"","K")</f>
        <v/>
      </c>
      <c r="M770" t="str">
        <f t="shared" ref="M770:M833" si="127">IF(OR(H770="",NOT(OR(LEFT(H770,1)="G",LEFT(H770,1)="R"))),"","")</f>
        <v/>
      </c>
      <c r="N770" t="str">
        <f t="shared" ref="N770:N833" si="128">IF(OR(H770="",NOT(OR(LEFT(H770,1)="G",LEFT(H770,1)="R"))),"","")</f>
        <v/>
      </c>
      <c r="O770" t="str">
        <f t="shared" ref="O770:O833" si="129">IF(OR(H770="",NOT(OR(LEFT(H770,1)="G",LEFT(H770,1)="R"))),"","")</f>
        <v/>
      </c>
      <c r="P770" t="str">
        <f>IF(OR(H770="",NOT(OR(LEFT(H770,1)="G",LEFT(H770,1)="R"))),"",IFERROR(VLOOKUP(MID(H770,3,1),Map!$G$2:$H$10,2,FALSE),""))</f>
        <v/>
      </c>
      <c r="Q770" t="str">
        <f>IF(A770="","",IFERROR(VLOOKUP(MID(A770,4,1),Map!$O$2:$P$10,2,FALSE),""))</f>
        <v/>
      </c>
    </row>
    <row r="771" spans="2:17" x14ac:dyDescent="0.25">
      <c r="B771" t="str">
        <f t="shared" si="120"/>
        <v/>
      </c>
      <c r="C771" t="str">
        <f t="shared" si="121"/>
        <v>**</v>
      </c>
      <c r="D771" t="str">
        <f t="shared" si="122"/>
        <v/>
      </c>
      <c r="E771" t="str">
        <f>IFERROR(VLOOKUP(MID(A771,7,2),Map!$A$2:$B$20,2,FALSE),"")</f>
        <v/>
      </c>
      <c r="F771" t="str">
        <f>IF(A771="","",IFERROR(VLOOKUP(MID(A771,9,2),Map!$R$2:$S$14,2,FALSE),""))</f>
        <v/>
      </c>
      <c r="G771" t="str">
        <f t="shared" si="123"/>
        <v/>
      </c>
      <c r="H771" t="str">
        <f t="shared" si="124"/>
        <v/>
      </c>
      <c r="I771" t="str">
        <f>IF(A771="","",IFERROR(VLOOKUP(LEFT(A771,1),Map!$D$2:$E$20,2,FALSE),""))</f>
        <v/>
      </c>
      <c r="J771" t="str">
        <f>IF(OR(H771="",NOT(OR(LEFT(H771,1)="G",LEFT(H771,1)="R"))),"",IFERROR(VLOOKUP(MID(H771,2,1),Map!$J$2:$M$10,2,FALSE),""))</f>
        <v/>
      </c>
      <c r="K771" t="str">
        <f t="shared" si="125"/>
        <v/>
      </c>
      <c r="L771" t="str">
        <f t="shared" si="126"/>
        <v/>
      </c>
      <c r="M771" t="str">
        <f t="shared" si="127"/>
        <v/>
      </c>
      <c r="N771" t="str">
        <f t="shared" si="128"/>
        <v/>
      </c>
      <c r="O771" t="str">
        <f t="shared" si="129"/>
        <v/>
      </c>
      <c r="P771" t="str">
        <f>IF(OR(H771="",NOT(OR(LEFT(H771,1)="G",LEFT(H771,1)="R"))),"",IFERROR(VLOOKUP(MID(H771,3,1),Map!$G$2:$H$10,2,FALSE),""))</f>
        <v/>
      </c>
      <c r="Q771" t="str">
        <f>IF(A771="","",IFERROR(VLOOKUP(MID(A771,4,1),Map!$O$2:$P$10,2,FALSE),""))</f>
        <v/>
      </c>
    </row>
    <row r="772" spans="2:17" x14ac:dyDescent="0.25">
      <c r="B772" t="str">
        <f t="shared" si="120"/>
        <v/>
      </c>
      <c r="C772" t="str">
        <f t="shared" si="121"/>
        <v>**</v>
      </c>
      <c r="D772" t="str">
        <f t="shared" si="122"/>
        <v/>
      </c>
      <c r="E772" t="str">
        <f>IFERROR(VLOOKUP(MID(A772,7,2),Map!$A$2:$B$20,2,FALSE),"")</f>
        <v/>
      </c>
      <c r="F772" t="str">
        <f>IF(A772="","",IFERROR(VLOOKUP(MID(A772,9,2),Map!$R$2:$S$14,2,FALSE),""))</f>
        <v/>
      </c>
      <c r="G772" t="str">
        <f t="shared" si="123"/>
        <v/>
      </c>
      <c r="H772" t="str">
        <f t="shared" si="124"/>
        <v/>
      </c>
      <c r="I772" t="str">
        <f>IF(A772="","",IFERROR(VLOOKUP(LEFT(A772,1),Map!$D$2:$E$20,2,FALSE),""))</f>
        <v/>
      </c>
      <c r="J772" t="str">
        <f>IF(OR(H772="",NOT(OR(LEFT(H772,1)="G",LEFT(H772,1)="R"))),"",IFERROR(VLOOKUP(MID(H772,2,1),Map!$J$2:$M$10,2,FALSE),""))</f>
        <v/>
      </c>
      <c r="K772" t="str">
        <f t="shared" si="125"/>
        <v/>
      </c>
      <c r="L772" t="str">
        <f t="shared" si="126"/>
        <v/>
      </c>
      <c r="M772" t="str">
        <f t="shared" si="127"/>
        <v/>
      </c>
      <c r="N772" t="str">
        <f t="shared" si="128"/>
        <v/>
      </c>
      <c r="O772" t="str">
        <f t="shared" si="129"/>
        <v/>
      </c>
      <c r="P772" t="str">
        <f>IF(OR(H772="",NOT(OR(LEFT(H772,1)="G",LEFT(H772,1)="R"))),"",IFERROR(VLOOKUP(MID(H772,3,1),Map!$G$2:$H$10,2,FALSE),""))</f>
        <v/>
      </c>
      <c r="Q772" t="str">
        <f>IF(A772="","",IFERROR(VLOOKUP(MID(A772,4,1),Map!$O$2:$P$10,2,FALSE),""))</f>
        <v/>
      </c>
    </row>
    <row r="773" spans="2:17" x14ac:dyDescent="0.25">
      <c r="B773" t="str">
        <f t="shared" si="120"/>
        <v/>
      </c>
      <c r="C773" t="str">
        <f t="shared" si="121"/>
        <v>**</v>
      </c>
      <c r="D773" t="str">
        <f t="shared" si="122"/>
        <v/>
      </c>
      <c r="E773" t="str">
        <f>IFERROR(VLOOKUP(MID(A773,7,2),Map!$A$2:$B$20,2,FALSE),"")</f>
        <v/>
      </c>
      <c r="F773" t="str">
        <f>IF(A773="","",IFERROR(VLOOKUP(MID(A773,9,2),Map!$R$2:$S$14,2,FALSE),""))</f>
        <v/>
      </c>
      <c r="G773" t="str">
        <f t="shared" si="123"/>
        <v/>
      </c>
      <c r="H773" t="str">
        <f t="shared" si="124"/>
        <v/>
      </c>
      <c r="I773" t="str">
        <f>IF(A773="","",IFERROR(VLOOKUP(LEFT(A773,1),Map!$D$2:$E$20,2,FALSE),""))</f>
        <v/>
      </c>
      <c r="J773" t="str">
        <f>IF(OR(H773="",NOT(OR(LEFT(H773,1)="G",LEFT(H773,1)="R"))),"",IFERROR(VLOOKUP(MID(H773,2,1),Map!$J$2:$M$10,2,FALSE),""))</f>
        <v/>
      </c>
      <c r="K773" t="str">
        <f t="shared" si="125"/>
        <v/>
      </c>
      <c r="L773" t="str">
        <f t="shared" si="126"/>
        <v/>
      </c>
      <c r="M773" t="str">
        <f t="shared" si="127"/>
        <v/>
      </c>
      <c r="N773" t="str">
        <f t="shared" si="128"/>
        <v/>
      </c>
      <c r="O773" t="str">
        <f t="shared" si="129"/>
        <v/>
      </c>
      <c r="P773" t="str">
        <f>IF(OR(H773="",NOT(OR(LEFT(H773,1)="G",LEFT(H773,1)="R"))),"",IFERROR(VLOOKUP(MID(H773,3,1),Map!$G$2:$H$10,2,FALSE),""))</f>
        <v/>
      </c>
      <c r="Q773" t="str">
        <f>IF(A773="","",IFERROR(VLOOKUP(MID(A773,4,1),Map!$O$2:$P$10,2,FALSE),""))</f>
        <v/>
      </c>
    </row>
    <row r="774" spans="2:17" x14ac:dyDescent="0.25">
      <c r="B774" t="str">
        <f t="shared" si="120"/>
        <v/>
      </c>
      <c r="C774" t="str">
        <f t="shared" si="121"/>
        <v>**</v>
      </c>
      <c r="D774" t="str">
        <f t="shared" si="122"/>
        <v/>
      </c>
      <c r="E774" t="str">
        <f>IFERROR(VLOOKUP(MID(A774,7,2),Map!$A$2:$B$20,2,FALSE),"")</f>
        <v/>
      </c>
      <c r="F774" t="str">
        <f>IF(A774="","",IFERROR(VLOOKUP(MID(A774,9,2),Map!$R$2:$S$14,2,FALSE),""))</f>
        <v/>
      </c>
      <c r="G774" t="str">
        <f t="shared" si="123"/>
        <v/>
      </c>
      <c r="H774" t="str">
        <f t="shared" si="124"/>
        <v/>
      </c>
      <c r="I774" t="str">
        <f>IF(A774="","",IFERROR(VLOOKUP(LEFT(A774,1),Map!$D$2:$E$20,2,FALSE),""))</f>
        <v/>
      </c>
      <c r="J774" t="str">
        <f>IF(OR(H774="",NOT(OR(LEFT(H774,1)="G",LEFT(H774,1)="R"))),"",IFERROR(VLOOKUP(MID(H774,2,1),Map!$J$2:$M$10,2,FALSE),""))</f>
        <v/>
      </c>
      <c r="K774" t="str">
        <f t="shared" si="125"/>
        <v/>
      </c>
      <c r="L774" t="str">
        <f t="shared" si="126"/>
        <v/>
      </c>
      <c r="M774" t="str">
        <f t="shared" si="127"/>
        <v/>
      </c>
      <c r="N774" t="str">
        <f t="shared" si="128"/>
        <v/>
      </c>
      <c r="O774" t="str">
        <f t="shared" si="129"/>
        <v/>
      </c>
      <c r="P774" t="str">
        <f>IF(OR(H774="",NOT(OR(LEFT(H774,1)="G",LEFT(H774,1)="R"))),"",IFERROR(VLOOKUP(MID(H774,3,1),Map!$G$2:$H$10,2,FALSE),""))</f>
        <v/>
      </c>
      <c r="Q774" t="str">
        <f>IF(A774="","",IFERROR(VLOOKUP(MID(A774,4,1),Map!$O$2:$P$10,2,FALSE),""))</f>
        <v/>
      </c>
    </row>
    <row r="775" spans="2:17" x14ac:dyDescent="0.25">
      <c r="B775" t="str">
        <f t="shared" si="120"/>
        <v/>
      </c>
      <c r="C775" t="str">
        <f t="shared" si="121"/>
        <v>**</v>
      </c>
      <c r="D775" t="str">
        <f t="shared" si="122"/>
        <v/>
      </c>
      <c r="E775" t="str">
        <f>IFERROR(VLOOKUP(MID(A775,7,2),Map!$A$2:$B$20,2,FALSE),"")</f>
        <v/>
      </c>
      <c r="F775" t="str">
        <f>IF(A775="","",IFERROR(VLOOKUP(MID(A775,9,2),Map!$R$2:$S$14,2,FALSE),""))</f>
        <v/>
      </c>
      <c r="G775" t="str">
        <f t="shared" si="123"/>
        <v/>
      </c>
      <c r="H775" t="str">
        <f t="shared" si="124"/>
        <v/>
      </c>
      <c r="I775" t="str">
        <f>IF(A775="","",IFERROR(VLOOKUP(LEFT(A775,1),Map!$D$2:$E$20,2,FALSE),""))</f>
        <v/>
      </c>
      <c r="J775" t="str">
        <f>IF(OR(H775="",NOT(OR(LEFT(H775,1)="G",LEFT(H775,1)="R"))),"",IFERROR(VLOOKUP(MID(H775,2,1),Map!$J$2:$M$10,2,FALSE),""))</f>
        <v/>
      </c>
      <c r="K775" t="str">
        <f t="shared" si="125"/>
        <v/>
      </c>
      <c r="L775" t="str">
        <f t="shared" si="126"/>
        <v/>
      </c>
      <c r="M775" t="str">
        <f t="shared" si="127"/>
        <v/>
      </c>
      <c r="N775" t="str">
        <f t="shared" si="128"/>
        <v/>
      </c>
      <c r="O775" t="str">
        <f t="shared" si="129"/>
        <v/>
      </c>
      <c r="P775" t="str">
        <f>IF(OR(H775="",NOT(OR(LEFT(H775,1)="G",LEFT(H775,1)="R"))),"",IFERROR(VLOOKUP(MID(H775,3,1),Map!$G$2:$H$10,2,FALSE),""))</f>
        <v/>
      </c>
      <c r="Q775" t="str">
        <f>IF(A775="","",IFERROR(VLOOKUP(MID(A775,4,1),Map!$O$2:$P$10,2,FALSE),""))</f>
        <v/>
      </c>
    </row>
    <row r="776" spans="2:17" x14ac:dyDescent="0.25">
      <c r="B776" t="str">
        <f t="shared" si="120"/>
        <v/>
      </c>
      <c r="C776" t="str">
        <f t="shared" si="121"/>
        <v>**</v>
      </c>
      <c r="D776" t="str">
        <f t="shared" si="122"/>
        <v/>
      </c>
      <c r="E776" t="str">
        <f>IFERROR(VLOOKUP(MID(A776,7,2),Map!$A$2:$B$20,2,FALSE),"")</f>
        <v/>
      </c>
      <c r="F776" t="str">
        <f>IF(A776="","",IFERROR(VLOOKUP(MID(A776,9,2),Map!$R$2:$S$14,2,FALSE),""))</f>
        <v/>
      </c>
      <c r="G776" t="str">
        <f t="shared" si="123"/>
        <v/>
      </c>
      <c r="H776" t="str">
        <f t="shared" si="124"/>
        <v/>
      </c>
      <c r="I776" t="str">
        <f>IF(A776="","",IFERROR(VLOOKUP(LEFT(A776,1),Map!$D$2:$E$20,2,FALSE),""))</f>
        <v/>
      </c>
      <c r="J776" t="str">
        <f>IF(OR(H776="",NOT(OR(LEFT(H776,1)="G",LEFT(H776,1)="R"))),"",IFERROR(VLOOKUP(MID(H776,2,1),Map!$J$2:$M$10,2,FALSE),""))</f>
        <v/>
      </c>
      <c r="K776" t="str">
        <f t="shared" si="125"/>
        <v/>
      </c>
      <c r="L776" t="str">
        <f t="shared" si="126"/>
        <v/>
      </c>
      <c r="M776" t="str">
        <f t="shared" si="127"/>
        <v/>
      </c>
      <c r="N776" t="str">
        <f t="shared" si="128"/>
        <v/>
      </c>
      <c r="O776" t="str">
        <f t="shared" si="129"/>
        <v/>
      </c>
      <c r="P776" t="str">
        <f>IF(OR(H776="",NOT(OR(LEFT(H776,1)="G",LEFT(H776,1)="R"))),"",IFERROR(VLOOKUP(MID(H776,3,1),Map!$G$2:$H$10,2,FALSE),""))</f>
        <v/>
      </c>
      <c r="Q776" t="str">
        <f>IF(A776="","",IFERROR(VLOOKUP(MID(A776,4,1),Map!$O$2:$P$10,2,FALSE),""))</f>
        <v/>
      </c>
    </row>
    <row r="777" spans="2:17" x14ac:dyDescent="0.25">
      <c r="B777" t="str">
        <f t="shared" si="120"/>
        <v/>
      </c>
      <c r="C777" t="str">
        <f t="shared" si="121"/>
        <v>**</v>
      </c>
      <c r="D777" t="str">
        <f t="shared" si="122"/>
        <v/>
      </c>
      <c r="E777" t="str">
        <f>IFERROR(VLOOKUP(MID(A777,7,2),Map!$A$2:$B$20,2,FALSE),"")</f>
        <v/>
      </c>
      <c r="F777" t="str">
        <f>IF(A777="","",IFERROR(VLOOKUP(MID(A777,9,2),Map!$R$2:$S$14,2,FALSE),""))</f>
        <v/>
      </c>
      <c r="G777" t="str">
        <f t="shared" si="123"/>
        <v/>
      </c>
      <c r="H777" t="str">
        <f t="shared" si="124"/>
        <v/>
      </c>
      <c r="I777" t="str">
        <f>IF(A777="","",IFERROR(VLOOKUP(LEFT(A777,1),Map!$D$2:$E$20,2,FALSE),""))</f>
        <v/>
      </c>
      <c r="J777" t="str">
        <f>IF(OR(H777="",NOT(OR(LEFT(H777,1)="G",LEFT(H777,1)="R"))),"",IFERROR(VLOOKUP(MID(H777,2,1),Map!$J$2:$M$10,2,FALSE),""))</f>
        <v/>
      </c>
      <c r="K777" t="str">
        <f t="shared" si="125"/>
        <v/>
      </c>
      <c r="L777" t="str">
        <f t="shared" si="126"/>
        <v/>
      </c>
      <c r="M777" t="str">
        <f t="shared" si="127"/>
        <v/>
      </c>
      <c r="N777" t="str">
        <f t="shared" si="128"/>
        <v/>
      </c>
      <c r="O777" t="str">
        <f t="shared" si="129"/>
        <v/>
      </c>
      <c r="P777" t="str">
        <f>IF(OR(H777="",NOT(OR(LEFT(H777,1)="G",LEFT(H777,1)="R"))),"",IFERROR(VLOOKUP(MID(H777,3,1),Map!$G$2:$H$10,2,FALSE),""))</f>
        <v/>
      </c>
      <c r="Q777" t="str">
        <f>IF(A777="","",IFERROR(VLOOKUP(MID(A777,4,1),Map!$O$2:$P$10,2,FALSE),""))</f>
        <v/>
      </c>
    </row>
    <row r="778" spans="2:17" x14ac:dyDescent="0.25">
      <c r="B778" t="str">
        <f t="shared" si="120"/>
        <v/>
      </c>
      <c r="C778" t="str">
        <f t="shared" si="121"/>
        <v>**</v>
      </c>
      <c r="D778" t="str">
        <f t="shared" si="122"/>
        <v/>
      </c>
      <c r="E778" t="str">
        <f>IFERROR(VLOOKUP(MID(A778,7,2),Map!$A$2:$B$20,2,FALSE),"")</f>
        <v/>
      </c>
      <c r="F778" t="str">
        <f>IF(A778="","",IFERROR(VLOOKUP(MID(A778,9,2),Map!$R$2:$S$14,2,FALSE),""))</f>
        <v/>
      </c>
      <c r="G778" t="str">
        <f t="shared" si="123"/>
        <v/>
      </c>
      <c r="H778" t="str">
        <f t="shared" si="124"/>
        <v/>
      </c>
      <c r="I778" t="str">
        <f>IF(A778="","",IFERROR(VLOOKUP(LEFT(A778,1),Map!$D$2:$E$20,2,FALSE),""))</f>
        <v/>
      </c>
      <c r="J778" t="str">
        <f>IF(OR(H778="",NOT(OR(LEFT(H778,1)="G",LEFT(H778,1)="R"))),"",IFERROR(VLOOKUP(MID(H778,2,1),Map!$J$2:$M$10,2,FALSE),""))</f>
        <v/>
      </c>
      <c r="K778" t="str">
        <f t="shared" si="125"/>
        <v/>
      </c>
      <c r="L778" t="str">
        <f t="shared" si="126"/>
        <v/>
      </c>
      <c r="M778" t="str">
        <f t="shared" si="127"/>
        <v/>
      </c>
      <c r="N778" t="str">
        <f t="shared" si="128"/>
        <v/>
      </c>
      <c r="O778" t="str">
        <f t="shared" si="129"/>
        <v/>
      </c>
      <c r="P778" t="str">
        <f>IF(OR(H778="",NOT(OR(LEFT(H778,1)="G",LEFT(H778,1)="R"))),"",IFERROR(VLOOKUP(MID(H778,3,1),Map!$G$2:$H$10,2,FALSE),""))</f>
        <v/>
      </c>
      <c r="Q778" t="str">
        <f>IF(A778="","",IFERROR(VLOOKUP(MID(A778,4,1),Map!$O$2:$P$10,2,FALSE),""))</f>
        <v/>
      </c>
    </row>
    <row r="779" spans="2:17" x14ac:dyDescent="0.25">
      <c r="B779" t="str">
        <f t="shared" si="120"/>
        <v/>
      </c>
      <c r="C779" t="str">
        <f t="shared" si="121"/>
        <v>**</v>
      </c>
      <c r="D779" t="str">
        <f t="shared" si="122"/>
        <v/>
      </c>
      <c r="E779" t="str">
        <f>IFERROR(VLOOKUP(MID(A779,7,2),Map!$A$2:$B$20,2,FALSE),"")</f>
        <v/>
      </c>
      <c r="F779" t="str">
        <f>IF(A779="","",IFERROR(VLOOKUP(MID(A779,9,2),Map!$R$2:$S$14,2,FALSE),""))</f>
        <v/>
      </c>
      <c r="G779" t="str">
        <f t="shared" si="123"/>
        <v/>
      </c>
      <c r="H779" t="str">
        <f t="shared" si="124"/>
        <v/>
      </c>
      <c r="I779" t="str">
        <f>IF(A779="","",IFERROR(VLOOKUP(LEFT(A779,1),Map!$D$2:$E$20,2,FALSE),""))</f>
        <v/>
      </c>
      <c r="J779" t="str">
        <f>IF(OR(H779="",NOT(OR(LEFT(H779,1)="G",LEFT(H779,1)="R"))),"",IFERROR(VLOOKUP(MID(H779,2,1),Map!$J$2:$M$10,2,FALSE),""))</f>
        <v/>
      </c>
      <c r="K779" t="str">
        <f t="shared" si="125"/>
        <v/>
      </c>
      <c r="L779" t="str">
        <f t="shared" si="126"/>
        <v/>
      </c>
      <c r="M779" t="str">
        <f t="shared" si="127"/>
        <v/>
      </c>
      <c r="N779" t="str">
        <f t="shared" si="128"/>
        <v/>
      </c>
      <c r="O779" t="str">
        <f t="shared" si="129"/>
        <v/>
      </c>
      <c r="P779" t="str">
        <f>IF(OR(H779="",NOT(OR(LEFT(H779,1)="G",LEFT(H779,1)="R"))),"",IFERROR(VLOOKUP(MID(H779,3,1),Map!$G$2:$H$10,2,FALSE),""))</f>
        <v/>
      </c>
      <c r="Q779" t="str">
        <f>IF(A779="","",IFERROR(VLOOKUP(MID(A779,4,1),Map!$O$2:$P$10,2,FALSE),""))</f>
        <v/>
      </c>
    </row>
    <row r="780" spans="2:17" x14ac:dyDescent="0.25">
      <c r="B780" t="str">
        <f t="shared" si="120"/>
        <v/>
      </c>
      <c r="C780" t="str">
        <f t="shared" si="121"/>
        <v>**</v>
      </c>
      <c r="D780" t="str">
        <f t="shared" si="122"/>
        <v/>
      </c>
      <c r="E780" t="str">
        <f>IFERROR(VLOOKUP(MID(A780,7,2),Map!$A$2:$B$20,2,FALSE),"")</f>
        <v/>
      </c>
      <c r="F780" t="str">
        <f>IF(A780="","",IFERROR(VLOOKUP(MID(A780,9,2),Map!$R$2:$S$14,2,FALSE),""))</f>
        <v/>
      </c>
      <c r="G780" t="str">
        <f t="shared" si="123"/>
        <v/>
      </c>
      <c r="H780" t="str">
        <f t="shared" si="124"/>
        <v/>
      </c>
      <c r="I780" t="str">
        <f>IF(A780="","",IFERROR(VLOOKUP(LEFT(A780,1),Map!$D$2:$E$20,2,FALSE),""))</f>
        <v/>
      </c>
      <c r="J780" t="str">
        <f>IF(OR(H780="",NOT(OR(LEFT(H780,1)="G",LEFT(H780,1)="R"))),"",IFERROR(VLOOKUP(MID(H780,2,1),Map!$J$2:$M$10,2,FALSE),""))</f>
        <v/>
      </c>
      <c r="K780" t="str">
        <f t="shared" si="125"/>
        <v/>
      </c>
      <c r="L780" t="str">
        <f t="shared" si="126"/>
        <v/>
      </c>
      <c r="M780" t="str">
        <f t="shared" si="127"/>
        <v/>
      </c>
      <c r="N780" t="str">
        <f t="shared" si="128"/>
        <v/>
      </c>
      <c r="O780" t="str">
        <f t="shared" si="129"/>
        <v/>
      </c>
      <c r="P780" t="str">
        <f>IF(OR(H780="",NOT(OR(LEFT(H780,1)="G",LEFT(H780,1)="R"))),"",IFERROR(VLOOKUP(MID(H780,3,1),Map!$G$2:$H$10,2,FALSE),""))</f>
        <v/>
      </c>
      <c r="Q780" t="str">
        <f>IF(A780="","",IFERROR(VLOOKUP(MID(A780,4,1),Map!$O$2:$P$10,2,FALSE),""))</f>
        <v/>
      </c>
    </row>
    <row r="781" spans="2:17" x14ac:dyDescent="0.25">
      <c r="B781" t="str">
        <f t="shared" si="120"/>
        <v/>
      </c>
      <c r="C781" t="str">
        <f t="shared" si="121"/>
        <v>**</v>
      </c>
      <c r="D781" t="str">
        <f t="shared" si="122"/>
        <v/>
      </c>
      <c r="E781" t="str">
        <f>IFERROR(VLOOKUP(MID(A781,7,2),Map!$A$2:$B$20,2,FALSE),"")</f>
        <v/>
      </c>
      <c r="F781" t="str">
        <f>IF(A781="","",IFERROR(VLOOKUP(MID(A781,9,2),Map!$R$2:$S$14,2,FALSE),""))</f>
        <v/>
      </c>
      <c r="G781" t="str">
        <f t="shared" si="123"/>
        <v/>
      </c>
      <c r="H781" t="str">
        <f t="shared" si="124"/>
        <v/>
      </c>
      <c r="I781" t="str">
        <f>IF(A781="","",IFERROR(VLOOKUP(LEFT(A781,1),Map!$D$2:$E$20,2,FALSE),""))</f>
        <v/>
      </c>
      <c r="J781" t="str">
        <f>IF(OR(H781="",NOT(OR(LEFT(H781,1)="G",LEFT(H781,1)="R"))),"",IFERROR(VLOOKUP(MID(H781,2,1),Map!$J$2:$M$10,2,FALSE),""))</f>
        <v/>
      </c>
      <c r="K781" t="str">
        <f t="shared" si="125"/>
        <v/>
      </c>
      <c r="L781" t="str">
        <f t="shared" si="126"/>
        <v/>
      </c>
      <c r="M781" t="str">
        <f t="shared" si="127"/>
        <v/>
      </c>
      <c r="N781" t="str">
        <f t="shared" si="128"/>
        <v/>
      </c>
      <c r="O781" t="str">
        <f t="shared" si="129"/>
        <v/>
      </c>
      <c r="P781" t="str">
        <f>IF(OR(H781="",NOT(OR(LEFT(H781,1)="G",LEFT(H781,1)="R"))),"",IFERROR(VLOOKUP(MID(H781,3,1),Map!$G$2:$H$10,2,FALSE),""))</f>
        <v/>
      </c>
      <c r="Q781" t="str">
        <f>IF(A781="","",IFERROR(VLOOKUP(MID(A781,4,1),Map!$O$2:$P$10,2,FALSE),""))</f>
        <v/>
      </c>
    </row>
    <row r="782" spans="2:17" x14ac:dyDescent="0.25">
      <c r="B782" t="str">
        <f t="shared" si="120"/>
        <v/>
      </c>
      <c r="C782" t="str">
        <f t="shared" si="121"/>
        <v>**</v>
      </c>
      <c r="D782" t="str">
        <f t="shared" si="122"/>
        <v/>
      </c>
      <c r="E782" t="str">
        <f>IFERROR(VLOOKUP(MID(A782,7,2),Map!$A$2:$B$20,2,FALSE),"")</f>
        <v/>
      </c>
      <c r="F782" t="str">
        <f>IF(A782="","",IFERROR(VLOOKUP(MID(A782,9,2),Map!$R$2:$S$14,2,FALSE),""))</f>
        <v/>
      </c>
      <c r="G782" t="str">
        <f t="shared" si="123"/>
        <v/>
      </c>
      <c r="H782" t="str">
        <f t="shared" si="124"/>
        <v/>
      </c>
      <c r="I782" t="str">
        <f>IF(A782="","",IFERROR(VLOOKUP(LEFT(A782,1),Map!$D$2:$E$20,2,FALSE),""))</f>
        <v/>
      </c>
      <c r="J782" t="str">
        <f>IF(OR(H782="",NOT(OR(LEFT(H782,1)="G",LEFT(H782,1)="R"))),"",IFERROR(VLOOKUP(MID(H782,2,1),Map!$J$2:$M$10,2,FALSE),""))</f>
        <v/>
      </c>
      <c r="K782" t="str">
        <f t="shared" si="125"/>
        <v/>
      </c>
      <c r="L782" t="str">
        <f t="shared" si="126"/>
        <v/>
      </c>
      <c r="M782" t="str">
        <f t="shared" si="127"/>
        <v/>
      </c>
      <c r="N782" t="str">
        <f t="shared" si="128"/>
        <v/>
      </c>
      <c r="O782" t="str">
        <f t="shared" si="129"/>
        <v/>
      </c>
      <c r="P782" t="str">
        <f>IF(OR(H782="",NOT(OR(LEFT(H782,1)="G",LEFT(H782,1)="R"))),"",IFERROR(VLOOKUP(MID(H782,3,1),Map!$G$2:$H$10,2,FALSE),""))</f>
        <v/>
      </c>
      <c r="Q782" t="str">
        <f>IF(A782="","",IFERROR(VLOOKUP(MID(A782,4,1),Map!$O$2:$P$10,2,FALSE),""))</f>
        <v/>
      </c>
    </row>
    <row r="783" spans="2:17" x14ac:dyDescent="0.25">
      <c r="B783" t="str">
        <f t="shared" si="120"/>
        <v/>
      </c>
      <c r="C783" t="str">
        <f t="shared" si="121"/>
        <v>**</v>
      </c>
      <c r="D783" t="str">
        <f t="shared" si="122"/>
        <v/>
      </c>
      <c r="E783" t="str">
        <f>IFERROR(VLOOKUP(MID(A783,7,2),Map!$A$2:$B$20,2,FALSE),"")</f>
        <v/>
      </c>
      <c r="F783" t="str">
        <f>IF(A783="","",IFERROR(VLOOKUP(MID(A783,9,2),Map!$R$2:$S$14,2,FALSE),""))</f>
        <v/>
      </c>
      <c r="G783" t="str">
        <f t="shared" si="123"/>
        <v/>
      </c>
      <c r="H783" t="str">
        <f t="shared" si="124"/>
        <v/>
      </c>
      <c r="I783" t="str">
        <f>IF(A783="","",IFERROR(VLOOKUP(LEFT(A783,1),Map!$D$2:$E$20,2,FALSE),""))</f>
        <v/>
      </c>
      <c r="J783" t="str">
        <f>IF(OR(H783="",NOT(OR(LEFT(H783,1)="G",LEFT(H783,1)="R"))),"",IFERROR(VLOOKUP(MID(H783,2,1),Map!$J$2:$M$10,2,FALSE),""))</f>
        <v/>
      </c>
      <c r="K783" t="str">
        <f t="shared" si="125"/>
        <v/>
      </c>
      <c r="L783" t="str">
        <f t="shared" si="126"/>
        <v/>
      </c>
      <c r="M783" t="str">
        <f t="shared" si="127"/>
        <v/>
      </c>
      <c r="N783" t="str">
        <f t="shared" si="128"/>
        <v/>
      </c>
      <c r="O783" t="str">
        <f t="shared" si="129"/>
        <v/>
      </c>
      <c r="P783" t="str">
        <f>IF(OR(H783="",NOT(OR(LEFT(H783,1)="G",LEFT(H783,1)="R"))),"",IFERROR(VLOOKUP(MID(H783,3,1),Map!$G$2:$H$10,2,FALSE),""))</f>
        <v/>
      </c>
      <c r="Q783" t="str">
        <f>IF(A783="","",IFERROR(VLOOKUP(MID(A783,4,1),Map!$O$2:$P$10,2,FALSE),""))</f>
        <v/>
      </c>
    </row>
    <row r="784" spans="2:17" x14ac:dyDescent="0.25">
      <c r="B784" t="str">
        <f t="shared" si="120"/>
        <v/>
      </c>
      <c r="C784" t="str">
        <f t="shared" si="121"/>
        <v>**</v>
      </c>
      <c r="D784" t="str">
        <f t="shared" si="122"/>
        <v/>
      </c>
      <c r="E784" t="str">
        <f>IFERROR(VLOOKUP(MID(A784,7,2),Map!$A$2:$B$20,2,FALSE),"")</f>
        <v/>
      </c>
      <c r="F784" t="str">
        <f>IF(A784="","",IFERROR(VLOOKUP(MID(A784,9,2),Map!$R$2:$S$14,2,FALSE),""))</f>
        <v/>
      </c>
      <c r="G784" t="str">
        <f t="shared" si="123"/>
        <v/>
      </c>
      <c r="H784" t="str">
        <f t="shared" si="124"/>
        <v/>
      </c>
      <c r="I784" t="str">
        <f>IF(A784="","",IFERROR(VLOOKUP(LEFT(A784,1),Map!$D$2:$E$20,2,FALSE),""))</f>
        <v/>
      </c>
      <c r="J784" t="str">
        <f>IF(OR(H784="",NOT(OR(LEFT(H784,1)="G",LEFT(H784,1)="R"))),"",IFERROR(VLOOKUP(MID(H784,2,1),Map!$J$2:$M$10,2,FALSE),""))</f>
        <v/>
      </c>
      <c r="K784" t="str">
        <f t="shared" si="125"/>
        <v/>
      </c>
      <c r="L784" t="str">
        <f t="shared" si="126"/>
        <v/>
      </c>
      <c r="M784" t="str">
        <f t="shared" si="127"/>
        <v/>
      </c>
      <c r="N784" t="str">
        <f t="shared" si="128"/>
        <v/>
      </c>
      <c r="O784" t="str">
        <f t="shared" si="129"/>
        <v/>
      </c>
      <c r="P784" t="str">
        <f>IF(OR(H784="",NOT(OR(LEFT(H784,1)="G",LEFT(H784,1)="R"))),"",IFERROR(VLOOKUP(MID(H784,3,1),Map!$G$2:$H$10,2,FALSE),""))</f>
        <v/>
      </c>
      <c r="Q784" t="str">
        <f>IF(A784="","",IFERROR(VLOOKUP(MID(A784,4,1),Map!$O$2:$P$10,2,FALSE),""))</f>
        <v/>
      </c>
    </row>
    <row r="785" spans="2:17" x14ac:dyDescent="0.25">
      <c r="B785" t="str">
        <f t="shared" si="120"/>
        <v/>
      </c>
      <c r="C785" t="str">
        <f t="shared" si="121"/>
        <v>**</v>
      </c>
      <c r="D785" t="str">
        <f t="shared" si="122"/>
        <v/>
      </c>
      <c r="E785" t="str">
        <f>IFERROR(VLOOKUP(MID(A785,7,2),Map!$A$2:$B$20,2,FALSE),"")</f>
        <v/>
      </c>
      <c r="F785" t="str">
        <f>IF(A785="","",IFERROR(VLOOKUP(MID(A785,9,2),Map!$R$2:$S$14,2,FALSE),""))</f>
        <v/>
      </c>
      <c r="G785" t="str">
        <f t="shared" si="123"/>
        <v/>
      </c>
      <c r="H785" t="str">
        <f t="shared" si="124"/>
        <v/>
      </c>
      <c r="I785" t="str">
        <f>IF(A785="","",IFERROR(VLOOKUP(LEFT(A785,1),Map!$D$2:$E$20,2,FALSE),""))</f>
        <v/>
      </c>
      <c r="J785" t="str">
        <f>IF(OR(H785="",NOT(OR(LEFT(H785,1)="G",LEFT(H785,1)="R"))),"",IFERROR(VLOOKUP(MID(H785,2,1),Map!$J$2:$M$10,2,FALSE),""))</f>
        <v/>
      </c>
      <c r="K785" t="str">
        <f t="shared" si="125"/>
        <v/>
      </c>
      <c r="L785" t="str">
        <f t="shared" si="126"/>
        <v/>
      </c>
      <c r="M785" t="str">
        <f t="shared" si="127"/>
        <v/>
      </c>
      <c r="N785" t="str">
        <f t="shared" si="128"/>
        <v/>
      </c>
      <c r="O785" t="str">
        <f t="shared" si="129"/>
        <v/>
      </c>
      <c r="P785" t="str">
        <f>IF(OR(H785="",NOT(OR(LEFT(H785,1)="G",LEFT(H785,1)="R"))),"",IFERROR(VLOOKUP(MID(H785,3,1),Map!$G$2:$H$10,2,FALSE),""))</f>
        <v/>
      </c>
      <c r="Q785" t="str">
        <f>IF(A785="","",IFERROR(VLOOKUP(MID(A785,4,1),Map!$O$2:$P$10,2,FALSE),""))</f>
        <v/>
      </c>
    </row>
    <row r="786" spans="2:17" x14ac:dyDescent="0.25">
      <c r="B786" t="str">
        <f t="shared" si="120"/>
        <v/>
      </c>
      <c r="C786" t="str">
        <f t="shared" si="121"/>
        <v>**</v>
      </c>
      <c r="D786" t="str">
        <f t="shared" si="122"/>
        <v/>
      </c>
      <c r="E786" t="str">
        <f>IFERROR(VLOOKUP(MID(A786,7,2),Map!$A$2:$B$20,2,FALSE),"")</f>
        <v/>
      </c>
      <c r="F786" t="str">
        <f>IF(A786="","",IFERROR(VLOOKUP(MID(A786,9,2),Map!$R$2:$S$14,2,FALSE),""))</f>
        <v/>
      </c>
      <c r="G786" t="str">
        <f t="shared" si="123"/>
        <v/>
      </c>
      <c r="H786" t="str">
        <f t="shared" si="124"/>
        <v/>
      </c>
      <c r="I786" t="str">
        <f>IF(A786="","",IFERROR(VLOOKUP(LEFT(A786,1),Map!$D$2:$E$20,2,FALSE),""))</f>
        <v/>
      </c>
      <c r="J786" t="str">
        <f>IF(OR(H786="",NOT(OR(LEFT(H786,1)="G",LEFT(H786,1)="R"))),"",IFERROR(VLOOKUP(MID(H786,2,1),Map!$J$2:$M$10,2,FALSE),""))</f>
        <v/>
      </c>
      <c r="K786" t="str">
        <f t="shared" si="125"/>
        <v/>
      </c>
      <c r="L786" t="str">
        <f t="shared" si="126"/>
        <v/>
      </c>
      <c r="M786" t="str">
        <f t="shared" si="127"/>
        <v/>
      </c>
      <c r="N786" t="str">
        <f t="shared" si="128"/>
        <v/>
      </c>
      <c r="O786" t="str">
        <f t="shared" si="129"/>
        <v/>
      </c>
      <c r="P786" t="str">
        <f>IF(OR(H786="",NOT(OR(LEFT(H786,1)="G",LEFT(H786,1)="R"))),"",IFERROR(VLOOKUP(MID(H786,3,1),Map!$G$2:$H$10,2,FALSE),""))</f>
        <v/>
      </c>
      <c r="Q786" t="str">
        <f>IF(A786="","",IFERROR(VLOOKUP(MID(A786,4,1),Map!$O$2:$P$10,2,FALSE),""))</f>
        <v/>
      </c>
    </row>
    <row r="787" spans="2:17" x14ac:dyDescent="0.25">
      <c r="B787" t="str">
        <f t="shared" si="120"/>
        <v/>
      </c>
      <c r="C787" t="str">
        <f t="shared" si="121"/>
        <v>**</v>
      </c>
      <c r="D787" t="str">
        <f t="shared" si="122"/>
        <v/>
      </c>
      <c r="E787" t="str">
        <f>IFERROR(VLOOKUP(MID(A787,7,2),Map!$A$2:$B$20,2,FALSE),"")</f>
        <v/>
      </c>
      <c r="F787" t="str">
        <f>IF(A787="","",IFERROR(VLOOKUP(MID(A787,9,2),Map!$R$2:$S$14,2,FALSE),""))</f>
        <v/>
      </c>
      <c r="G787" t="str">
        <f t="shared" si="123"/>
        <v/>
      </c>
      <c r="H787" t="str">
        <f t="shared" si="124"/>
        <v/>
      </c>
      <c r="I787" t="str">
        <f>IF(A787="","",IFERROR(VLOOKUP(LEFT(A787,1),Map!$D$2:$E$20,2,FALSE),""))</f>
        <v/>
      </c>
      <c r="J787" t="str">
        <f>IF(OR(H787="",NOT(OR(LEFT(H787,1)="G",LEFT(H787,1)="R"))),"",IFERROR(VLOOKUP(MID(H787,2,1),Map!$J$2:$M$10,2,FALSE),""))</f>
        <v/>
      </c>
      <c r="K787" t="str">
        <f t="shared" si="125"/>
        <v/>
      </c>
      <c r="L787" t="str">
        <f t="shared" si="126"/>
        <v/>
      </c>
      <c r="M787" t="str">
        <f t="shared" si="127"/>
        <v/>
      </c>
      <c r="N787" t="str">
        <f t="shared" si="128"/>
        <v/>
      </c>
      <c r="O787" t="str">
        <f t="shared" si="129"/>
        <v/>
      </c>
      <c r="P787" t="str">
        <f>IF(OR(H787="",NOT(OR(LEFT(H787,1)="G",LEFT(H787,1)="R"))),"",IFERROR(VLOOKUP(MID(H787,3,1),Map!$G$2:$H$10,2,FALSE),""))</f>
        <v/>
      </c>
      <c r="Q787" t="str">
        <f>IF(A787="","",IFERROR(VLOOKUP(MID(A787,4,1),Map!$O$2:$P$10,2,FALSE),""))</f>
        <v/>
      </c>
    </row>
    <row r="788" spans="2:17" x14ac:dyDescent="0.25">
      <c r="B788" t="str">
        <f t="shared" si="120"/>
        <v/>
      </c>
      <c r="C788" t="str">
        <f t="shared" si="121"/>
        <v>**</v>
      </c>
      <c r="D788" t="str">
        <f t="shared" si="122"/>
        <v/>
      </c>
      <c r="E788" t="str">
        <f>IFERROR(VLOOKUP(MID(A788,7,2),Map!$A$2:$B$20,2,FALSE),"")</f>
        <v/>
      </c>
      <c r="F788" t="str">
        <f>IF(A788="","",IFERROR(VLOOKUP(MID(A788,9,2),Map!$R$2:$S$14,2,FALSE),""))</f>
        <v/>
      </c>
      <c r="G788" t="str">
        <f t="shared" si="123"/>
        <v/>
      </c>
      <c r="H788" t="str">
        <f t="shared" si="124"/>
        <v/>
      </c>
      <c r="I788" t="str">
        <f>IF(A788="","",IFERROR(VLOOKUP(LEFT(A788,1),Map!$D$2:$E$20,2,FALSE),""))</f>
        <v/>
      </c>
      <c r="J788" t="str">
        <f>IF(OR(H788="",NOT(OR(LEFT(H788,1)="G",LEFT(H788,1)="R"))),"",IFERROR(VLOOKUP(MID(H788,2,1),Map!$J$2:$M$10,2,FALSE),""))</f>
        <v/>
      </c>
      <c r="K788" t="str">
        <f t="shared" si="125"/>
        <v/>
      </c>
      <c r="L788" t="str">
        <f t="shared" si="126"/>
        <v/>
      </c>
      <c r="M788" t="str">
        <f t="shared" si="127"/>
        <v/>
      </c>
      <c r="N788" t="str">
        <f t="shared" si="128"/>
        <v/>
      </c>
      <c r="O788" t="str">
        <f t="shared" si="129"/>
        <v/>
      </c>
      <c r="P788" t="str">
        <f>IF(OR(H788="",NOT(OR(LEFT(H788,1)="G",LEFT(H788,1)="R"))),"",IFERROR(VLOOKUP(MID(H788,3,1),Map!$G$2:$H$10,2,FALSE),""))</f>
        <v/>
      </c>
      <c r="Q788" t="str">
        <f>IF(A788="","",IFERROR(VLOOKUP(MID(A788,4,1),Map!$O$2:$P$10,2,FALSE),""))</f>
        <v/>
      </c>
    </row>
    <row r="789" spans="2:17" x14ac:dyDescent="0.25">
      <c r="B789" t="str">
        <f t="shared" si="120"/>
        <v/>
      </c>
      <c r="C789" t="str">
        <f t="shared" si="121"/>
        <v>**</v>
      </c>
      <c r="D789" t="str">
        <f t="shared" si="122"/>
        <v/>
      </c>
      <c r="E789" t="str">
        <f>IFERROR(VLOOKUP(MID(A789,7,2),Map!$A$2:$B$20,2,FALSE),"")</f>
        <v/>
      </c>
      <c r="F789" t="str">
        <f>IF(A789="","",IFERROR(VLOOKUP(MID(A789,9,2),Map!$R$2:$S$14,2,FALSE),""))</f>
        <v/>
      </c>
      <c r="G789" t="str">
        <f t="shared" si="123"/>
        <v/>
      </c>
      <c r="H789" t="str">
        <f t="shared" si="124"/>
        <v/>
      </c>
      <c r="I789" t="str">
        <f>IF(A789="","",IFERROR(VLOOKUP(LEFT(A789,1),Map!$D$2:$E$20,2,FALSE),""))</f>
        <v/>
      </c>
      <c r="J789" t="str">
        <f>IF(OR(H789="",NOT(OR(LEFT(H789,1)="G",LEFT(H789,1)="R"))),"",IFERROR(VLOOKUP(MID(H789,2,1),Map!$J$2:$M$10,2,FALSE),""))</f>
        <v/>
      </c>
      <c r="K789" t="str">
        <f t="shared" si="125"/>
        <v/>
      </c>
      <c r="L789" t="str">
        <f t="shared" si="126"/>
        <v/>
      </c>
      <c r="M789" t="str">
        <f t="shared" si="127"/>
        <v/>
      </c>
      <c r="N789" t="str">
        <f t="shared" si="128"/>
        <v/>
      </c>
      <c r="O789" t="str">
        <f t="shared" si="129"/>
        <v/>
      </c>
      <c r="P789" t="str">
        <f>IF(OR(H789="",NOT(OR(LEFT(H789,1)="G",LEFT(H789,1)="R"))),"",IFERROR(VLOOKUP(MID(H789,3,1),Map!$G$2:$H$10,2,FALSE),""))</f>
        <v/>
      </c>
      <c r="Q789" t="str">
        <f>IF(A789="","",IFERROR(VLOOKUP(MID(A789,4,1),Map!$O$2:$P$10,2,FALSE),""))</f>
        <v/>
      </c>
    </row>
    <row r="790" spans="2:17" x14ac:dyDescent="0.25">
      <c r="B790" t="str">
        <f t="shared" si="120"/>
        <v/>
      </c>
      <c r="C790" t="str">
        <f t="shared" si="121"/>
        <v>**</v>
      </c>
      <c r="D790" t="str">
        <f t="shared" si="122"/>
        <v/>
      </c>
      <c r="E790" t="str">
        <f>IFERROR(VLOOKUP(MID(A790,7,2),Map!$A$2:$B$20,2,FALSE),"")</f>
        <v/>
      </c>
      <c r="F790" t="str">
        <f>IF(A790="","",IFERROR(VLOOKUP(MID(A790,9,2),Map!$R$2:$S$14,2,FALSE),""))</f>
        <v/>
      </c>
      <c r="G790" t="str">
        <f t="shared" si="123"/>
        <v/>
      </c>
      <c r="H790" t="str">
        <f t="shared" si="124"/>
        <v/>
      </c>
      <c r="I790" t="str">
        <f>IF(A790="","",IFERROR(VLOOKUP(LEFT(A790,1),Map!$D$2:$E$20,2,FALSE),""))</f>
        <v/>
      </c>
      <c r="J790" t="str">
        <f>IF(OR(H790="",NOT(OR(LEFT(H790,1)="G",LEFT(H790,1)="R"))),"",IFERROR(VLOOKUP(MID(H790,2,1),Map!$J$2:$M$10,2,FALSE),""))</f>
        <v/>
      </c>
      <c r="K790" t="str">
        <f t="shared" si="125"/>
        <v/>
      </c>
      <c r="L790" t="str">
        <f t="shared" si="126"/>
        <v/>
      </c>
      <c r="M790" t="str">
        <f t="shared" si="127"/>
        <v/>
      </c>
      <c r="N790" t="str">
        <f t="shared" si="128"/>
        <v/>
      </c>
      <c r="O790" t="str">
        <f t="shared" si="129"/>
        <v/>
      </c>
      <c r="P790" t="str">
        <f>IF(OR(H790="",NOT(OR(LEFT(H790,1)="G",LEFT(H790,1)="R"))),"",IFERROR(VLOOKUP(MID(H790,3,1),Map!$G$2:$H$10,2,FALSE),""))</f>
        <v/>
      </c>
      <c r="Q790" t="str">
        <f>IF(A790="","",IFERROR(VLOOKUP(MID(A790,4,1),Map!$O$2:$P$10,2,FALSE),""))</f>
        <v/>
      </c>
    </row>
    <row r="791" spans="2:17" x14ac:dyDescent="0.25">
      <c r="B791" t="str">
        <f t="shared" si="120"/>
        <v/>
      </c>
      <c r="C791" t="str">
        <f t="shared" si="121"/>
        <v>**</v>
      </c>
      <c r="D791" t="str">
        <f t="shared" si="122"/>
        <v/>
      </c>
      <c r="E791" t="str">
        <f>IFERROR(VLOOKUP(MID(A791,7,2),Map!$A$2:$B$20,2,FALSE),"")</f>
        <v/>
      </c>
      <c r="F791" t="str">
        <f>IF(A791="","",IFERROR(VLOOKUP(MID(A791,9,2),Map!$R$2:$S$14,2,FALSE),""))</f>
        <v/>
      </c>
      <c r="G791" t="str">
        <f t="shared" si="123"/>
        <v/>
      </c>
      <c r="H791" t="str">
        <f t="shared" si="124"/>
        <v/>
      </c>
      <c r="I791" t="str">
        <f>IF(A791="","",IFERROR(VLOOKUP(LEFT(A791,1),Map!$D$2:$E$20,2,FALSE),""))</f>
        <v/>
      </c>
      <c r="J791" t="str">
        <f>IF(OR(H791="",NOT(OR(LEFT(H791,1)="G",LEFT(H791,1)="R"))),"",IFERROR(VLOOKUP(MID(H791,2,1),Map!$J$2:$M$10,2,FALSE),""))</f>
        <v/>
      </c>
      <c r="K791" t="str">
        <f t="shared" si="125"/>
        <v/>
      </c>
      <c r="L791" t="str">
        <f t="shared" si="126"/>
        <v/>
      </c>
      <c r="M791" t="str">
        <f t="shared" si="127"/>
        <v/>
      </c>
      <c r="N791" t="str">
        <f t="shared" si="128"/>
        <v/>
      </c>
      <c r="O791" t="str">
        <f t="shared" si="129"/>
        <v/>
      </c>
      <c r="P791" t="str">
        <f>IF(OR(H791="",NOT(OR(LEFT(H791,1)="G",LEFT(H791,1)="R"))),"",IFERROR(VLOOKUP(MID(H791,3,1),Map!$G$2:$H$10,2,FALSE),""))</f>
        <v/>
      </c>
      <c r="Q791" t="str">
        <f>IF(A791="","",IFERROR(VLOOKUP(MID(A791,4,1),Map!$O$2:$P$10,2,FALSE),""))</f>
        <v/>
      </c>
    </row>
    <row r="792" spans="2:17" x14ac:dyDescent="0.25">
      <c r="B792" t="str">
        <f t="shared" si="120"/>
        <v/>
      </c>
      <c r="C792" t="str">
        <f t="shared" si="121"/>
        <v>**</v>
      </c>
      <c r="D792" t="str">
        <f t="shared" si="122"/>
        <v/>
      </c>
      <c r="E792" t="str">
        <f>IFERROR(VLOOKUP(MID(A792,7,2),Map!$A$2:$B$20,2,FALSE),"")</f>
        <v/>
      </c>
      <c r="F792" t="str">
        <f>IF(A792="","",IFERROR(VLOOKUP(MID(A792,9,2),Map!$R$2:$S$14,2,FALSE),""))</f>
        <v/>
      </c>
      <c r="G792" t="str">
        <f t="shared" si="123"/>
        <v/>
      </c>
      <c r="H792" t="str">
        <f t="shared" si="124"/>
        <v/>
      </c>
      <c r="I792" t="str">
        <f>IF(A792="","",IFERROR(VLOOKUP(LEFT(A792,1),Map!$D$2:$E$20,2,FALSE),""))</f>
        <v/>
      </c>
      <c r="J792" t="str">
        <f>IF(OR(H792="",NOT(OR(LEFT(H792,1)="G",LEFT(H792,1)="R"))),"",IFERROR(VLOOKUP(MID(H792,2,1),Map!$J$2:$M$10,2,FALSE),""))</f>
        <v/>
      </c>
      <c r="K792" t="str">
        <f t="shared" si="125"/>
        <v/>
      </c>
      <c r="L792" t="str">
        <f t="shared" si="126"/>
        <v/>
      </c>
      <c r="M792" t="str">
        <f t="shared" si="127"/>
        <v/>
      </c>
      <c r="N792" t="str">
        <f t="shared" si="128"/>
        <v/>
      </c>
      <c r="O792" t="str">
        <f t="shared" si="129"/>
        <v/>
      </c>
      <c r="P792" t="str">
        <f>IF(OR(H792="",NOT(OR(LEFT(H792,1)="G",LEFT(H792,1)="R"))),"",IFERROR(VLOOKUP(MID(H792,3,1),Map!$G$2:$H$10,2,FALSE),""))</f>
        <v/>
      </c>
      <c r="Q792" t="str">
        <f>IF(A792="","",IFERROR(VLOOKUP(MID(A792,4,1),Map!$O$2:$P$10,2,FALSE),""))</f>
        <v/>
      </c>
    </row>
    <row r="793" spans="2:17" x14ac:dyDescent="0.25">
      <c r="B793" t="str">
        <f t="shared" si="120"/>
        <v/>
      </c>
      <c r="C793" t="str">
        <f t="shared" si="121"/>
        <v>**</v>
      </c>
      <c r="D793" t="str">
        <f t="shared" si="122"/>
        <v/>
      </c>
      <c r="E793" t="str">
        <f>IFERROR(VLOOKUP(MID(A793,7,2),Map!$A$2:$B$20,2,FALSE),"")</f>
        <v/>
      </c>
      <c r="F793" t="str">
        <f>IF(A793="","",IFERROR(VLOOKUP(MID(A793,9,2),Map!$R$2:$S$14,2,FALSE),""))</f>
        <v/>
      </c>
      <c r="G793" t="str">
        <f t="shared" si="123"/>
        <v/>
      </c>
      <c r="H793" t="str">
        <f t="shared" si="124"/>
        <v/>
      </c>
      <c r="I793" t="str">
        <f>IF(A793="","",IFERROR(VLOOKUP(LEFT(A793,1),Map!$D$2:$E$20,2,FALSE),""))</f>
        <v/>
      </c>
      <c r="J793" t="str">
        <f>IF(OR(H793="",NOT(OR(LEFT(H793,1)="G",LEFT(H793,1)="R"))),"",IFERROR(VLOOKUP(MID(H793,2,1),Map!$J$2:$M$10,2,FALSE),""))</f>
        <v/>
      </c>
      <c r="K793" t="str">
        <f t="shared" si="125"/>
        <v/>
      </c>
      <c r="L793" t="str">
        <f t="shared" si="126"/>
        <v/>
      </c>
      <c r="M793" t="str">
        <f t="shared" si="127"/>
        <v/>
      </c>
      <c r="N793" t="str">
        <f t="shared" si="128"/>
        <v/>
      </c>
      <c r="O793" t="str">
        <f t="shared" si="129"/>
        <v/>
      </c>
      <c r="P793" t="str">
        <f>IF(OR(H793="",NOT(OR(LEFT(H793,1)="G",LEFT(H793,1)="R"))),"",IFERROR(VLOOKUP(MID(H793,3,1),Map!$G$2:$H$10,2,FALSE),""))</f>
        <v/>
      </c>
      <c r="Q793" t="str">
        <f>IF(A793="","",IFERROR(VLOOKUP(MID(A793,4,1),Map!$O$2:$P$10,2,FALSE),""))</f>
        <v/>
      </c>
    </row>
    <row r="794" spans="2:17" x14ac:dyDescent="0.25">
      <c r="B794" t="str">
        <f t="shared" si="120"/>
        <v/>
      </c>
      <c r="C794" t="str">
        <f t="shared" si="121"/>
        <v>**</v>
      </c>
      <c r="D794" t="str">
        <f t="shared" si="122"/>
        <v/>
      </c>
      <c r="E794" t="str">
        <f>IFERROR(VLOOKUP(MID(A794,7,2),Map!$A$2:$B$20,2,FALSE),"")</f>
        <v/>
      </c>
      <c r="F794" t="str">
        <f>IF(A794="","",IFERROR(VLOOKUP(MID(A794,9,2),Map!$R$2:$S$14,2,FALSE),""))</f>
        <v/>
      </c>
      <c r="G794" t="str">
        <f t="shared" si="123"/>
        <v/>
      </c>
      <c r="H794" t="str">
        <f t="shared" si="124"/>
        <v/>
      </c>
      <c r="I794" t="str">
        <f>IF(A794="","",IFERROR(VLOOKUP(LEFT(A794,1),Map!$D$2:$E$20,2,FALSE),""))</f>
        <v/>
      </c>
      <c r="J794" t="str">
        <f>IF(OR(H794="",NOT(OR(LEFT(H794,1)="G",LEFT(H794,1)="R"))),"",IFERROR(VLOOKUP(MID(H794,2,1),Map!$J$2:$M$10,2,FALSE),""))</f>
        <v/>
      </c>
      <c r="K794" t="str">
        <f t="shared" si="125"/>
        <v/>
      </c>
      <c r="L794" t="str">
        <f t="shared" si="126"/>
        <v/>
      </c>
      <c r="M794" t="str">
        <f t="shared" si="127"/>
        <v/>
      </c>
      <c r="N794" t="str">
        <f t="shared" si="128"/>
        <v/>
      </c>
      <c r="O794" t="str">
        <f t="shared" si="129"/>
        <v/>
      </c>
      <c r="P794" t="str">
        <f>IF(OR(H794="",NOT(OR(LEFT(H794,1)="G",LEFT(H794,1)="R"))),"",IFERROR(VLOOKUP(MID(H794,3,1),Map!$G$2:$H$10,2,FALSE),""))</f>
        <v/>
      </c>
      <c r="Q794" t="str">
        <f>IF(A794="","",IFERROR(VLOOKUP(MID(A794,4,1),Map!$O$2:$P$10,2,FALSE),""))</f>
        <v/>
      </c>
    </row>
    <row r="795" spans="2:17" x14ac:dyDescent="0.25">
      <c r="B795" t="str">
        <f t="shared" si="120"/>
        <v/>
      </c>
      <c r="C795" t="str">
        <f t="shared" si="121"/>
        <v>**</v>
      </c>
      <c r="D795" t="str">
        <f t="shared" si="122"/>
        <v/>
      </c>
      <c r="E795" t="str">
        <f>IFERROR(VLOOKUP(MID(A795,7,2),Map!$A$2:$B$20,2,FALSE),"")</f>
        <v/>
      </c>
      <c r="F795" t="str">
        <f>IF(A795="","",IFERROR(VLOOKUP(MID(A795,9,2),Map!$R$2:$S$14,2,FALSE),""))</f>
        <v/>
      </c>
      <c r="G795" t="str">
        <f t="shared" si="123"/>
        <v/>
      </c>
      <c r="H795" t="str">
        <f t="shared" si="124"/>
        <v/>
      </c>
      <c r="I795" t="str">
        <f>IF(A795="","",IFERROR(VLOOKUP(LEFT(A795,1),Map!$D$2:$E$20,2,FALSE),""))</f>
        <v/>
      </c>
      <c r="J795" t="str">
        <f>IF(OR(H795="",NOT(OR(LEFT(H795,1)="G",LEFT(H795,1)="R"))),"",IFERROR(VLOOKUP(MID(H795,2,1),Map!$J$2:$M$10,2,FALSE),""))</f>
        <v/>
      </c>
      <c r="K795" t="str">
        <f t="shared" si="125"/>
        <v/>
      </c>
      <c r="L795" t="str">
        <f t="shared" si="126"/>
        <v/>
      </c>
      <c r="M795" t="str">
        <f t="shared" si="127"/>
        <v/>
      </c>
      <c r="N795" t="str">
        <f t="shared" si="128"/>
        <v/>
      </c>
      <c r="O795" t="str">
        <f t="shared" si="129"/>
        <v/>
      </c>
      <c r="P795" t="str">
        <f>IF(OR(H795="",NOT(OR(LEFT(H795,1)="G",LEFT(H795,1)="R"))),"",IFERROR(VLOOKUP(MID(H795,3,1),Map!$G$2:$H$10,2,FALSE),""))</f>
        <v/>
      </c>
      <c r="Q795" t="str">
        <f>IF(A795="","",IFERROR(VLOOKUP(MID(A795,4,1),Map!$O$2:$P$10,2,FALSE),""))</f>
        <v/>
      </c>
    </row>
    <row r="796" spans="2:17" x14ac:dyDescent="0.25">
      <c r="B796" t="str">
        <f t="shared" si="120"/>
        <v/>
      </c>
      <c r="C796" t="str">
        <f t="shared" si="121"/>
        <v>**</v>
      </c>
      <c r="D796" t="str">
        <f t="shared" si="122"/>
        <v/>
      </c>
      <c r="E796" t="str">
        <f>IFERROR(VLOOKUP(MID(A796,7,2),Map!$A$2:$B$20,2,FALSE),"")</f>
        <v/>
      </c>
      <c r="F796" t="str">
        <f>IF(A796="","",IFERROR(VLOOKUP(MID(A796,9,2),Map!$R$2:$S$14,2,FALSE),""))</f>
        <v/>
      </c>
      <c r="G796" t="str">
        <f t="shared" si="123"/>
        <v/>
      </c>
      <c r="H796" t="str">
        <f t="shared" si="124"/>
        <v/>
      </c>
      <c r="I796" t="str">
        <f>IF(A796="","",IFERROR(VLOOKUP(LEFT(A796,1),Map!$D$2:$E$20,2,FALSE),""))</f>
        <v/>
      </c>
      <c r="J796" t="str">
        <f>IF(OR(H796="",NOT(OR(LEFT(H796,1)="G",LEFT(H796,1)="R"))),"",IFERROR(VLOOKUP(MID(H796,2,1),Map!$J$2:$M$10,2,FALSE),""))</f>
        <v/>
      </c>
      <c r="K796" t="str">
        <f t="shared" si="125"/>
        <v/>
      </c>
      <c r="L796" t="str">
        <f t="shared" si="126"/>
        <v/>
      </c>
      <c r="M796" t="str">
        <f t="shared" si="127"/>
        <v/>
      </c>
      <c r="N796" t="str">
        <f t="shared" si="128"/>
        <v/>
      </c>
      <c r="O796" t="str">
        <f t="shared" si="129"/>
        <v/>
      </c>
      <c r="P796" t="str">
        <f>IF(OR(H796="",NOT(OR(LEFT(H796,1)="G",LEFT(H796,1)="R"))),"",IFERROR(VLOOKUP(MID(H796,3,1),Map!$G$2:$H$10,2,FALSE),""))</f>
        <v/>
      </c>
      <c r="Q796" t="str">
        <f>IF(A796="","",IFERROR(VLOOKUP(MID(A796,4,1),Map!$O$2:$P$10,2,FALSE),""))</f>
        <v/>
      </c>
    </row>
    <row r="797" spans="2:17" x14ac:dyDescent="0.25">
      <c r="B797" t="str">
        <f t="shared" si="120"/>
        <v/>
      </c>
      <c r="C797" t="str">
        <f t="shared" si="121"/>
        <v>**</v>
      </c>
      <c r="D797" t="str">
        <f t="shared" si="122"/>
        <v/>
      </c>
      <c r="E797" t="str">
        <f>IFERROR(VLOOKUP(MID(A797,7,2),Map!$A$2:$B$20,2,FALSE),"")</f>
        <v/>
      </c>
      <c r="F797" t="str">
        <f>IF(A797="","",IFERROR(VLOOKUP(MID(A797,9,2),Map!$R$2:$S$14,2,FALSE),""))</f>
        <v/>
      </c>
      <c r="G797" t="str">
        <f t="shared" si="123"/>
        <v/>
      </c>
      <c r="H797" t="str">
        <f t="shared" si="124"/>
        <v/>
      </c>
      <c r="I797" t="str">
        <f>IF(A797="","",IFERROR(VLOOKUP(LEFT(A797,1),Map!$D$2:$E$20,2,FALSE),""))</f>
        <v/>
      </c>
      <c r="J797" t="str">
        <f>IF(OR(H797="",NOT(OR(LEFT(H797,1)="G",LEFT(H797,1)="R"))),"",IFERROR(VLOOKUP(MID(H797,2,1),Map!$J$2:$M$10,2,FALSE),""))</f>
        <v/>
      </c>
      <c r="K797" t="str">
        <f t="shared" si="125"/>
        <v/>
      </c>
      <c r="L797" t="str">
        <f t="shared" si="126"/>
        <v/>
      </c>
      <c r="M797" t="str">
        <f t="shared" si="127"/>
        <v/>
      </c>
      <c r="N797" t="str">
        <f t="shared" si="128"/>
        <v/>
      </c>
      <c r="O797" t="str">
        <f t="shared" si="129"/>
        <v/>
      </c>
      <c r="P797" t="str">
        <f>IF(OR(H797="",NOT(OR(LEFT(H797,1)="G",LEFT(H797,1)="R"))),"",IFERROR(VLOOKUP(MID(H797,3,1),Map!$G$2:$H$10,2,FALSE),""))</f>
        <v/>
      </c>
      <c r="Q797" t="str">
        <f>IF(A797="","",IFERROR(VLOOKUP(MID(A797,4,1),Map!$O$2:$P$10,2,FALSE),""))</f>
        <v/>
      </c>
    </row>
    <row r="798" spans="2:17" x14ac:dyDescent="0.25">
      <c r="B798" t="str">
        <f t="shared" si="120"/>
        <v/>
      </c>
      <c r="C798" t="str">
        <f t="shared" si="121"/>
        <v>**</v>
      </c>
      <c r="D798" t="str">
        <f t="shared" si="122"/>
        <v/>
      </c>
      <c r="E798" t="str">
        <f>IFERROR(VLOOKUP(MID(A798,7,2),Map!$A$2:$B$20,2,FALSE),"")</f>
        <v/>
      </c>
      <c r="F798" t="str">
        <f>IF(A798="","",IFERROR(VLOOKUP(MID(A798,9,2),Map!$R$2:$S$14,2,FALSE),""))</f>
        <v/>
      </c>
      <c r="G798" t="str">
        <f t="shared" si="123"/>
        <v/>
      </c>
      <c r="H798" t="str">
        <f t="shared" si="124"/>
        <v/>
      </c>
      <c r="I798" t="str">
        <f>IF(A798="","",IFERROR(VLOOKUP(LEFT(A798,1),Map!$D$2:$E$20,2,FALSE),""))</f>
        <v/>
      </c>
      <c r="J798" t="str">
        <f>IF(OR(H798="",NOT(OR(LEFT(H798,1)="G",LEFT(H798,1)="R"))),"",IFERROR(VLOOKUP(MID(H798,2,1),Map!$J$2:$M$10,2,FALSE),""))</f>
        <v/>
      </c>
      <c r="K798" t="str">
        <f t="shared" si="125"/>
        <v/>
      </c>
      <c r="L798" t="str">
        <f t="shared" si="126"/>
        <v/>
      </c>
      <c r="M798" t="str">
        <f t="shared" si="127"/>
        <v/>
      </c>
      <c r="N798" t="str">
        <f t="shared" si="128"/>
        <v/>
      </c>
      <c r="O798" t="str">
        <f t="shared" si="129"/>
        <v/>
      </c>
      <c r="P798" t="str">
        <f>IF(OR(H798="",NOT(OR(LEFT(H798,1)="G",LEFT(H798,1)="R"))),"",IFERROR(VLOOKUP(MID(H798,3,1),Map!$G$2:$H$10,2,FALSE),""))</f>
        <v/>
      </c>
      <c r="Q798" t="str">
        <f>IF(A798="","",IFERROR(VLOOKUP(MID(A798,4,1),Map!$O$2:$P$10,2,FALSE),""))</f>
        <v/>
      </c>
    </row>
    <row r="799" spans="2:17" x14ac:dyDescent="0.25">
      <c r="B799" t="str">
        <f t="shared" si="120"/>
        <v/>
      </c>
      <c r="C799" t="str">
        <f t="shared" si="121"/>
        <v>**</v>
      </c>
      <c r="D799" t="str">
        <f t="shared" si="122"/>
        <v/>
      </c>
      <c r="E799" t="str">
        <f>IFERROR(VLOOKUP(MID(A799,7,2),Map!$A$2:$B$20,2,FALSE),"")</f>
        <v/>
      </c>
      <c r="F799" t="str">
        <f>IF(A799="","",IFERROR(VLOOKUP(MID(A799,9,2),Map!$R$2:$S$14,2,FALSE),""))</f>
        <v/>
      </c>
      <c r="G799" t="str">
        <f t="shared" si="123"/>
        <v/>
      </c>
      <c r="H799" t="str">
        <f t="shared" si="124"/>
        <v/>
      </c>
      <c r="I799" t="str">
        <f>IF(A799="","",IFERROR(VLOOKUP(LEFT(A799,1),Map!$D$2:$E$20,2,FALSE),""))</f>
        <v/>
      </c>
      <c r="J799" t="str">
        <f>IF(OR(H799="",NOT(OR(LEFT(H799,1)="G",LEFT(H799,1)="R"))),"",IFERROR(VLOOKUP(MID(H799,2,1),Map!$J$2:$M$10,2,FALSE),""))</f>
        <v/>
      </c>
      <c r="K799" t="str">
        <f t="shared" si="125"/>
        <v/>
      </c>
      <c r="L799" t="str">
        <f t="shared" si="126"/>
        <v/>
      </c>
      <c r="M799" t="str">
        <f t="shared" si="127"/>
        <v/>
      </c>
      <c r="N799" t="str">
        <f t="shared" si="128"/>
        <v/>
      </c>
      <c r="O799" t="str">
        <f t="shared" si="129"/>
        <v/>
      </c>
      <c r="P799" t="str">
        <f>IF(OR(H799="",NOT(OR(LEFT(H799,1)="G",LEFT(H799,1)="R"))),"",IFERROR(VLOOKUP(MID(H799,3,1),Map!$G$2:$H$10,2,FALSE),""))</f>
        <v/>
      </c>
      <c r="Q799" t="str">
        <f>IF(A799="","",IFERROR(VLOOKUP(MID(A799,4,1),Map!$O$2:$P$10,2,FALSE),""))</f>
        <v/>
      </c>
    </row>
    <row r="800" spans="2:17" x14ac:dyDescent="0.25">
      <c r="B800" t="str">
        <f t="shared" si="120"/>
        <v/>
      </c>
      <c r="C800" t="str">
        <f t="shared" si="121"/>
        <v>**</v>
      </c>
      <c r="D800" t="str">
        <f t="shared" si="122"/>
        <v/>
      </c>
      <c r="E800" t="str">
        <f>IFERROR(VLOOKUP(MID(A800,7,2),Map!$A$2:$B$20,2,FALSE),"")</f>
        <v/>
      </c>
      <c r="F800" t="str">
        <f>IF(A800="","",IFERROR(VLOOKUP(MID(A800,9,2),Map!$R$2:$S$14,2,FALSE),""))</f>
        <v/>
      </c>
      <c r="G800" t="str">
        <f t="shared" si="123"/>
        <v/>
      </c>
      <c r="H800" t="str">
        <f t="shared" si="124"/>
        <v/>
      </c>
      <c r="I800" t="str">
        <f>IF(A800="","",IFERROR(VLOOKUP(LEFT(A800,1),Map!$D$2:$E$20,2,FALSE),""))</f>
        <v/>
      </c>
      <c r="J800" t="str">
        <f>IF(OR(H800="",NOT(OR(LEFT(H800,1)="G",LEFT(H800,1)="R"))),"",IFERROR(VLOOKUP(MID(H800,2,1),Map!$J$2:$M$10,2,FALSE),""))</f>
        <v/>
      </c>
      <c r="K800" t="str">
        <f t="shared" si="125"/>
        <v/>
      </c>
      <c r="L800" t="str">
        <f t="shared" si="126"/>
        <v/>
      </c>
      <c r="M800" t="str">
        <f t="shared" si="127"/>
        <v/>
      </c>
      <c r="N800" t="str">
        <f t="shared" si="128"/>
        <v/>
      </c>
      <c r="O800" t="str">
        <f t="shared" si="129"/>
        <v/>
      </c>
      <c r="P800" t="str">
        <f>IF(OR(H800="",NOT(OR(LEFT(H800,1)="G",LEFT(H800,1)="R"))),"",IFERROR(VLOOKUP(MID(H800,3,1),Map!$G$2:$H$10,2,FALSE),""))</f>
        <v/>
      </c>
      <c r="Q800" t="str">
        <f>IF(A800="","",IFERROR(VLOOKUP(MID(A800,4,1),Map!$O$2:$P$10,2,FALSE),""))</f>
        <v/>
      </c>
    </row>
    <row r="801" spans="2:17" x14ac:dyDescent="0.25">
      <c r="B801" t="str">
        <f t="shared" si="120"/>
        <v/>
      </c>
      <c r="C801" t="str">
        <f t="shared" si="121"/>
        <v>**</v>
      </c>
      <c r="D801" t="str">
        <f t="shared" si="122"/>
        <v/>
      </c>
      <c r="E801" t="str">
        <f>IFERROR(VLOOKUP(MID(A801,7,2),Map!$A$2:$B$20,2,FALSE),"")</f>
        <v/>
      </c>
      <c r="F801" t="str">
        <f>IF(A801="","",IFERROR(VLOOKUP(MID(A801,9,2),Map!$R$2:$S$14,2,FALSE),""))</f>
        <v/>
      </c>
      <c r="G801" t="str">
        <f t="shared" si="123"/>
        <v/>
      </c>
      <c r="H801" t="str">
        <f t="shared" si="124"/>
        <v/>
      </c>
      <c r="I801" t="str">
        <f>IF(A801="","",IFERROR(VLOOKUP(LEFT(A801,1),Map!$D$2:$E$20,2,FALSE),""))</f>
        <v/>
      </c>
      <c r="J801" t="str">
        <f>IF(OR(H801="",NOT(OR(LEFT(H801,1)="G",LEFT(H801,1)="R"))),"",IFERROR(VLOOKUP(MID(H801,2,1),Map!$J$2:$M$10,2,FALSE),""))</f>
        <v/>
      </c>
      <c r="K801" t="str">
        <f t="shared" si="125"/>
        <v/>
      </c>
      <c r="L801" t="str">
        <f t="shared" si="126"/>
        <v/>
      </c>
      <c r="M801" t="str">
        <f t="shared" si="127"/>
        <v/>
      </c>
      <c r="N801" t="str">
        <f t="shared" si="128"/>
        <v/>
      </c>
      <c r="O801" t="str">
        <f t="shared" si="129"/>
        <v/>
      </c>
      <c r="P801" t="str">
        <f>IF(OR(H801="",NOT(OR(LEFT(H801,1)="G",LEFT(H801,1)="R"))),"",IFERROR(VLOOKUP(MID(H801,3,1),Map!$G$2:$H$10,2,FALSE),""))</f>
        <v/>
      </c>
      <c r="Q801" t="str">
        <f>IF(A801="","",IFERROR(VLOOKUP(MID(A801,4,1),Map!$O$2:$P$10,2,FALSE),""))</f>
        <v/>
      </c>
    </row>
    <row r="802" spans="2:17" x14ac:dyDescent="0.25">
      <c r="B802" t="str">
        <f t="shared" si="120"/>
        <v/>
      </c>
      <c r="C802" t="str">
        <f t="shared" si="121"/>
        <v>**</v>
      </c>
      <c r="D802" t="str">
        <f t="shared" si="122"/>
        <v/>
      </c>
      <c r="E802" t="str">
        <f>IFERROR(VLOOKUP(MID(A802,7,2),Map!$A$2:$B$20,2,FALSE),"")</f>
        <v/>
      </c>
      <c r="F802" t="str">
        <f>IF(A802="","",IFERROR(VLOOKUP(MID(A802,9,2),Map!$R$2:$S$14,2,FALSE),""))</f>
        <v/>
      </c>
      <c r="G802" t="str">
        <f t="shared" si="123"/>
        <v/>
      </c>
      <c r="H802" t="str">
        <f t="shared" si="124"/>
        <v/>
      </c>
      <c r="I802" t="str">
        <f>IF(A802="","",IFERROR(VLOOKUP(LEFT(A802,1),Map!$D$2:$E$20,2,FALSE),""))</f>
        <v/>
      </c>
      <c r="J802" t="str">
        <f>IF(OR(H802="",NOT(OR(LEFT(H802,1)="G",LEFT(H802,1)="R"))),"",IFERROR(VLOOKUP(MID(H802,2,1),Map!$J$2:$M$10,2,FALSE),""))</f>
        <v/>
      </c>
      <c r="K802" t="str">
        <f t="shared" si="125"/>
        <v/>
      </c>
      <c r="L802" t="str">
        <f t="shared" si="126"/>
        <v/>
      </c>
      <c r="M802" t="str">
        <f t="shared" si="127"/>
        <v/>
      </c>
      <c r="N802" t="str">
        <f t="shared" si="128"/>
        <v/>
      </c>
      <c r="O802" t="str">
        <f t="shared" si="129"/>
        <v/>
      </c>
      <c r="P802" t="str">
        <f>IF(OR(H802="",NOT(OR(LEFT(H802,1)="G",LEFT(H802,1)="R"))),"",IFERROR(VLOOKUP(MID(H802,3,1),Map!$G$2:$H$10,2,FALSE),""))</f>
        <v/>
      </c>
      <c r="Q802" t="str">
        <f>IF(A802="","",IFERROR(VLOOKUP(MID(A802,4,1),Map!$O$2:$P$10,2,FALSE),""))</f>
        <v/>
      </c>
    </row>
    <row r="803" spans="2:17" x14ac:dyDescent="0.25">
      <c r="B803" t="str">
        <f t="shared" si="120"/>
        <v/>
      </c>
      <c r="C803" t="str">
        <f t="shared" si="121"/>
        <v>**</v>
      </c>
      <c r="D803" t="str">
        <f t="shared" si="122"/>
        <v/>
      </c>
      <c r="E803" t="str">
        <f>IFERROR(VLOOKUP(MID(A803,7,2),Map!$A$2:$B$20,2,FALSE),"")</f>
        <v/>
      </c>
      <c r="F803" t="str">
        <f>IF(A803="","",IFERROR(VLOOKUP(MID(A803,9,2),Map!$R$2:$S$14,2,FALSE),""))</f>
        <v/>
      </c>
      <c r="G803" t="str">
        <f t="shared" si="123"/>
        <v/>
      </c>
      <c r="H803" t="str">
        <f t="shared" si="124"/>
        <v/>
      </c>
      <c r="I803" t="str">
        <f>IF(A803="","",IFERROR(VLOOKUP(LEFT(A803,1),Map!$D$2:$E$20,2,FALSE),""))</f>
        <v/>
      </c>
      <c r="J803" t="str">
        <f>IF(OR(H803="",NOT(OR(LEFT(H803,1)="G",LEFT(H803,1)="R"))),"",IFERROR(VLOOKUP(MID(H803,2,1),Map!$J$2:$M$10,2,FALSE),""))</f>
        <v/>
      </c>
      <c r="K803" t="str">
        <f t="shared" si="125"/>
        <v/>
      </c>
      <c r="L803" t="str">
        <f t="shared" si="126"/>
        <v/>
      </c>
      <c r="M803" t="str">
        <f t="shared" si="127"/>
        <v/>
      </c>
      <c r="N803" t="str">
        <f t="shared" si="128"/>
        <v/>
      </c>
      <c r="O803" t="str">
        <f t="shared" si="129"/>
        <v/>
      </c>
      <c r="P803" t="str">
        <f>IF(OR(H803="",NOT(OR(LEFT(H803,1)="G",LEFT(H803,1)="R"))),"",IFERROR(VLOOKUP(MID(H803,3,1),Map!$G$2:$H$10,2,FALSE),""))</f>
        <v/>
      </c>
      <c r="Q803" t="str">
        <f>IF(A803="","",IFERROR(VLOOKUP(MID(A803,4,1),Map!$O$2:$P$10,2,FALSE),""))</f>
        <v/>
      </c>
    </row>
    <row r="804" spans="2:17" x14ac:dyDescent="0.25">
      <c r="B804" t="str">
        <f t="shared" si="120"/>
        <v/>
      </c>
      <c r="C804" t="str">
        <f t="shared" si="121"/>
        <v>**</v>
      </c>
      <c r="D804" t="str">
        <f t="shared" si="122"/>
        <v/>
      </c>
      <c r="E804" t="str">
        <f>IFERROR(VLOOKUP(MID(A804,7,2),Map!$A$2:$B$20,2,FALSE),"")</f>
        <v/>
      </c>
      <c r="F804" t="str">
        <f>IF(A804="","",IFERROR(VLOOKUP(MID(A804,9,2),Map!$R$2:$S$14,2,FALSE),""))</f>
        <v/>
      </c>
      <c r="G804" t="str">
        <f t="shared" si="123"/>
        <v/>
      </c>
      <c r="H804" t="str">
        <f t="shared" si="124"/>
        <v/>
      </c>
      <c r="I804" t="str">
        <f>IF(A804="","",IFERROR(VLOOKUP(LEFT(A804,1),Map!$D$2:$E$20,2,FALSE),""))</f>
        <v/>
      </c>
      <c r="J804" t="str">
        <f>IF(OR(H804="",NOT(OR(LEFT(H804,1)="G",LEFT(H804,1)="R"))),"",IFERROR(VLOOKUP(MID(H804,2,1),Map!$J$2:$M$10,2,FALSE),""))</f>
        <v/>
      </c>
      <c r="K804" t="str">
        <f t="shared" si="125"/>
        <v/>
      </c>
      <c r="L804" t="str">
        <f t="shared" si="126"/>
        <v/>
      </c>
      <c r="M804" t="str">
        <f t="shared" si="127"/>
        <v/>
      </c>
      <c r="N804" t="str">
        <f t="shared" si="128"/>
        <v/>
      </c>
      <c r="O804" t="str">
        <f t="shared" si="129"/>
        <v/>
      </c>
      <c r="P804" t="str">
        <f>IF(OR(H804="",NOT(OR(LEFT(H804,1)="G",LEFT(H804,1)="R"))),"",IFERROR(VLOOKUP(MID(H804,3,1),Map!$G$2:$H$10,2,FALSE),""))</f>
        <v/>
      </c>
      <c r="Q804" t="str">
        <f>IF(A804="","",IFERROR(VLOOKUP(MID(A804,4,1),Map!$O$2:$P$10,2,FALSE),""))</f>
        <v/>
      </c>
    </row>
    <row r="805" spans="2:17" x14ac:dyDescent="0.25">
      <c r="B805" t="str">
        <f t="shared" si="120"/>
        <v/>
      </c>
      <c r="C805" t="str">
        <f t="shared" si="121"/>
        <v>**</v>
      </c>
      <c r="D805" t="str">
        <f t="shared" si="122"/>
        <v/>
      </c>
      <c r="E805" t="str">
        <f>IFERROR(VLOOKUP(MID(A805,7,2),Map!$A$2:$B$20,2,FALSE),"")</f>
        <v/>
      </c>
      <c r="F805" t="str">
        <f>IF(A805="","",IFERROR(VLOOKUP(MID(A805,9,2),Map!$R$2:$S$14,2,FALSE),""))</f>
        <v/>
      </c>
      <c r="G805" t="str">
        <f t="shared" si="123"/>
        <v/>
      </c>
      <c r="H805" t="str">
        <f t="shared" si="124"/>
        <v/>
      </c>
      <c r="I805" t="str">
        <f>IF(A805="","",IFERROR(VLOOKUP(LEFT(A805,1),Map!$D$2:$E$20,2,FALSE),""))</f>
        <v/>
      </c>
      <c r="J805" t="str">
        <f>IF(OR(H805="",NOT(OR(LEFT(H805,1)="G",LEFT(H805,1)="R"))),"",IFERROR(VLOOKUP(MID(H805,2,1),Map!$J$2:$M$10,2,FALSE),""))</f>
        <v/>
      </c>
      <c r="K805" t="str">
        <f t="shared" si="125"/>
        <v/>
      </c>
      <c r="L805" t="str">
        <f t="shared" si="126"/>
        <v/>
      </c>
      <c r="M805" t="str">
        <f t="shared" si="127"/>
        <v/>
      </c>
      <c r="N805" t="str">
        <f t="shared" si="128"/>
        <v/>
      </c>
      <c r="O805" t="str">
        <f t="shared" si="129"/>
        <v/>
      </c>
      <c r="P805" t="str">
        <f>IF(OR(H805="",NOT(OR(LEFT(H805,1)="G",LEFT(H805,1)="R"))),"",IFERROR(VLOOKUP(MID(H805,3,1),Map!$G$2:$H$10,2,FALSE),""))</f>
        <v/>
      </c>
      <c r="Q805" t="str">
        <f>IF(A805="","",IFERROR(VLOOKUP(MID(A805,4,1),Map!$O$2:$P$10,2,FALSE),""))</f>
        <v/>
      </c>
    </row>
    <row r="806" spans="2:17" x14ac:dyDescent="0.25">
      <c r="B806" t="str">
        <f t="shared" si="120"/>
        <v/>
      </c>
      <c r="C806" t="str">
        <f t="shared" si="121"/>
        <v>**</v>
      </c>
      <c r="D806" t="str">
        <f t="shared" si="122"/>
        <v/>
      </c>
      <c r="E806" t="str">
        <f>IFERROR(VLOOKUP(MID(A806,7,2),Map!$A$2:$B$20,2,FALSE),"")</f>
        <v/>
      </c>
      <c r="F806" t="str">
        <f>IF(A806="","",IFERROR(VLOOKUP(MID(A806,9,2),Map!$R$2:$S$14,2,FALSE),""))</f>
        <v/>
      </c>
      <c r="G806" t="str">
        <f t="shared" si="123"/>
        <v/>
      </c>
      <c r="H806" t="str">
        <f t="shared" si="124"/>
        <v/>
      </c>
      <c r="I806" t="str">
        <f>IF(A806="","",IFERROR(VLOOKUP(LEFT(A806,1),Map!$D$2:$E$20,2,FALSE),""))</f>
        <v/>
      </c>
      <c r="J806" t="str">
        <f>IF(OR(H806="",NOT(OR(LEFT(H806,1)="G",LEFT(H806,1)="R"))),"",IFERROR(VLOOKUP(MID(H806,2,1),Map!$J$2:$M$10,2,FALSE),""))</f>
        <v/>
      </c>
      <c r="K806" t="str">
        <f t="shared" si="125"/>
        <v/>
      </c>
      <c r="L806" t="str">
        <f t="shared" si="126"/>
        <v/>
      </c>
      <c r="M806" t="str">
        <f t="shared" si="127"/>
        <v/>
      </c>
      <c r="N806" t="str">
        <f t="shared" si="128"/>
        <v/>
      </c>
      <c r="O806" t="str">
        <f t="shared" si="129"/>
        <v/>
      </c>
      <c r="P806" t="str">
        <f>IF(OR(H806="",NOT(OR(LEFT(H806,1)="G",LEFT(H806,1)="R"))),"",IFERROR(VLOOKUP(MID(H806,3,1),Map!$G$2:$H$10,2,FALSE),""))</f>
        <v/>
      </c>
      <c r="Q806" t="str">
        <f>IF(A806="","",IFERROR(VLOOKUP(MID(A806,4,1),Map!$O$2:$P$10,2,FALSE),""))</f>
        <v/>
      </c>
    </row>
    <row r="807" spans="2:17" x14ac:dyDescent="0.25">
      <c r="B807" t="str">
        <f t="shared" si="120"/>
        <v/>
      </c>
      <c r="C807" t="str">
        <f t="shared" si="121"/>
        <v>**</v>
      </c>
      <c r="D807" t="str">
        <f t="shared" si="122"/>
        <v/>
      </c>
      <c r="E807" t="str">
        <f>IFERROR(VLOOKUP(MID(A807,7,2),Map!$A$2:$B$20,2,FALSE),"")</f>
        <v/>
      </c>
      <c r="F807" t="str">
        <f>IF(A807="","",IFERROR(VLOOKUP(MID(A807,9,2),Map!$R$2:$S$14,2,FALSE),""))</f>
        <v/>
      </c>
      <c r="G807" t="str">
        <f t="shared" si="123"/>
        <v/>
      </c>
      <c r="H807" t="str">
        <f t="shared" si="124"/>
        <v/>
      </c>
      <c r="I807" t="str">
        <f>IF(A807="","",IFERROR(VLOOKUP(LEFT(A807,1),Map!$D$2:$E$20,2,FALSE),""))</f>
        <v/>
      </c>
      <c r="J807" t="str">
        <f>IF(OR(H807="",NOT(OR(LEFT(H807,1)="G",LEFT(H807,1)="R"))),"",IFERROR(VLOOKUP(MID(H807,2,1),Map!$J$2:$M$10,2,FALSE),""))</f>
        <v/>
      </c>
      <c r="K807" t="str">
        <f t="shared" si="125"/>
        <v/>
      </c>
      <c r="L807" t="str">
        <f t="shared" si="126"/>
        <v/>
      </c>
      <c r="M807" t="str">
        <f t="shared" si="127"/>
        <v/>
      </c>
      <c r="N807" t="str">
        <f t="shared" si="128"/>
        <v/>
      </c>
      <c r="O807" t="str">
        <f t="shared" si="129"/>
        <v/>
      </c>
      <c r="P807" t="str">
        <f>IF(OR(H807="",NOT(OR(LEFT(H807,1)="G",LEFT(H807,1)="R"))),"",IFERROR(VLOOKUP(MID(H807,3,1),Map!$G$2:$H$10,2,FALSE),""))</f>
        <v/>
      </c>
      <c r="Q807" t="str">
        <f>IF(A807="","",IFERROR(VLOOKUP(MID(A807,4,1),Map!$O$2:$P$10,2,FALSE),""))</f>
        <v/>
      </c>
    </row>
    <row r="808" spans="2:17" x14ac:dyDescent="0.25">
      <c r="B808" t="str">
        <f t="shared" si="120"/>
        <v/>
      </c>
      <c r="C808" t="str">
        <f t="shared" si="121"/>
        <v>**</v>
      </c>
      <c r="D808" t="str">
        <f t="shared" si="122"/>
        <v/>
      </c>
      <c r="E808" t="str">
        <f>IFERROR(VLOOKUP(MID(A808,7,2),Map!$A$2:$B$20,2,FALSE),"")</f>
        <v/>
      </c>
      <c r="F808" t="str">
        <f>IF(A808="","",IFERROR(VLOOKUP(MID(A808,9,2),Map!$R$2:$S$14,2,FALSE),""))</f>
        <v/>
      </c>
      <c r="G808" t="str">
        <f t="shared" si="123"/>
        <v/>
      </c>
      <c r="H808" t="str">
        <f t="shared" si="124"/>
        <v/>
      </c>
      <c r="I808" t="str">
        <f>IF(A808="","",IFERROR(VLOOKUP(LEFT(A808,1),Map!$D$2:$E$20,2,FALSE),""))</f>
        <v/>
      </c>
      <c r="J808" t="str">
        <f>IF(OR(H808="",NOT(OR(LEFT(H808,1)="G",LEFT(H808,1)="R"))),"",IFERROR(VLOOKUP(MID(H808,2,1),Map!$J$2:$M$10,2,FALSE),""))</f>
        <v/>
      </c>
      <c r="K808" t="str">
        <f t="shared" si="125"/>
        <v/>
      </c>
      <c r="L808" t="str">
        <f t="shared" si="126"/>
        <v/>
      </c>
      <c r="M808" t="str">
        <f t="shared" si="127"/>
        <v/>
      </c>
      <c r="N808" t="str">
        <f t="shared" si="128"/>
        <v/>
      </c>
      <c r="O808" t="str">
        <f t="shared" si="129"/>
        <v/>
      </c>
      <c r="P808" t="str">
        <f>IF(OR(H808="",NOT(OR(LEFT(H808,1)="G",LEFT(H808,1)="R"))),"",IFERROR(VLOOKUP(MID(H808,3,1),Map!$G$2:$H$10,2,FALSE),""))</f>
        <v/>
      </c>
      <c r="Q808" t="str">
        <f>IF(A808="","",IFERROR(VLOOKUP(MID(A808,4,1),Map!$O$2:$P$10,2,FALSE),""))</f>
        <v/>
      </c>
    </row>
    <row r="809" spans="2:17" x14ac:dyDescent="0.25">
      <c r="B809" t="str">
        <f t="shared" si="120"/>
        <v/>
      </c>
      <c r="C809" t="str">
        <f t="shared" si="121"/>
        <v>**</v>
      </c>
      <c r="D809" t="str">
        <f t="shared" si="122"/>
        <v/>
      </c>
      <c r="E809" t="str">
        <f>IFERROR(VLOOKUP(MID(A809,7,2),Map!$A$2:$B$20,2,FALSE),"")</f>
        <v/>
      </c>
      <c r="F809" t="str">
        <f>IF(A809="","",IFERROR(VLOOKUP(MID(A809,9,2),Map!$R$2:$S$14,2,FALSE),""))</f>
        <v/>
      </c>
      <c r="G809" t="str">
        <f t="shared" si="123"/>
        <v/>
      </c>
      <c r="H809" t="str">
        <f t="shared" si="124"/>
        <v/>
      </c>
      <c r="I809" t="str">
        <f>IF(A809="","",IFERROR(VLOOKUP(LEFT(A809,1),Map!$D$2:$E$20,2,FALSE),""))</f>
        <v/>
      </c>
      <c r="J809" t="str">
        <f>IF(OR(H809="",NOT(OR(LEFT(H809,1)="G",LEFT(H809,1)="R"))),"",IFERROR(VLOOKUP(MID(H809,2,1),Map!$J$2:$M$10,2,FALSE),""))</f>
        <v/>
      </c>
      <c r="K809" t="str">
        <f t="shared" si="125"/>
        <v/>
      </c>
      <c r="L809" t="str">
        <f t="shared" si="126"/>
        <v/>
      </c>
      <c r="M809" t="str">
        <f t="shared" si="127"/>
        <v/>
      </c>
      <c r="N809" t="str">
        <f t="shared" si="128"/>
        <v/>
      </c>
      <c r="O809" t="str">
        <f t="shared" si="129"/>
        <v/>
      </c>
      <c r="P809" t="str">
        <f>IF(OR(H809="",NOT(OR(LEFT(H809,1)="G",LEFT(H809,1)="R"))),"",IFERROR(VLOOKUP(MID(H809,3,1),Map!$G$2:$H$10,2,FALSE),""))</f>
        <v/>
      </c>
      <c r="Q809" t="str">
        <f>IF(A809="","",IFERROR(VLOOKUP(MID(A809,4,1),Map!$O$2:$P$10,2,FALSE),""))</f>
        <v/>
      </c>
    </row>
    <row r="810" spans="2:17" x14ac:dyDescent="0.25">
      <c r="B810" t="str">
        <f t="shared" si="120"/>
        <v/>
      </c>
      <c r="C810" t="str">
        <f t="shared" si="121"/>
        <v>**</v>
      </c>
      <c r="D810" t="str">
        <f t="shared" si="122"/>
        <v/>
      </c>
      <c r="E810" t="str">
        <f>IFERROR(VLOOKUP(MID(A810,7,2),Map!$A$2:$B$20,2,FALSE),"")</f>
        <v/>
      </c>
      <c r="F810" t="str">
        <f>IF(A810="","",IFERROR(VLOOKUP(MID(A810,9,2),Map!$R$2:$S$14,2,FALSE),""))</f>
        <v/>
      </c>
      <c r="G810" t="str">
        <f t="shared" si="123"/>
        <v/>
      </c>
      <c r="H810" t="str">
        <f t="shared" si="124"/>
        <v/>
      </c>
      <c r="I810" t="str">
        <f>IF(A810="","",IFERROR(VLOOKUP(LEFT(A810,1),Map!$D$2:$E$20,2,FALSE),""))</f>
        <v/>
      </c>
      <c r="J810" t="str">
        <f>IF(OR(H810="",NOT(OR(LEFT(H810,1)="G",LEFT(H810,1)="R"))),"",IFERROR(VLOOKUP(MID(H810,2,1),Map!$J$2:$M$10,2,FALSE),""))</f>
        <v/>
      </c>
      <c r="K810" t="str">
        <f t="shared" si="125"/>
        <v/>
      </c>
      <c r="L810" t="str">
        <f t="shared" si="126"/>
        <v/>
      </c>
      <c r="M810" t="str">
        <f t="shared" si="127"/>
        <v/>
      </c>
      <c r="N810" t="str">
        <f t="shared" si="128"/>
        <v/>
      </c>
      <c r="O810" t="str">
        <f t="shared" si="129"/>
        <v/>
      </c>
      <c r="P810" t="str">
        <f>IF(OR(H810="",NOT(OR(LEFT(H810,1)="G",LEFT(H810,1)="R"))),"",IFERROR(VLOOKUP(MID(H810,3,1),Map!$G$2:$H$10,2,FALSE),""))</f>
        <v/>
      </c>
      <c r="Q810" t="str">
        <f>IF(A810="","",IFERROR(VLOOKUP(MID(A810,4,1),Map!$O$2:$P$10,2,FALSE),""))</f>
        <v/>
      </c>
    </row>
    <row r="811" spans="2:17" x14ac:dyDescent="0.25">
      <c r="B811" t="str">
        <f t="shared" si="120"/>
        <v/>
      </c>
      <c r="C811" t="str">
        <f t="shared" si="121"/>
        <v>**</v>
      </c>
      <c r="D811" t="str">
        <f t="shared" si="122"/>
        <v/>
      </c>
      <c r="E811" t="str">
        <f>IFERROR(VLOOKUP(MID(A811,7,2),Map!$A$2:$B$20,2,FALSE),"")</f>
        <v/>
      </c>
      <c r="F811" t="str">
        <f>IF(A811="","",IFERROR(VLOOKUP(MID(A811,9,2),Map!$R$2:$S$14,2,FALSE),""))</f>
        <v/>
      </c>
      <c r="G811" t="str">
        <f t="shared" si="123"/>
        <v/>
      </c>
      <c r="H811" t="str">
        <f t="shared" si="124"/>
        <v/>
      </c>
      <c r="I811" t="str">
        <f>IF(A811="","",IFERROR(VLOOKUP(LEFT(A811,1),Map!$D$2:$E$20,2,FALSE),""))</f>
        <v/>
      </c>
      <c r="J811" t="str">
        <f>IF(OR(H811="",NOT(OR(LEFT(H811,1)="G",LEFT(H811,1)="R"))),"",IFERROR(VLOOKUP(MID(H811,2,1),Map!$J$2:$M$10,2,FALSE),""))</f>
        <v/>
      </c>
      <c r="K811" t="str">
        <f t="shared" si="125"/>
        <v/>
      </c>
      <c r="L811" t="str">
        <f t="shared" si="126"/>
        <v/>
      </c>
      <c r="M811" t="str">
        <f t="shared" si="127"/>
        <v/>
      </c>
      <c r="N811" t="str">
        <f t="shared" si="128"/>
        <v/>
      </c>
      <c r="O811" t="str">
        <f t="shared" si="129"/>
        <v/>
      </c>
      <c r="P811" t="str">
        <f>IF(OR(H811="",NOT(OR(LEFT(H811,1)="G",LEFT(H811,1)="R"))),"",IFERROR(VLOOKUP(MID(H811,3,1),Map!$G$2:$H$10,2,FALSE),""))</f>
        <v/>
      </c>
      <c r="Q811" t="str">
        <f>IF(A811="","",IFERROR(VLOOKUP(MID(A811,4,1),Map!$O$2:$P$10,2,FALSE),""))</f>
        <v/>
      </c>
    </row>
    <row r="812" spans="2:17" x14ac:dyDescent="0.25">
      <c r="B812" t="str">
        <f t="shared" si="120"/>
        <v/>
      </c>
      <c r="C812" t="str">
        <f t="shared" si="121"/>
        <v>**</v>
      </c>
      <c r="D812" t="str">
        <f t="shared" si="122"/>
        <v/>
      </c>
      <c r="E812" t="str">
        <f>IFERROR(VLOOKUP(MID(A812,7,2),Map!$A$2:$B$20,2,FALSE),"")</f>
        <v/>
      </c>
      <c r="F812" t="str">
        <f>IF(A812="","",IFERROR(VLOOKUP(MID(A812,9,2),Map!$R$2:$S$14,2,FALSE),""))</f>
        <v/>
      </c>
      <c r="G812" t="str">
        <f t="shared" si="123"/>
        <v/>
      </c>
      <c r="H812" t="str">
        <f t="shared" si="124"/>
        <v/>
      </c>
      <c r="I812" t="str">
        <f>IF(A812="","",IFERROR(VLOOKUP(LEFT(A812,1),Map!$D$2:$E$20,2,FALSE),""))</f>
        <v/>
      </c>
      <c r="J812" t="str">
        <f>IF(OR(H812="",NOT(OR(LEFT(H812,1)="G",LEFT(H812,1)="R"))),"",IFERROR(VLOOKUP(MID(H812,2,1),Map!$J$2:$M$10,2,FALSE),""))</f>
        <v/>
      </c>
      <c r="K812" t="str">
        <f t="shared" si="125"/>
        <v/>
      </c>
      <c r="L812" t="str">
        <f t="shared" si="126"/>
        <v/>
      </c>
      <c r="M812" t="str">
        <f t="shared" si="127"/>
        <v/>
      </c>
      <c r="N812" t="str">
        <f t="shared" si="128"/>
        <v/>
      </c>
      <c r="O812" t="str">
        <f t="shared" si="129"/>
        <v/>
      </c>
      <c r="P812" t="str">
        <f>IF(OR(H812="",NOT(OR(LEFT(H812,1)="G",LEFT(H812,1)="R"))),"",IFERROR(VLOOKUP(MID(H812,3,1),Map!$G$2:$H$10,2,FALSE),""))</f>
        <v/>
      </c>
      <c r="Q812" t="str">
        <f>IF(A812="","",IFERROR(VLOOKUP(MID(A812,4,1),Map!$O$2:$P$10,2,FALSE),""))</f>
        <v/>
      </c>
    </row>
    <row r="813" spans="2:17" x14ac:dyDescent="0.25">
      <c r="B813" t="str">
        <f t="shared" si="120"/>
        <v/>
      </c>
      <c r="C813" t="str">
        <f t="shared" si="121"/>
        <v>**</v>
      </c>
      <c r="D813" t="str">
        <f t="shared" si="122"/>
        <v/>
      </c>
      <c r="E813" t="str">
        <f>IFERROR(VLOOKUP(MID(A813,7,2),Map!$A$2:$B$20,2,FALSE),"")</f>
        <v/>
      </c>
      <c r="F813" t="str">
        <f>IF(A813="","",IFERROR(VLOOKUP(MID(A813,9,2),Map!$R$2:$S$14,2,FALSE),""))</f>
        <v/>
      </c>
      <c r="G813" t="str">
        <f t="shared" si="123"/>
        <v/>
      </c>
      <c r="H813" t="str">
        <f t="shared" si="124"/>
        <v/>
      </c>
      <c r="I813" t="str">
        <f>IF(A813="","",IFERROR(VLOOKUP(LEFT(A813,1),Map!$D$2:$E$20,2,FALSE),""))</f>
        <v/>
      </c>
      <c r="J813" t="str">
        <f>IF(OR(H813="",NOT(OR(LEFT(H813,1)="G",LEFT(H813,1)="R"))),"",IFERROR(VLOOKUP(MID(H813,2,1),Map!$J$2:$M$10,2,FALSE),""))</f>
        <v/>
      </c>
      <c r="K813" t="str">
        <f t="shared" si="125"/>
        <v/>
      </c>
      <c r="L813" t="str">
        <f t="shared" si="126"/>
        <v/>
      </c>
      <c r="M813" t="str">
        <f t="shared" si="127"/>
        <v/>
      </c>
      <c r="N813" t="str">
        <f t="shared" si="128"/>
        <v/>
      </c>
      <c r="O813" t="str">
        <f t="shared" si="129"/>
        <v/>
      </c>
      <c r="P813" t="str">
        <f>IF(OR(H813="",NOT(OR(LEFT(H813,1)="G",LEFT(H813,1)="R"))),"",IFERROR(VLOOKUP(MID(H813,3,1),Map!$G$2:$H$10,2,FALSE),""))</f>
        <v/>
      </c>
      <c r="Q813" t="str">
        <f>IF(A813="","",IFERROR(VLOOKUP(MID(A813,4,1),Map!$O$2:$P$10,2,FALSE),""))</f>
        <v/>
      </c>
    </row>
    <row r="814" spans="2:17" x14ac:dyDescent="0.25">
      <c r="B814" t="str">
        <f t="shared" si="120"/>
        <v/>
      </c>
      <c r="C814" t="str">
        <f t="shared" si="121"/>
        <v>**</v>
      </c>
      <c r="D814" t="str">
        <f t="shared" si="122"/>
        <v/>
      </c>
      <c r="E814" t="str">
        <f>IFERROR(VLOOKUP(MID(A814,7,2),Map!$A$2:$B$20,2,FALSE),"")</f>
        <v/>
      </c>
      <c r="F814" t="str">
        <f>IF(A814="","",IFERROR(VLOOKUP(MID(A814,9,2),Map!$R$2:$S$14,2,FALSE),""))</f>
        <v/>
      </c>
      <c r="G814" t="str">
        <f t="shared" si="123"/>
        <v/>
      </c>
      <c r="H814" t="str">
        <f t="shared" si="124"/>
        <v/>
      </c>
      <c r="I814" t="str">
        <f>IF(A814="","",IFERROR(VLOOKUP(LEFT(A814,1),Map!$D$2:$E$20,2,FALSE),""))</f>
        <v/>
      </c>
      <c r="J814" t="str">
        <f>IF(OR(H814="",NOT(OR(LEFT(H814,1)="G",LEFT(H814,1)="R"))),"",IFERROR(VLOOKUP(MID(H814,2,1),Map!$J$2:$M$10,2,FALSE),""))</f>
        <v/>
      </c>
      <c r="K814" t="str">
        <f t="shared" si="125"/>
        <v/>
      </c>
      <c r="L814" t="str">
        <f t="shared" si="126"/>
        <v/>
      </c>
      <c r="M814" t="str">
        <f t="shared" si="127"/>
        <v/>
      </c>
      <c r="N814" t="str">
        <f t="shared" si="128"/>
        <v/>
      </c>
      <c r="O814" t="str">
        <f t="shared" si="129"/>
        <v/>
      </c>
      <c r="P814" t="str">
        <f>IF(OR(H814="",NOT(OR(LEFT(H814,1)="G",LEFT(H814,1)="R"))),"",IFERROR(VLOOKUP(MID(H814,3,1),Map!$G$2:$H$10,2,FALSE),""))</f>
        <v/>
      </c>
      <c r="Q814" t="str">
        <f>IF(A814="","",IFERROR(VLOOKUP(MID(A814,4,1),Map!$O$2:$P$10,2,FALSE),""))</f>
        <v/>
      </c>
    </row>
    <row r="815" spans="2:17" x14ac:dyDescent="0.25">
      <c r="B815" t="str">
        <f t="shared" si="120"/>
        <v/>
      </c>
      <c r="C815" t="str">
        <f t="shared" si="121"/>
        <v>**</v>
      </c>
      <c r="D815" t="str">
        <f t="shared" si="122"/>
        <v/>
      </c>
      <c r="E815" t="str">
        <f>IFERROR(VLOOKUP(MID(A815,7,2),Map!$A$2:$B$20,2,FALSE),"")</f>
        <v/>
      </c>
      <c r="F815" t="str">
        <f>IF(A815="","",IFERROR(VLOOKUP(MID(A815,9,2),Map!$R$2:$S$14,2,FALSE),""))</f>
        <v/>
      </c>
      <c r="G815" t="str">
        <f t="shared" si="123"/>
        <v/>
      </c>
      <c r="H815" t="str">
        <f t="shared" si="124"/>
        <v/>
      </c>
      <c r="I815" t="str">
        <f>IF(A815="","",IFERROR(VLOOKUP(LEFT(A815,1),Map!$D$2:$E$20,2,FALSE),""))</f>
        <v/>
      </c>
      <c r="J815" t="str">
        <f>IF(OR(H815="",NOT(OR(LEFT(H815,1)="G",LEFT(H815,1)="R"))),"",IFERROR(VLOOKUP(MID(H815,2,1),Map!$J$2:$M$10,2,FALSE),""))</f>
        <v/>
      </c>
      <c r="K815" t="str">
        <f t="shared" si="125"/>
        <v/>
      </c>
      <c r="L815" t="str">
        <f t="shared" si="126"/>
        <v/>
      </c>
      <c r="M815" t="str">
        <f t="shared" si="127"/>
        <v/>
      </c>
      <c r="N815" t="str">
        <f t="shared" si="128"/>
        <v/>
      </c>
      <c r="O815" t="str">
        <f t="shared" si="129"/>
        <v/>
      </c>
      <c r="P815" t="str">
        <f>IF(OR(H815="",NOT(OR(LEFT(H815,1)="G",LEFT(H815,1)="R"))),"",IFERROR(VLOOKUP(MID(H815,3,1),Map!$G$2:$H$10,2,FALSE),""))</f>
        <v/>
      </c>
      <c r="Q815" t="str">
        <f>IF(A815="","",IFERROR(VLOOKUP(MID(A815,4,1),Map!$O$2:$P$10,2,FALSE),""))</f>
        <v/>
      </c>
    </row>
    <row r="816" spans="2:17" x14ac:dyDescent="0.25">
      <c r="B816" t="str">
        <f t="shared" si="120"/>
        <v/>
      </c>
      <c r="C816" t="str">
        <f t="shared" si="121"/>
        <v>**</v>
      </c>
      <c r="D816" t="str">
        <f t="shared" si="122"/>
        <v/>
      </c>
      <c r="E816" t="str">
        <f>IFERROR(VLOOKUP(MID(A816,7,2),Map!$A$2:$B$20,2,FALSE),"")</f>
        <v/>
      </c>
      <c r="F816" t="str">
        <f>IF(A816="","",IFERROR(VLOOKUP(MID(A816,9,2),Map!$R$2:$S$14,2,FALSE),""))</f>
        <v/>
      </c>
      <c r="G816" t="str">
        <f t="shared" si="123"/>
        <v/>
      </c>
      <c r="H816" t="str">
        <f t="shared" si="124"/>
        <v/>
      </c>
      <c r="I816" t="str">
        <f>IF(A816="","",IFERROR(VLOOKUP(LEFT(A816,1),Map!$D$2:$E$20,2,FALSE),""))</f>
        <v/>
      </c>
      <c r="J816" t="str">
        <f>IF(OR(H816="",NOT(OR(LEFT(H816,1)="G",LEFT(H816,1)="R"))),"",IFERROR(VLOOKUP(MID(H816,2,1),Map!$J$2:$M$10,2,FALSE),""))</f>
        <v/>
      </c>
      <c r="K816" t="str">
        <f t="shared" si="125"/>
        <v/>
      </c>
      <c r="L816" t="str">
        <f t="shared" si="126"/>
        <v/>
      </c>
      <c r="M816" t="str">
        <f t="shared" si="127"/>
        <v/>
      </c>
      <c r="N816" t="str">
        <f t="shared" si="128"/>
        <v/>
      </c>
      <c r="O816" t="str">
        <f t="shared" si="129"/>
        <v/>
      </c>
      <c r="P816" t="str">
        <f>IF(OR(H816="",NOT(OR(LEFT(H816,1)="G",LEFT(H816,1)="R"))),"",IFERROR(VLOOKUP(MID(H816,3,1),Map!$G$2:$H$10,2,FALSE),""))</f>
        <v/>
      </c>
      <c r="Q816" t="str">
        <f>IF(A816="","",IFERROR(VLOOKUP(MID(A816,4,1),Map!$O$2:$P$10,2,FALSE),""))</f>
        <v/>
      </c>
    </row>
    <row r="817" spans="2:17" x14ac:dyDescent="0.25">
      <c r="B817" t="str">
        <f t="shared" si="120"/>
        <v/>
      </c>
      <c r="C817" t="str">
        <f t="shared" si="121"/>
        <v>**</v>
      </c>
      <c r="D817" t="str">
        <f t="shared" si="122"/>
        <v/>
      </c>
      <c r="E817" t="str">
        <f>IFERROR(VLOOKUP(MID(A817,7,2),Map!$A$2:$B$20,2,FALSE),"")</f>
        <v/>
      </c>
      <c r="F817" t="str">
        <f>IF(A817="","",IFERROR(VLOOKUP(MID(A817,9,2),Map!$R$2:$S$14,2,FALSE),""))</f>
        <v/>
      </c>
      <c r="G817" t="str">
        <f t="shared" si="123"/>
        <v/>
      </c>
      <c r="H817" t="str">
        <f t="shared" si="124"/>
        <v/>
      </c>
      <c r="I817" t="str">
        <f>IF(A817="","",IFERROR(VLOOKUP(LEFT(A817,1),Map!$D$2:$E$20,2,FALSE),""))</f>
        <v/>
      </c>
      <c r="J817" t="str">
        <f>IF(OR(H817="",NOT(OR(LEFT(H817,1)="G",LEFT(H817,1)="R"))),"",IFERROR(VLOOKUP(MID(H817,2,1),Map!$J$2:$M$10,2,FALSE),""))</f>
        <v/>
      </c>
      <c r="K817" t="str">
        <f t="shared" si="125"/>
        <v/>
      </c>
      <c r="L817" t="str">
        <f t="shared" si="126"/>
        <v/>
      </c>
      <c r="M817" t="str">
        <f t="shared" si="127"/>
        <v/>
      </c>
      <c r="N817" t="str">
        <f t="shared" si="128"/>
        <v/>
      </c>
      <c r="O817" t="str">
        <f t="shared" si="129"/>
        <v/>
      </c>
      <c r="P817" t="str">
        <f>IF(OR(H817="",NOT(OR(LEFT(H817,1)="G",LEFT(H817,1)="R"))),"",IFERROR(VLOOKUP(MID(H817,3,1),Map!$G$2:$H$10,2,FALSE),""))</f>
        <v/>
      </c>
      <c r="Q817" t="str">
        <f>IF(A817="","",IFERROR(VLOOKUP(MID(A817,4,1),Map!$O$2:$P$10,2,FALSE),""))</f>
        <v/>
      </c>
    </row>
    <row r="818" spans="2:17" x14ac:dyDescent="0.25">
      <c r="B818" t="str">
        <f t="shared" si="120"/>
        <v/>
      </c>
      <c r="C818" t="str">
        <f t="shared" si="121"/>
        <v>**</v>
      </c>
      <c r="D818" t="str">
        <f t="shared" si="122"/>
        <v/>
      </c>
      <c r="E818" t="str">
        <f>IFERROR(VLOOKUP(MID(A818,7,2),Map!$A$2:$B$20,2,FALSE),"")</f>
        <v/>
      </c>
      <c r="F818" t="str">
        <f>IF(A818="","",IFERROR(VLOOKUP(MID(A818,9,2),Map!$R$2:$S$14,2,FALSE),""))</f>
        <v/>
      </c>
      <c r="G818" t="str">
        <f t="shared" si="123"/>
        <v/>
      </c>
      <c r="H818" t="str">
        <f t="shared" si="124"/>
        <v/>
      </c>
      <c r="I818" t="str">
        <f>IF(A818="","",IFERROR(VLOOKUP(LEFT(A818,1),Map!$D$2:$E$20,2,FALSE),""))</f>
        <v/>
      </c>
      <c r="J818" t="str">
        <f>IF(OR(H818="",NOT(OR(LEFT(H818,1)="G",LEFT(H818,1)="R"))),"",IFERROR(VLOOKUP(MID(H818,2,1),Map!$J$2:$M$10,2,FALSE),""))</f>
        <v/>
      </c>
      <c r="K818" t="str">
        <f t="shared" si="125"/>
        <v/>
      </c>
      <c r="L818" t="str">
        <f t="shared" si="126"/>
        <v/>
      </c>
      <c r="M818" t="str">
        <f t="shared" si="127"/>
        <v/>
      </c>
      <c r="N818" t="str">
        <f t="shared" si="128"/>
        <v/>
      </c>
      <c r="O818" t="str">
        <f t="shared" si="129"/>
        <v/>
      </c>
      <c r="P818" t="str">
        <f>IF(OR(H818="",NOT(OR(LEFT(H818,1)="G",LEFT(H818,1)="R"))),"",IFERROR(VLOOKUP(MID(H818,3,1),Map!$G$2:$H$10,2,FALSE),""))</f>
        <v/>
      </c>
      <c r="Q818" t="str">
        <f>IF(A818="","",IFERROR(VLOOKUP(MID(A818,4,1),Map!$O$2:$P$10,2,FALSE),""))</f>
        <v/>
      </c>
    </row>
    <row r="819" spans="2:17" x14ac:dyDescent="0.25">
      <c r="B819" t="str">
        <f t="shared" si="120"/>
        <v/>
      </c>
      <c r="C819" t="str">
        <f t="shared" si="121"/>
        <v>**</v>
      </c>
      <c r="D819" t="str">
        <f t="shared" si="122"/>
        <v/>
      </c>
      <c r="E819" t="str">
        <f>IFERROR(VLOOKUP(MID(A819,7,2),Map!$A$2:$B$20,2,FALSE),"")</f>
        <v/>
      </c>
      <c r="F819" t="str">
        <f>IF(A819="","",IFERROR(VLOOKUP(MID(A819,9,2),Map!$R$2:$S$14,2,FALSE),""))</f>
        <v/>
      </c>
      <c r="G819" t="str">
        <f t="shared" si="123"/>
        <v/>
      </c>
      <c r="H819" t="str">
        <f t="shared" si="124"/>
        <v/>
      </c>
      <c r="I819" t="str">
        <f>IF(A819="","",IFERROR(VLOOKUP(LEFT(A819,1),Map!$D$2:$E$20,2,FALSE),""))</f>
        <v/>
      </c>
      <c r="J819" t="str">
        <f>IF(OR(H819="",NOT(OR(LEFT(H819,1)="G",LEFT(H819,1)="R"))),"",IFERROR(VLOOKUP(MID(H819,2,1),Map!$J$2:$M$10,2,FALSE),""))</f>
        <v/>
      </c>
      <c r="K819" t="str">
        <f t="shared" si="125"/>
        <v/>
      </c>
      <c r="L819" t="str">
        <f t="shared" si="126"/>
        <v/>
      </c>
      <c r="M819" t="str">
        <f t="shared" si="127"/>
        <v/>
      </c>
      <c r="N819" t="str">
        <f t="shared" si="128"/>
        <v/>
      </c>
      <c r="O819" t="str">
        <f t="shared" si="129"/>
        <v/>
      </c>
      <c r="P819" t="str">
        <f>IF(OR(H819="",NOT(OR(LEFT(H819,1)="G",LEFT(H819,1)="R"))),"",IFERROR(VLOOKUP(MID(H819,3,1),Map!$G$2:$H$10,2,FALSE),""))</f>
        <v/>
      </c>
      <c r="Q819" t="str">
        <f>IF(A819="","",IFERROR(VLOOKUP(MID(A819,4,1),Map!$O$2:$P$10,2,FALSE),""))</f>
        <v/>
      </c>
    </row>
    <row r="820" spans="2:17" x14ac:dyDescent="0.25">
      <c r="B820" t="str">
        <f t="shared" si="120"/>
        <v/>
      </c>
      <c r="C820" t="str">
        <f t="shared" si="121"/>
        <v>**</v>
      </c>
      <c r="D820" t="str">
        <f t="shared" si="122"/>
        <v/>
      </c>
      <c r="E820" t="str">
        <f>IFERROR(VLOOKUP(MID(A820,7,2),Map!$A$2:$B$20,2,FALSE),"")</f>
        <v/>
      </c>
      <c r="F820" t="str">
        <f>IF(A820="","",IFERROR(VLOOKUP(MID(A820,9,2),Map!$R$2:$S$14,2,FALSE),""))</f>
        <v/>
      </c>
      <c r="G820" t="str">
        <f t="shared" si="123"/>
        <v/>
      </c>
      <c r="H820" t="str">
        <f t="shared" si="124"/>
        <v/>
      </c>
      <c r="I820" t="str">
        <f>IF(A820="","",IFERROR(VLOOKUP(LEFT(A820,1),Map!$D$2:$E$20,2,FALSE),""))</f>
        <v/>
      </c>
      <c r="J820" t="str">
        <f>IF(OR(H820="",NOT(OR(LEFT(H820,1)="G",LEFT(H820,1)="R"))),"",IFERROR(VLOOKUP(MID(H820,2,1),Map!$J$2:$M$10,2,FALSE),""))</f>
        <v/>
      </c>
      <c r="K820" t="str">
        <f t="shared" si="125"/>
        <v/>
      </c>
      <c r="L820" t="str">
        <f t="shared" si="126"/>
        <v/>
      </c>
      <c r="M820" t="str">
        <f t="shared" si="127"/>
        <v/>
      </c>
      <c r="N820" t="str">
        <f t="shared" si="128"/>
        <v/>
      </c>
      <c r="O820" t="str">
        <f t="shared" si="129"/>
        <v/>
      </c>
      <c r="P820" t="str">
        <f>IF(OR(H820="",NOT(OR(LEFT(H820,1)="G",LEFT(H820,1)="R"))),"",IFERROR(VLOOKUP(MID(H820,3,1),Map!$G$2:$H$10,2,FALSE),""))</f>
        <v/>
      </c>
      <c r="Q820" t="str">
        <f>IF(A820="","",IFERROR(VLOOKUP(MID(A820,4,1),Map!$O$2:$P$10,2,FALSE),""))</f>
        <v/>
      </c>
    </row>
    <row r="821" spans="2:17" x14ac:dyDescent="0.25">
      <c r="B821" t="str">
        <f t="shared" si="120"/>
        <v/>
      </c>
      <c r="C821" t="str">
        <f t="shared" si="121"/>
        <v>**</v>
      </c>
      <c r="D821" t="str">
        <f t="shared" si="122"/>
        <v/>
      </c>
      <c r="E821" t="str">
        <f>IFERROR(VLOOKUP(MID(A821,7,2),Map!$A$2:$B$20,2,FALSE),"")</f>
        <v/>
      </c>
      <c r="F821" t="str">
        <f>IF(A821="","",IFERROR(VLOOKUP(MID(A821,9,2),Map!$R$2:$S$14,2,FALSE),""))</f>
        <v/>
      </c>
      <c r="G821" t="str">
        <f t="shared" si="123"/>
        <v/>
      </c>
      <c r="H821" t="str">
        <f t="shared" si="124"/>
        <v/>
      </c>
      <c r="I821" t="str">
        <f>IF(A821="","",IFERROR(VLOOKUP(LEFT(A821,1),Map!$D$2:$E$20,2,FALSE),""))</f>
        <v/>
      </c>
      <c r="J821" t="str">
        <f>IF(OR(H821="",NOT(OR(LEFT(H821,1)="G",LEFT(H821,1)="R"))),"",IFERROR(VLOOKUP(MID(H821,2,1),Map!$J$2:$M$10,2,FALSE),""))</f>
        <v/>
      </c>
      <c r="K821" t="str">
        <f t="shared" si="125"/>
        <v/>
      </c>
      <c r="L821" t="str">
        <f t="shared" si="126"/>
        <v/>
      </c>
      <c r="M821" t="str">
        <f t="shared" si="127"/>
        <v/>
      </c>
      <c r="N821" t="str">
        <f t="shared" si="128"/>
        <v/>
      </c>
      <c r="O821" t="str">
        <f t="shared" si="129"/>
        <v/>
      </c>
      <c r="P821" t="str">
        <f>IF(OR(H821="",NOT(OR(LEFT(H821,1)="G",LEFT(H821,1)="R"))),"",IFERROR(VLOOKUP(MID(H821,3,1),Map!$G$2:$H$10,2,FALSE),""))</f>
        <v/>
      </c>
      <c r="Q821" t="str">
        <f>IF(A821="","",IFERROR(VLOOKUP(MID(A821,4,1),Map!$O$2:$P$10,2,FALSE),""))</f>
        <v/>
      </c>
    </row>
    <row r="822" spans="2:17" x14ac:dyDescent="0.25">
      <c r="B822" t="str">
        <f t="shared" si="120"/>
        <v/>
      </c>
      <c r="C822" t="str">
        <f t="shared" si="121"/>
        <v>**</v>
      </c>
      <c r="D822" t="str">
        <f t="shared" si="122"/>
        <v/>
      </c>
      <c r="E822" t="str">
        <f>IFERROR(VLOOKUP(MID(A822,7,2),Map!$A$2:$B$20,2,FALSE),"")</f>
        <v/>
      </c>
      <c r="F822" t="str">
        <f>IF(A822="","",IFERROR(VLOOKUP(MID(A822,9,2),Map!$R$2:$S$14,2,FALSE),""))</f>
        <v/>
      </c>
      <c r="G822" t="str">
        <f t="shared" si="123"/>
        <v/>
      </c>
      <c r="H822" t="str">
        <f t="shared" si="124"/>
        <v/>
      </c>
      <c r="I822" t="str">
        <f>IF(A822="","",IFERROR(VLOOKUP(LEFT(A822,1),Map!$D$2:$E$20,2,FALSE),""))</f>
        <v/>
      </c>
      <c r="J822" t="str">
        <f>IF(OR(H822="",NOT(OR(LEFT(H822,1)="G",LEFT(H822,1)="R"))),"",IFERROR(VLOOKUP(MID(H822,2,1),Map!$J$2:$M$10,2,FALSE),""))</f>
        <v/>
      </c>
      <c r="K822" t="str">
        <f t="shared" si="125"/>
        <v/>
      </c>
      <c r="L822" t="str">
        <f t="shared" si="126"/>
        <v/>
      </c>
      <c r="M822" t="str">
        <f t="shared" si="127"/>
        <v/>
      </c>
      <c r="N822" t="str">
        <f t="shared" si="128"/>
        <v/>
      </c>
      <c r="O822" t="str">
        <f t="shared" si="129"/>
        <v/>
      </c>
      <c r="P822" t="str">
        <f>IF(OR(H822="",NOT(OR(LEFT(H822,1)="G",LEFT(H822,1)="R"))),"",IFERROR(VLOOKUP(MID(H822,3,1),Map!$G$2:$H$10,2,FALSE),""))</f>
        <v/>
      </c>
      <c r="Q822" t="str">
        <f>IF(A822="","",IFERROR(VLOOKUP(MID(A822,4,1),Map!$O$2:$P$10,2,FALSE),""))</f>
        <v/>
      </c>
    </row>
    <row r="823" spans="2:17" x14ac:dyDescent="0.25">
      <c r="B823" t="str">
        <f t="shared" si="120"/>
        <v/>
      </c>
      <c r="C823" t="str">
        <f t="shared" si="121"/>
        <v>**</v>
      </c>
      <c r="D823" t="str">
        <f t="shared" si="122"/>
        <v/>
      </c>
      <c r="E823" t="str">
        <f>IFERROR(VLOOKUP(MID(A823,7,2),Map!$A$2:$B$20,2,FALSE),"")</f>
        <v/>
      </c>
      <c r="F823" t="str">
        <f>IF(A823="","",IFERROR(VLOOKUP(MID(A823,9,2),Map!$R$2:$S$14,2,FALSE),""))</f>
        <v/>
      </c>
      <c r="G823" t="str">
        <f t="shared" si="123"/>
        <v/>
      </c>
      <c r="H823" t="str">
        <f t="shared" si="124"/>
        <v/>
      </c>
      <c r="I823" t="str">
        <f>IF(A823="","",IFERROR(VLOOKUP(LEFT(A823,1),Map!$D$2:$E$20,2,FALSE),""))</f>
        <v/>
      </c>
      <c r="J823" t="str">
        <f>IF(OR(H823="",NOT(OR(LEFT(H823,1)="G",LEFT(H823,1)="R"))),"",IFERROR(VLOOKUP(MID(H823,2,1),Map!$J$2:$M$10,2,FALSE),""))</f>
        <v/>
      </c>
      <c r="K823" t="str">
        <f t="shared" si="125"/>
        <v/>
      </c>
      <c r="L823" t="str">
        <f t="shared" si="126"/>
        <v/>
      </c>
      <c r="M823" t="str">
        <f t="shared" si="127"/>
        <v/>
      </c>
      <c r="N823" t="str">
        <f t="shared" si="128"/>
        <v/>
      </c>
      <c r="O823" t="str">
        <f t="shared" si="129"/>
        <v/>
      </c>
      <c r="P823" t="str">
        <f>IF(OR(H823="",NOT(OR(LEFT(H823,1)="G",LEFT(H823,1)="R"))),"",IFERROR(VLOOKUP(MID(H823,3,1),Map!$G$2:$H$10,2,FALSE),""))</f>
        <v/>
      </c>
      <c r="Q823" t="str">
        <f>IF(A823="","",IFERROR(VLOOKUP(MID(A823,4,1),Map!$O$2:$P$10,2,FALSE),""))</f>
        <v/>
      </c>
    </row>
    <row r="824" spans="2:17" x14ac:dyDescent="0.25">
      <c r="B824" t="str">
        <f t="shared" si="120"/>
        <v/>
      </c>
      <c r="C824" t="str">
        <f t="shared" si="121"/>
        <v>**</v>
      </c>
      <c r="D824" t="str">
        <f t="shared" si="122"/>
        <v/>
      </c>
      <c r="E824" t="str">
        <f>IFERROR(VLOOKUP(MID(A824,7,2),Map!$A$2:$B$20,2,FALSE),"")</f>
        <v/>
      </c>
      <c r="F824" t="str">
        <f>IF(A824="","",IFERROR(VLOOKUP(MID(A824,9,2),Map!$R$2:$S$14,2,FALSE),""))</f>
        <v/>
      </c>
      <c r="G824" t="str">
        <f t="shared" si="123"/>
        <v/>
      </c>
      <c r="H824" t="str">
        <f t="shared" si="124"/>
        <v/>
      </c>
      <c r="I824" t="str">
        <f>IF(A824="","",IFERROR(VLOOKUP(LEFT(A824,1),Map!$D$2:$E$20,2,FALSE),""))</f>
        <v/>
      </c>
      <c r="J824" t="str">
        <f>IF(OR(H824="",NOT(OR(LEFT(H824,1)="G",LEFT(H824,1)="R"))),"",IFERROR(VLOOKUP(MID(H824,2,1),Map!$J$2:$M$10,2,FALSE),""))</f>
        <v/>
      </c>
      <c r="K824" t="str">
        <f t="shared" si="125"/>
        <v/>
      </c>
      <c r="L824" t="str">
        <f t="shared" si="126"/>
        <v/>
      </c>
      <c r="M824" t="str">
        <f t="shared" si="127"/>
        <v/>
      </c>
      <c r="N824" t="str">
        <f t="shared" si="128"/>
        <v/>
      </c>
      <c r="O824" t="str">
        <f t="shared" si="129"/>
        <v/>
      </c>
      <c r="P824" t="str">
        <f>IF(OR(H824="",NOT(OR(LEFT(H824,1)="G",LEFT(H824,1)="R"))),"",IFERROR(VLOOKUP(MID(H824,3,1),Map!$G$2:$H$10,2,FALSE),""))</f>
        <v/>
      </c>
      <c r="Q824" t="str">
        <f>IF(A824="","",IFERROR(VLOOKUP(MID(A824,4,1),Map!$O$2:$P$10,2,FALSE),""))</f>
        <v/>
      </c>
    </row>
    <row r="825" spans="2:17" x14ac:dyDescent="0.25">
      <c r="B825" t="str">
        <f t="shared" si="120"/>
        <v/>
      </c>
      <c r="C825" t="str">
        <f t="shared" si="121"/>
        <v>**</v>
      </c>
      <c r="D825" t="str">
        <f t="shared" si="122"/>
        <v/>
      </c>
      <c r="E825" t="str">
        <f>IFERROR(VLOOKUP(MID(A825,7,2),Map!$A$2:$B$20,2,FALSE),"")</f>
        <v/>
      </c>
      <c r="F825" t="str">
        <f>IF(A825="","",IFERROR(VLOOKUP(MID(A825,9,2),Map!$R$2:$S$14,2,FALSE),""))</f>
        <v/>
      </c>
      <c r="G825" t="str">
        <f t="shared" si="123"/>
        <v/>
      </c>
      <c r="H825" t="str">
        <f t="shared" si="124"/>
        <v/>
      </c>
      <c r="I825" t="str">
        <f>IF(A825="","",IFERROR(VLOOKUP(LEFT(A825,1),Map!$D$2:$E$20,2,FALSE),""))</f>
        <v/>
      </c>
      <c r="J825" t="str">
        <f>IF(OR(H825="",NOT(OR(LEFT(H825,1)="G",LEFT(H825,1)="R"))),"",IFERROR(VLOOKUP(MID(H825,2,1),Map!$J$2:$M$10,2,FALSE),""))</f>
        <v/>
      </c>
      <c r="K825" t="str">
        <f t="shared" si="125"/>
        <v/>
      </c>
      <c r="L825" t="str">
        <f t="shared" si="126"/>
        <v/>
      </c>
      <c r="M825" t="str">
        <f t="shared" si="127"/>
        <v/>
      </c>
      <c r="N825" t="str">
        <f t="shared" si="128"/>
        <v/>
      </c>
      <c r="O825" t="str">
        <f t="shared" si="129"/>
        <v/>
      </c>
      <c r="P825" t="str">
        <f>IF(OR(H825="",NOT(OR(LEFT(H825,1)="G",LEFT(H825,1)="R"))),"",IFERROR(VLOOKUP(MID(H825,3,1),Map!$G$2:$H$10,2,FALSE),""))</f>
        <v/>
      </c>
      <c r="Q825" t="str">
        <f>IF(A825="","",IFERROR(VLOOKUP(MID(A825,4,1),Map!$O$2:$P$10,2,FALSE),""))</f>
        <v/>
      </c>
    </row>
    <row r="826" spans="2:17" x14ac:dyDescent="0.25">
      <c r="B826" t="str">
        <f t="shared" si="120"/>
        <v/>
      </c>
      <c r="C826" t="str">
        <f t="shared" si="121"/>
        <v>**</v>
      </c>
      <c r="D826" t="str">
        <f t="shared" si="122"/>
        <v/>
      </c>
      <c r="E826" t="str">
        <f>IFERROR(VLOOKUP(MID(A826,7,2),Map!$A$2:$B$20,2,FALSE),"")</f>
        <v/>
      </c>
      <c r="F826" t="str">
        <f>IF(A826="","",IFERROR(VLOOKUP(MID(A826,9,2),Map!$R$2:$S$14,2,FALSE),""))</f>
        <v/>
      </c>
      <c r="G826" t="str">
        <f t="shared" si="123"/>
        <v/>
      </c>
      <c r="H826" t="str">
        <f t="shared" si="124"/>
        <v/>
      </c>
      <c r="I826" t="str">
        <f>IF(A826="","",IFERROR(VLOOKUP(LEFT(A826,1),Map!$D$2:$E$20,2,FALSE),""))</f>
        <v/>
      </c>
      <c r="J826" t="str">
        <f>IF(OR(H826="",NOT(OR(LEFT(H826,1)="G",LEFT(H826,1)="R"))),"",IFERROR(VLOOKUP(MID(H826,2,1),Map!$J$2:$M$10,2,FALSE),""))</f>
        <v/>
      </c>
      <c r="K826" t="str">
        <f t="shared" si="125"/>
        <v/>
      </c>
      <c r="L826" t="str">
        <f t="shared" si="126"/>
        <v/>
      </c>
      <c r="M826" t="str">
        <f t="shared" si="127"/>
        <v/>
      </c>
      <c r="N826" t="str">
        <f t="shared" si="128"/>
        <v/>
      </c>
      <c r="O826" t="str">
        <f t="shared" si="129"/>
        <v/>
      </c>
      <c r="P826" t="str">
        <f>IF(OR(H826="",NOT(OR(LEFT(H826,1)="G",LEFT(H826,1)="R"))),"",IFERROR(VLOOKUP(MID(H826,3,1),Map!$G$2:$H$10,2,FALSE),""))</f>
        <v/>
      </c>
      <c r="Q826" t="str">
        <f>IF(A826="","",IFERROR(VLOOKUP(MID(A826,4,1),Map!$O$2:$P$10,2,FALSE),""))</f>
        <v/>
      </c>
    </row>
    <row r="827" spans="2:17" x14ac:dyDescent="0.25">
      <c r="B827" t="str">
        <f t="shared" si="120"/>
        <v/>
      </c>
      <c r="C827" t="str">
        <f t="shared" si="121"/>
        <v>**</v>
      </c>
      <c r="D827" t="str">
        <f t="shared" si="122"/>
        <v/>
      </c>
      <c r="E827" t="str">
        <f>IFERROR(VLOOKUP(MID(A827,7,2),Map!$A$2:$B$20,2,FALSE),"")</f>
        <v/>
      </c>
      <c r="F827" t="str">
        <f>IF(A827="","",IFERROR(VLOOKUP(MID(A827,9,2),Map!$R$2:$S$14,2,FALSE),""))</f>
        <v/>
      </c>
      <c r="G827" t="str">
        <f t="shared" si="123"/>
        <v/>
      </c>
      <c r="H827" t="str">
        <f t="shared" si="124"/>
        <v/>
      </c>
      <c r="I827" t="str">
        <f>IF(A827="","",IFERROR(VLOOKUP(LEFT(A827,1),Map!$D$2:$E$20,2,FALSE),""))</f>
        <v/>
      </c>
      <c r="J827" t="str">
        <f>IF(OR(H827="",NOT(OR(LEFT(H827,1)="G",LEFT(H827,1)="R"))),"",IFERROR(VLOOKUP(MID(H827,2,1),Map!$J$2:$M$10,2,FALSE),""))</f>
        <v/>
      </c>
      <c r="K827" t="str">
        <f t="shared" si="125"/>
        <v/>
      </c>
      <c r="L827" t="str">
        <f t="shared" si="126"/>
        <v/>
      </c>
      <c r="M827" t="str">
        <f t="shared" si="127"/>
        <v/>
      </c>
      <c r="N827" t="str">
        <f t="shared" si="128"/>
        <v/>
      </c>
      <c r="O827" t="str">
        <f t="shared" si="129"/>
        <v/>
      </c>
      <c r="P827" t="str">
        <f>IF(OR(H827="",NOT(OR(LEFT(H827,1)="G",LEFT(H827,1)="R"))),"",IFERROR(VLOOKUP(MID(H827,3,1),Map!$G$2:$H$10,2,FALSE),""))</f>
        <v/>
      </c>
      <c r="Q827" t="str">
        <f>IF(A827="","",IFERROR(VLOOKUP(MID(A827,4,1),Map!$O$2:$P$10,2,FALSE),""))</f>
        <v/>
      </c>
    </row>
    <row r="828" spans="2:17" x14ac:dyDescent="0.25">
      <c r="B828" t="str">
        <f t="shared" si="120"/>
        <v/>
      </c>
      <c r="C828" t="str">
        <f t="shared" si="121"/>
        <v>**</v>
      </c>
      <c r="D828" t="str">
        <f t="shared" si="122"/>
        <v/>
      </c>
      <c r="E828" t="str">
        <f>IFERROR(VLOOKUP(MID(A828,7,2),Map!$A$2:$B$20,2,FALSE),"")</f>
        <v/>
      </c>
      <c r="F828" t="str">
        <f>IF(A828="","",IFERROR(VLOOKUP(MID(A828,9,2),Map!$R$2:$S$14,2,FALSE),""))</f>
        <v/>
      </c>
      <c r="G828" t="str">
        <f t="shared" si="123"/>
        <v/>
      </c>
      <c r="H828" t="str">
        <f t="shared" si="124"/>
        <v/>
      </c>
      <c r="I828" t="str">
        <f>IF(A828="","",IFERROR(VLOOKUP(LEFT(A828,1),Map!$D$2:$E$20,2,FALSE),""))</f>
        <v/>
      </c>
      <c r="J828" t="str">
        <f>IF(OR(H828="",NOT(OR(LEFT(H828,1)="G",LEFT(H828,1)="R"))),"",IFERROR(VLOOKUP(MID(H828,2,1),Map!$J$2:$M$10,2,FALSE),""))</f>
        <v/>
      </c>
      <c r="K828" t="str">
        <f t="shared" si="125"/>
        <v/>
      </c>
      <c r="L828" t="str">
        <f t="shared" si="126"/>
        <v/>
      </c>
      <c r="M828" t="str">
        <f t="shared" si="127"/>
        <v/>
      </c>
      <c r="N828" t="str">
        <f t="shared" si="128"/>
        <v/>
      </c>
      <c r="O828" t="str">
        <f t="shared" si="129"/>
        <v/>
      </c>
      <c r="P828" t="str">
        <f>IF(OR(H828="",NOT(OR(LEFT(H828,1)="G",LEFT(H828,1)="R"))),"",IFERROR(VLOOKUP(MID(H828,3,1),Map!$G$2:$H$10,2,FALSE),""))</f>
        <v/>
      </c>
      <c r="Q828" t="str">
        <f>IF(A828="","",IFERROR(VLOOKUP(MID(A828,4,1),Map!$O$2:$P$10,2,FALSE),""))</f>
        <v/>
      </c>
    </row>
    <row r="829" spans="2:17" x14ac:dyDescent="0.25">
      <c r="B829" t="str">
        <f t="shared" si="120"/>
        <v/>
      </c>
      <c r="C829" t="str">
        <f t="shared" si="121"/>
        <v>**</v>
      </c>
      <c r="D829" t="str">
        <f t="shared" si="122"/>
        <v/>
      </c>
      <c r="E829" t="str">
        <f>IFERROR(VLOOKUP(MID(A829,7,2),Map!$A$2:$B$20,2,FALSE),"")</f>
        <v/>
      </c>
      <c r="F829" t="str">
        <f>IF(A829="","",IFERROR(VLOOKUP(MID(A829,9,2),Map!$R$2:$S$14,2,FALSE),""))</f>
        <v/>
      </c>
      <c r="G829" t="str">
        <f t="shared" si="123"/>
        <v/>
      </c>
      <c r="H829" t="str">
        <f t="shared" si="124"/>
        <v/>
      </c>
      <c r="I829" t="str">
        <f>IF(A829="","",IFERROR(VLOOKUP(LEFT(A829,1),Map!$D$2:$E$20,2,FALSE),""))</f>
        <v/>
      </c>
      <c r="J829" t="str">
        <f>IF(OR(H829="",NOT(OR(LEFT(H829,1)="G",LEFT(H829,1)="R"))),"",IFERROR(VLOOKUP(MID(H829,2,1),Map!$J$2:$M$10,2,FALSE),""))</f>
        <v/>
      </c>
      <c r="K829" t="str">
        <f t="shared" si="125"/>
        <v/>
      </c>
      <c r="L829" t="str">
        <f t="shared" si="126"/>
        <v/>
      </c>
      <c r="M829" t="str">
        <f t="shared" si="127"/>
        <v/>
      </c>
      <c r="N829" t="str">
        <f t="shared" si="128"/>
        <v/>
      </c>
      <c r="O829" t="str">
        <f t="shared" si="129"/>
        <v/>
      </c>
      <c r="P829" t="str">
        <f>IF(OR(H829="",NOT(OR(LEFT(H829,1)="G",LEFT(H829,1)="R"))),"",IFERROR(VLOOKUP(MID(H829,3,1),Map!$G$2:$H$10,2,FALSE),""))</f>
        <v/>
      </c>
      <c r="Q829" t="str">
        <f>IF(A829="","",IFERROR(VLOOKUP(MID(A829,4,1),Map!$O$2:$P$10,2,FALSE),""))</f>
        <v/>
      </c>
    </row>
    <row r="830" spans="2:17" x14ac:dyDescent="0.25">
      <c r="B830" t="str">
        <f t="shared" si="120"/>
        <v/>
      </c>
      <c r="C830" t="str">
        <f t="shared" si="121"/>
        <v>**</v>
      </c>
      <c r="D830" t="str">
        <f t="shared" si="122"/>
        <v/>
      </c>
      <c r="E830" t="str">
        <f>IFERROR(VLOOKUP(MID(A830,7,2),Map!$A$2:$B$20,2,FALSE),"")</f>
        <v/>
      </c>
      <c r="F830" t="str">
        <f>IF(A830="","",IFERROR(VLOOKUP(MID(A830,9,2),Map!$R$2:$S$14,2,FALSE),""))</f>
        <v/>
      </c>
      <c r="G830" t="str">
        <f t="shared" si="123"/>
        <v/>
      </c>
      <c r="H830" t="str">
        <f t="shared" si="124"/>
        <v/>
      </c>
      <c r="I830" t="str">
        <f>IF(A830="","",IFERROR(VLOOKUP(LEFT(A830,1),Map!$D$2:$E$20,2,FALSE),""))</f>
        <v/>
      </c>
      <c r="J830" t="str">
        <f>IF(OR(H830="",NOT(OR(LEFT(H830,1)="G",LEFT(H830,1)="R"))),"",IFERROR(VLOOKUP(MID(H830,2,1),Map!$J$2:$M$10,2,FALSE),""))</f>
        <v/>
      </c>
      <c r="K830" t="str">
        <f t="shared" si="125"/>
        <v/>
      </c>
      <c r="L830" t="str">
        <f t="shared" si="126"/>
        <v/>
      </c>
      <c r="M830" t="str">
        <f t="shared" si="127"/>
        <v/>
      </c>
      <c r="N830" t="str">
        <f t="shared" si="128"/>
        <v/>
      </c>
      <c r="O830" t="str">
        <f t="shared" si="129"/>
        <v/>
      </c>
      <c r="P830" t="str">
        <f>IF(OR(H830="",NOT(OR(LEFT(H830,1)="G",LEFT(H830,1)="R"))),"",IFERROR(VLOOKUP(MID(H830,3,1),Map!$G$2:$H$10,2,FALSE),""))</f>
        <v/>
      </c>
      <c r="Q830" t="str">
        <f>IF(A830="","",IFERROR(VLOOKUP(MID(A830,4,1),Map!$O$2:$P$10,2,FALSE),""))</f>
        <v/>
      </c>
    </row>
    <row r="831" spans="2:17" x14ac:dyDescent="0.25">
      <c r="B831" t="str">
        <f t="shared" si="120"/>
        <v/>
      </c>
      <c r="C831" t="str">
        <f t="shared" si="121"/>
        <v>**</v>
      </c>
      <c r="D831" t="str">
        <f t="shared" si="122"/>
        <v/>
      </c>
      <c r="E831" t="str">
        <f>IFERROR(VLOOKUP(MID(A831,7,2),Map!$A$2:$B$20,2,FALSE),"")</f>
        <v/>
      </c>
      <c r="F831" t="str">
        <f>IF(A831="","",IFERROR(VLOOKUP(MID(A831,9,2),Map!$R$2:$S$14,2,FALSE),""))</f>
        <v/>
      </c>
      <c r="G831" t="str">
        <f t="shared" si="123"/>
        <v/>
      </c>
      <c r="H831" t="str">
        <f t="shared" si="124"/>
        <v/>
      </c>
      <c r="I831" t="str">
        <f>IF(A831="","",IFERROR(VLOOKUP(LEFT(A831,1),Map!$D$2:$E$20,2,FALSE),""))</f>
        <v/>
      </c>
      <c r="J831" t="str">
        <f>IF(OR(H831="",NOT(OR(LEFT(H831,1)="G",LEFT(H831,1)="R"))),"",IFERROR(VLOOKUP(MID(H831,2,1),Map!$J$2:$M$10,2,FALSE),""))</f>
        <v/>
      </c>
      <c r="K831" t="str">
        <f t="shared" si="125"/>
        <v/>
      </c>
      <c r="L831" t="str">
        <f t="shared" si="126"/>
        <v/>
      </c>
      <c r="M831" t="str">
        <f t="shared" si="127"/>
        <v/>
      </c>
      <c r="N831" t="str">
        <f t="shared" si="128"/>
        <v/>
      </c>
      <c r="O831" t="str">
        <f t="shared" si="129"/>
        <v/>
      </c>
      <c r="P831" t="str">
        <f>IF(OR(H831="",NOT(OR(LEFT(H831,1)="G",LEFT(H831,1)="R"))),"",IFERROR(VLOOKUP(MID(H831,3,1),Map!$G$2:$H$10,2,FALSE),""))</f>
        <v/>
      </c>
      <c r="Q831" t="str">
        <f>IF(A831="","",IFERROR(VLOOKUP(MID(A831,4,1),Map!$O$2:$P$10,2,FALSE),""))</f>
        <v/>
      </c>
    </row>
    <row r="832" spans="2:17" x14ac:dyDescent="0.25">
      <c r="B832" t="str">
        <f t="shared" si="120"/>
        <v/>
      </c>
      <c r="C832" t="str">
        <f t="shared" si="121"/>
        <v>**</v>
      </c>
      <c r="D832" t="str">
        <f t="shared" si="122"/>
        <v/>
      </c>
      <c r="E832" t="str">
        <f>IFERROR(VLOOKUP(MID(A832,7,2),Map!$A$2:$B$20,2,FALSE),"")</f>
        <v/>
      </c>
      <c r="F832" t="str">
        <f>IF(A832="","",IFERROR(VLOOKUP(MID(A832,9,2),Map!$R$2:$S$14,2,FALSE),""))</f>
        <v/>
      </c>
      <c r="G832" t="str">
        <f t="shared" si="123"/>
        <v/>
      </c>
      <c r="H832" t="str">
        <f t="shared" si="124"/>
        <v/>
      </c>
      <c r="I832" t="str">
        <f>IF(A832="","",IFERROR(VLOOKUP(LEFT(A832,1),Map!$D$2:$E$20,2,FALSE),""))</f>
        <v/>
      </c>
      <c r="J832" t="str">
        <f>IF(OR(H832="",NOT(OR(LEFT(H832,1)="G",LEFT(H832,1)="R"))),"",IFERROR(VLOOKUP(MID(H832,2,1),Map!$J$2:$M$10,2,FALSE),""))</f>
        <v/>
      </c>
      <c r="K832" t="str">
        <f t="shared" si="125"/>
        <v/>
      </c>
      <c r="L832" t="str">
        <f t="shared" si="126"/>
        <v/>
      </c>
      <c r="M832" t="str">
        <f t="shared" si="127"/>
        <v/>
      </c>
      <c r="N832" t="str">
        <f t="shared" si="128"/>
        <v/>
      </c>
      <c r="O832" t="str">
        <f t="shared" si="129"/>
        <v/>
      </c>
      <c r="P832" t="str">
        <f>IF(OR(H832="",NOT(OR(LEFT(H832,1)="G",LEFT(H832,1)="R"))),"",IFERROR(VLOOKUP(MID(H832,3,1),Map!$G$2:$H$10,2,FALSE),""))</f>
        <v/>
      </c>
      <c r="Q832" t="str">
        <f>IF(A832="","",IFERROR(VLOOKUP(MID(A832,4,1),Map!$O$2:$P$10,2,FALSE),""))</f>
        <v/>
      </c>
    </row>
    <row r="833" spans="2:17" x14ac:dyDescent="0.25">
      <c r="B833" t="str">
        <f t="shared" si="120"/>
        <v/>
      </c>
      <c r="C833" t="str">
        <f t="shared" si="121"/>
        <v>**</v>
      </c>
      <c r="D833" t="str">
        <f t="shared" si="122"/>
        <v/>
      </c>
      <c r="E833" t="str">
        <f>IFERROR(VLOOKUP(MID(A833,7,2),Map!$A$2:$B$20,2,FALSE),"")</f>
        <v/>
      </c>
      <c r="F833" t="str">
        <f>IF(A833="","",IFERROR(VLOOKUP(MID(A833,9,2),Map!$R$2:$S$14,2,FALSE),""))</f>
        <v/>
      </c>
      <c r="G833" t="str">
        <f t="shared" si="123"/>
        <v/>
      </c>
      <c r="H833" t="str">
        <f t="shared" si="124"/>
        <v/>
      </c>
      <c r="I833" t="str">
        <f>IF(A833="","",IFERROR(VLOOKUP(LEFT(A833,1),Map!$D$2:$E$20,2,FALSE),""))</f>
        <v/>
      </c>
      <c r="J833" t="str">
        <f>IF(OR(H833="",NOT(OR(LEFT(H833,1)="G",LEFT(H833,1)="R"))),"",IFERROR(VLOOKUP(MID(H833,2,1),Map!$J$2:$M$10,2,FALSE),""))</f>
        <v/>
      </c>
      <c r="K833" t="str">
        <f t="shared" si="125"/>
        <v/>
      </c>
      <c r="L833" t="str">
        <f t="shared" si="126"/>
        <v/>
      </c>
      <c r="M833" t="str">
        <f t="shared" si="127"/>
        <v/>
      </c>
      <c r="N833" t="str">
        <f t="shared" si="128"/>
        <v/>
      </c>
      <c r="O833" t="str">
        <f t="shared" si="129"/>
        <v/>
      </c>
      <c r="P833" t="str">
        <f>IF(OR(H833="",NOT(OR(LEFT(H833,1)="G",LEFT(H833,1)="R"))),"",IFERROR(VLOOKUP(MID(H833,3,1),Map!$G$2:$H$10,2,FALSE),""))</f>
        <v/>
      </c>
      <c r="Q833" t="str">
        <f>IF(A833="","",IFERROR(VLOOKUP(MID(A833,4,1),Map!$O$2:$P$10,2,FALSE),""))</f>
        <v/>
      </c>
    </row>
    <row r="834" spans="2:17" x14ac:dyDescent="0.25">
      <c r="B834" t="str">
        <f t="shared" ref="B834:B897" si="130">LEFT(A834,4)</f>
        <v/>
      </c>
      <c r="C834" t="str">
        <f t="shared" ref="C834:C897" si="131">LEFT(A834,2)&amp;"**"</f>
        <v>**</v>
      </c>
      <c r="D834" t="str">
        <f t="shared" ref="D834:D897" si="132">MID(A834,5,2)</f>
        <v/>
      </c>
      <c r="E834" t="str">
        <f>IFERROR(VLOOKUP(MID(A834,7,2),Map!$A$2:$B$20,2,FALSE),"")</f>
        <v/>
      </c>
      <c r="F834" t="str">
        <f>IF(A834="","",IFERROR(VLOOKUP(MID(A834,9,2),Map!$R$2:$S$14,2,FALSE),""))</f>
        <v/>
      </c>
      <c r="G834" t="str">
        <f t="shared" ref="G834:G897" si="133">IFERROR(MID(A834,FIND("-",A834)+1,FIND("-",A834,FIND("-",A834)+1)-FIND("-",A834)-1),"")</f>
        <v/>
      </c>
      <c r="H834" t="str">
        <f t="shared" ref="H834:H897" si="134">IFERROR(RIGHT(A834,LEN(A834)-FIND("-",A834,FIND("-",A834)+1)),"")</f>
        <v/>
      </c>
      <c r="I834" t="str">
        <f>IF(A834="","",IFERROR(VLOOKUP(LEFT(A834,1),Map!$D$2:$E$20,2,FALSE),""))</f>
        <v/>
      </c>
      <c r="J834" t="str">
        <f>IF(OR(H834="",NOT(OR(LEFT(H834,1)="G",LEFT(H834,1)="R"))),"",IFERROR(VLOOKUP(MID(H834,2,1),Map!$J$2:$M$10,2,FALSE),""))</f>
        <v/>
      </c>
      <c r="K834" t="str">
        <f t="shared" ref="K834:K897" si="135">IF(OR(H834="",NOT(OR(LEFT(H834,1)="G",LEFT(H834,1)="R")),MID(H834,2,1)&lt;&gt;"A"),"","M")</f>
        <v/>
      </c>
      <c r="L834" t="str">
        <f t="shared" ref="L834:L897" si="136">IF(OR(H834="",NOT(OR(LEFT(H834,1)="G",LEFT(H834,1)="R")),MID(H834,2,1)&lt;&gt;"A"),"","K")</f>
        <v/>
      </c>
      <c r="M834" t="str">
        <f t="shared" ref="M834:M897" si="137">IF(OR(H834="",NOT(OR(LEFT(H834,1)="G",LEFT(H834,1)="R"))),"","")</f>
        <v/>
      </c>
      <c r="N834" t="str">
        <f t="shared" ref="N834:N897" si="138">IF(OR(H834="",NOT(OR(LEFT(H834,1)="G",LEFT(H834,1)="R"))),"","")</f>
        <v/>
      </c>
      <c r="O834" t="str">
        <f t="shared" ref="O834:O897" si="139">IF(OR(H834="",NOT(OR(LEFT(H834,1)="G",LEFT(H834,1)="R"))),"","")</f>
        <v/>
      </c>
      <c r="P834" t="str">
        <f>IF(OR(H834="",NOT(OR(LEFT(H834,1)="G",LEFT(H834,1)="R"))),"",IFERROR(VLOOKUP(MID(H834,3,1),Map!$G$2:$H$10,2,FALSE),""))</f>
        <v/>
      </c>
      <c r="Q834" t="str">
        <f>IF(A834="","",IFERROR(VLOOKUP(MID(A834,4,1),Map!$O$2:$P$10,2,FALSE),""))</f>
        <v/>
      </c>
    </row>
    <row r="835" spans="2:17" x14ac:dyDescent="0.25">
      <c r="B835" t="str">
        <f t="shared" si="130"/>
        <v/>
      </c>
      <c r="C835" t="str">
        <f t="shared" si="131"/>
        <v>**</v>
      </c>
      <c r="D835" t="str">
        <f t="shared" si="132"/>
        <v/>
      </c>
      <c r="E835" t="str">
        <f>IFERROR(VLOOKUP(MID(A835,7,2),Map!$A$2:$B$20,2,FALSE),"")</f>
        <v/>
      </c>
      <c r="F835" t="str">
        <f>IF(A835="","",IFERROR(VLOOKUP(MID(A835,9,2),Map!$R$2:$S$14,2,FALSE),""))</f>
        <v/>
      </c>
      <c r="G835" t="str">
        <f t="shared" si="133"/>
        <v/>
      </c>
      <c r="H835" t="str">
        <f t="shared" si="134"/>
        <v/>
      </c>
      <c r="I835" t="str">
        <f>IF(A835="","",IFERROR(VLOOKUP(LEFT(A835,1),Map!$D$2:$E$20,2,FALSE),""))</f>
        <v/>
      </c>
      <c r="J835" t="str">
        <f>IF(OR(H835="",NOT(OR(LEFT(H835,1)="G",LEFT(H835,1)="R"))),"",IFERROR(VLOOKUP(MID(H835,2,1),Map!$J$2:$M$10,2,FALSE),""))</f>
        <v/>
      </c>
      <c r="K835" t="str">
        <f t="shared" si="135"/>
        <v/>
      </c>
      <c r="L835" t="str">
        <f t="shared" si="136"/>
        <v/>
      </c>
      <c r="M835" t="str">
        <f t="shared" si="137"/>
        <v/>
      </c>
      <c r="N835" t="str">
        <f t="shared" si="138"/>
        <v/>
      </c>
      <c r="O835" t="str">
        <f t="shared" si="139"/>
        <v/>
      </c>
      <c r="P835" t="str">
        <f>IF(OR(H835="",NOT(OR(LEFT(H835,1)="G",LEFT(H835,1)="R"))),"",IFERROR(VLOOKUP(MID(H835,3,1),Map!$G$2:$H$10,2,FALSE),""))</f>
        <v/>
      </c>
      <c r="Q835" t="str">
        <f>IF(A835="","",IFERROR(VLOOKUP(MID(A835,4,1),Map!$O$2:$P$10,2,FALSE),""))</f>
        <v/>
      </c>
    </row>
    <row r="836" spans="2:17" x14ac:dyDescent="0.25">
      <c r="B836" t="str">
        <f t="shared" si="130"/>
        <v/>
      </c>
      <c r="C836" t="str">
        <f t="shared" si="131"/>
        <v>**</v>
      </c>
      <c r="D836" t="str">
        <f t="shared" si="132"/>
        <v/>
      </c>
      <c r="E836" t="str">
        <f>IFERROR(VLOOKUP(MID(A836,7,2),Map!$A$2:$B$20,2,FALSE),"")</f>
        <v/>
      </c>
      <c r="F836" t="str">
        <f>IF(A836="","",IFERROR(VLOOKUP(MID(A836,9,2),Map!$R$2:$S$14,2,FALSE),""))</f>
        <v/>
      </c>
      <c r="G836" t="str">
        <f t="shared" si="133"/>
        <v/>
      </c>
      <c r="H836" t="str">
        <f t="shared" si="134"/>
        <v/>
      </c>
      <c r="I836" t="str">
        <f>IF(A836="","",IFERROR(VLOOKUP(LEFT(A836,1),Map!$D$2:$E$20,2,FALSE),""))</f>
        <v/>
      </c>
      <c r="J836" t="str">
        <f>IF(OR(H836="",NOT(OR(LEFT(H836,1)="G",LEFT(H836,1)="R"))),"",IFERROR(VLOOKUP(MID(H836,2,1),Map!$J$2:$M$10,2,FALSE),""))</f>
        <v/>
      </c>
      <c r="K836" t="str">
        <f t="shared" si="135"/>
        <v/>
      </c>
      <c r="L836" t="str">
        <f t="shared" si="136"/>
        <v/>
      </c>
      <c r="M836" t="str">
        <f t="shared" si="137"/>
        <v/>
      </c>
      <c r="N836" t="str">
        <f t="shared" si="138"/>
        <v/>
      </c>
      <c r="O836" t="str">
        <f t="shared" si="139"/>
        <v/>
      </c>
      <c r="P836" t="str">
        <f>IF(OR(H836="",NOT(OR(LEFT(H836,1)="G",LEFT(H836,1)="R"))),"",IFERROR(VLOOKUP(MID(H836,3,1),Map!$G$2:$H$10,2,FALSE),""))</f>
        <v/>
      </c>
      <c r="Q836" t="str">
        <f>IF(A836="","",IFERROR(VLOOKUP(MID(A836,4,1),Map!$O$2:$P$10,2,FALSE),""))</f>
        <v/>
      </c>
    </row>
    <row r="837" spans="2:17" x14ac:dyDescent="0.25">
      <c r="B837" t="str">
        <f t="shared" si="130"/>
        <v/>
      </c>
      <c r="C837" t="str">
        <f t="shared" si="131"/>
        <v>**</v>
      </c>
      <c r="D837" t="str">
        <f t="shared" si="132"/>
        <v/>
      </c>
      <c r="E837" t="str">
        <f>IFERROR(VLOOKUP(MID(A837,7,2),Map!$A$2:$B$20,2,FALSE),"")</f>
        <v/>
      </c>
      <c r="F837" t="str">
        <f>IF(A837="","",IFERROR(VLOOKUP(MID(A837,9,2),Map!$R$2:$S$14,2,FALSE),""))</f>
        <v/>
      </c>
      <c r="G837" t="str">
        <f t="shared" si="133"/>
        <v/>
      </c>
      <c r="H837" t="str">
        <f t="shared" si="134"/>
        <v/>
      </c>
      <c r="I837" t="str">
        <f>IF(A837="","",IFERROR(VLOOKUP(LEFT(A837,1),Map!$D$2:$E$20,2,FALSE),""))</f>
        <v/>
      </c>
      <c r="J837" t="str">
        <f>IF(OR(H837="",NOT(OR(LEFT(H837,1)="G",LEFT(H837,1)="R"))),"",IFERROR(VLOOKUP(MID(H837,2,1),Map!$J$2:$M$10,2,FALSE),""))</f>
        <v/>
      </c>
      <c r="K837" t="str">
        <f t="shared" si="135"/>
        <v/>
      </c>
      <c r="L837" t="str">
        <f t="shared" si="136"/>
        <v/>
      </c>
      <c r="M837" t="str">
        <f t="shared" si="137"/>
        <v/>
      </c>
      <c r="N837" t="str">
        <f t="shared" si="138"/>
        <v/>
      </c>
      <c r="O837" t="str">
        <f t="shared" si="139"/>
        <v/>
      </c>
      <c r="P837" t="str">
        <f>IF(OR(H837="",NOT(OR(LEFT(H837,1)="G",LEFT(H837,1)="R"))),"",IFERROR(VLOOKUP(MID(H837,3,1),Map!$G$2:$H$10,2,FALSE),""))</f>
        <v/>
      </c>
      <c r="Q837" t="str">
        <f>IF(A837="","",IFERROR(VLOOKUP(MID(A837,4,1),Map!$O$2:$P$10,2,FALSE),""))</f>
        <v/>
      </c>
    </row>
    <row r="838" spans="2:17" x14ac:dyDescent="0.25">
      <c r="B838" t="str">
        <f t="shared" si="130"/>
        <v/>
      </c>
      <c r="C838" t="str">
        <f t="shared" si="131"/>
        <v>**</v>
      </c>
      <c r="D838" t="str">
        <f t="shared" si="132"/>
        <v/>
      </c>
      <c r="E838" t="str">
        <f>IFERROR(VLOOKUP(MID(A838,7,2),Map!$A$2:$B$20,2,FALSE),"")</f>
        <v/>
      </c>
      <c r="F838" t="str">
        <f>IF(A838="","",IFERROR(VLOOKUP(MID(A838,9,2),Map!$R$2:$S$14,2,FALSE),""))</f>
        <v/>
      </c>
      <c r="G838" t="str">
        <f t="shared" si="133"/>
        <v/>
      </c>
      <c r="H838" t="str">
        <f t="shared" si="134"/>
        <v/>
      </c>
      <c r="I838" t="str">
        <f>IF(A838="","",IFERROR(VLOOKUP(LEFT(A838,1),Map!$D$2:$E$20,2,FALSE),""))</f>
        <v/>
      </c>
      <c r="J838" t="str">
        <f>IF(OR(H838="",NOT(OR(LEFT(H838,1)="G",LEFT(H838,1)="R"))),"",IFERROR(VLOOKUP(MID(H838,2,1),Map!$J$2:$M$10,2,FALSE),""))</f>
        <v/>
      </c>
      <c r="K838" t="str">
        <f t="shared" si="135"/>
        <v/>
      </c>
      <c r="L838" t="str">
        <f t="shared" si="136"/>
        <v/>
      </c>
      <c r="M838" t="str">
        <f t="shared" si="137"/>
        <v/>
      </c>
      <c r="N838" t="str">
        <f t="shared" si="138"/>
        <v/>
      </c>
      <c r="O838" t="str">
        <f t="shared" si="139"/>
        <v/>
      </c>
      <c r="P838" t="str">
        <f>IF(OR(H838="",NOT(OR(LEFT(H838,1)="G",LEFT(H838,1)="R"))),"",IFERROR(VLOOKUP(MID(H838,3,1),Map!$G$2:$H$10,2,FALSE),""))</f>
        <v/>
      </c>
      <c r="Q838" t="str">
        <f>IF(A838="","",IFERROR(VLOOKUP(MID(A838,4,1),Map!$O$2:$P$10,2,FALSE),""))</f>
        <v/>
      </c>
    </row>
    <row r="839" spans="2:17" x14ac:dyDescent="0.25">
      <c r="B839" t="str">
        <f t="shared" si="130"/>
        <v/>
      </c>
      <c r="C839" t="str">
        <f t="shared" si="131"/>
        <v>**</v>
      </c>
      <c r="D839" t="str">
        <f t="shared" si="132"/>
        <v/>
      </c>
      <c r="E839" t="str">
        <f>IFERROR(VLOOKUP(MID(A839,7,2),Map!$A$2:$B$20,2,FALSE),"")</f>
        <v/>
      </c>
      <c r="F839" t="str">
        <f>IF(A839="","",IFERROR(VLOOKUP(MID(A839,9,2),Map!$R$2:$S$14,2,FALSE),""))</f>
        <v/>
      </c>
      <c r="G839" t="str">
        <f t="shared" si="133"/>
        <v/>
      </c>
      <c r="H839" t="str">
        <f t="shared" si="134"/>
        <v/>
      </c>
      <c r="I839" t="str">
        <f>IF(A839="","",IFERROR(VLOOKUP(LEFT(A839,1),Map!$D$2:$E$20,2,FALSE),""))</f>
        <v/>
      </c>
      <c r="J839" t="str">
        <f>IF(OR(H839="",NOT(OR(LEFT(H839,1)="G",LEFT(H839,1)="R"))),"",IFERROR(VLOOKUP(MID(H839,2,1),Map!$J$2:$M$10,2,FALSE),""))</f>
        <v/>
      </c>
      <c r="K839" t="str">
        <f t="shared" si="135"/>
        <v/>
      </c>
      <c r="L839" t="str">
        <f t="shared" si="136"/>
        <v/>
      </c>
      <c r="M839" t="str">
        <f t="shared" si="137"/>
        <v/>
      </c>
      <c r="N839" t="str">
        <f t="shared" si="138"/>
        <v/>
      </c>
      <c r="O839" t="str">
        <f t="shared" si="139"/>
        <v/>
      </c>
      <c r="P839" t="str">
        <f>IF(OR(H839="",NOT(OR(LEFT(H839,1)="G",LEFT(H839,1)="R"))),"",IFERROR(VLOOKUP(MID(H839,3,1),Map!$G$2:$H$10,2,FALSE),""))</f>
        <v/>
      </c>
      <c r="Q839" t="str">
        <f>IF(A839="","",IFERROR(VLOOKUP(MID(A839,4,1),Map!$O$2:$P$10,2,FALSE),""))</f>
        <v/>
      </c>
    </row>
    <row r="840" spans="2:17" x14ac:dyDescent="0.25">
      <c r="B840" t="str">
        <f t="shared" si="130"/>
        <v/>
      </c>
      <c r="C840" t="str">
        <f t="shared" si="131"/>
        <v>**</v>
      </c>
      <c r="D840" t="str">
        <f t="shared" si="132"/>
        <v/>
      </c>
      <c r="E840" t="str">
        <f>IFERROR(VLOOKUP(MID(A840,7,2),Map!$A$2:$B$20,2,FALSE),"")</f>
        <v/>
      </c>
      <c r="F840" t="str">
        <f>IF(A840="","",IFERROR(VLOOKUP(MID(A840,9,2),Map!$R$2:$S$14,2,FALSE),""))</f>
        <v/>
      </c>
      <c r="G840" t="str">
        <f t="shared" si="133"/>
        <v/>
      </c>
      <c r="H840" t="str">
        <f t="shared" si="134"/>
        <v/>
      </c>
      <c r="I840" t="str">
        <f>IF(A840="","",IFERROR(VLOOKUP(LEFT(A840,1),Map!$D$2:$E$20,2,FALSE),""))</f>
        <v/>
      </c>
      <c r="J840" t="str">
        <f>IF(OR(H840="",NOT(OR(LEFT(H840,1)="G",LEFT(H840,1)="R"))),"",IFERROR(VLOOKUP(MID(H840,2,1),Map!$J$2:$M$10,2,FALSE),""))</f>
        <v/>
      </c>
      <c r="K840" t="str">
        <f t="shared" si="135"/>
        <v/>
      </c>
      <c r="L840" t="str">
        <f t="shared" si="136"/>
        <v/>
      </c>
      <c r="M840" t="str">
        <f t="shared" si="137"/>
        <v/>
      </c>
      <c r="N840" t="str">
        <f t="shared" si="138"/>
        <v/>
      </c>
      <c r="O840" t="str">
        <f t="shared" si="139"/>
        <v/>
      </c>
      <c r="P840" t="str">
        <f>IF(OR(H840="",NOT(OR(LEFT(H840,1)="G",LEFT(H840,1)="R"))),"",IFERROR(VLOOKUP(MID(H840,3,1),Map!$G$2:$H$10,2,FALSE),""))</f>
        <v/>
      </c>
      <c r="Q840" t="str">
        <f>IF(A840="","",IFERROR(VLOOKUP(MID(A840,4,1),Map!$O$2:$P$10,2,FALSE),""))</f>
        <v/>
      </c>
    </row>
    <row r="841" spans="2:17" x14ac:dyDescent="0.25">
      <c r="B841" t="str">
        <f t="shared" si="130"/>
        <v/>
      </c>
      <c r="C841" t="str">
        <f t="shared" si="131"/>
        <v>**</v>
      </c>
      <c r="D841" t="str">
        <f t="shared" si="132"/>
        <v/>
      </c>
      <c r="E841" t="str">
        <f>IFERROR(VLOOKUP(MID(A841,7,2),Map!$A$2:$B$20,2,FALSE),"")</f>
        <v/>
      </c>
      <c r="F841" t="str">
        <f>IF(A841="","",IFERROR(VLOOKUP(MID(A841,9,2),Map!$R$2:$S$14,2,FALSE),""))</f>
        <v/>
      </c>
      <c r="G841" t="str">
        <f t="shared" si="133"/>
        <v/>
      </c>
      <c r="H841" t="str">
        <f t="shared" si="134"/>
        <v/>
      </c>
      <c r="I841" t="str">
        <f>IF(A841="","",IFERROR(VLOOKUP(LEFT(A841,1),Map!$D$2:$E$20,2,FALSE),""))</f>
        <v/>
      </c>
      <c r="J841" t="str">
        <f>IF(OR(H841="",NOT(OR(LEFT(H841,1)="G",LEFT(H841,1)="R"))),"",IFERROR(VLOOKUP(MID(H841,2,1),Map!$J$2:$M$10,2,FALSE),""))</f>
        <v/>
      </c>
      <c r="K841" t="str">
        <f t="shared" si="135"/>
        <v/>
      </c>
      <c r="L841" t="str">
        <f t="shared" si="136"/>
        <v/>
      </c>
      <c r="M841" t="str">
        <f t="shared" si="137"/>
        <v/>
      </c>
      <c r="N841" t="str">
        <f t="shared" si="138"/>
        <v/>
      </c>
      <c r="O841" t="str">
        <f t="shared" si="139"/>
        <v/>
      </c>
      <c r="P841" t="str">
        <f>IF(OR(H841="",NOT(OR(LEFT(H841,1)="G",LEFT(H841,1)="R"))),"",IFERROR(VLOOKUP(MID(H841,3,1),Map!$G$2:$H$10,2,FALSE),""))</f>
        <v/>
      </c>
      <c r="Q841" t="str">
        <f>IF(A841="","",IFERROR(VLOOKUP(MID(A841,4,1),Map!$O$2:$P$10,2,FALSE),""))</f>
        <v/>
      </c>
    </row>
    <row r="842" spans="2:17" x14ac:dyDescent="0.25">
      <c r="B842" t="str">
        <f t="shared" si="130"/>
        <v/>
      </c>
      <c r="C842" t="str">
        <f t="shared" si="131"/>
        <v>**</v>
      </c>
      <c r="D842" t="str">
        <f t="shared" si="132"/>
        <v/>
      </c>
      <c r="E842" t="str">
        <f>IFERROR(VLOOKUP(MID(A842,7,2),Map!$A$2:$B$20,2,FALSE),"")</f>
        <v/>
      </c>
      <c r="F842" t="str">
        <f>IF(A842="","",IFERROR(VLOOKUP(MID(A842,9,2),Map!$R$2:$S$14,2,FALSE),""))</f>
        <v/>
      </c>
      <c r="G842" t="str">
        <f t="shared" si="133"/>
        <v/>
      </c>
      <c r="H842" t="str">
        <f t="shared" si="134"/>
        <v/>
      </c>
      <c r="I842" t="str">
        <f>IF(A842="","",IFERROR(VLOOKUP(LEFT(A842,1),Map!$D$2:$E$20,2,FALSE),""))</f>
        <v/>
      </c>
      <c r="J842" t="str">
        <f>IF(OR(H842="",NOT(OR(LEFT(H842,1)="G",LEFT(H842,1)="R"))),"",IFERROR(VLOOKUP(MID(H842,2,1),Map!$J$2:$M$10,2,FALSE),""))</f>
        <v/>
      </c>
      <c r="K842" t="str">
        <f t="shared" si="135"/>
        <v/>
      </c>
      <c r="L842" t="str">
        <f t="shared" si="136"/>
        <v/>
      </c>
      <c r="M842" t="str">
        <f t="shared" si="137"/>
        <v/>
      </c>
      <c r="N842" t="str">
        <f t="shared" si="138"/>
        <v/>
      </c>
      <c r="O842" t="str">
        <f t="shared" si="139"/>
        <v/>
      </c>
      <c r="P842" t="str">
        <f>IF(OR(H842="",NOT(OR(LEFT(H842,1)="G",LEFT(H842,1)="R"))),"",IFERROR(VLOOKUP(MID(H842,3,1),Map!$G$2:$H$10,2,FALSE),""))</f>
        <v/>
      </c>
      <c r="Q842" t="str">
        <f>IF(A842="","",IFERROR(VLOOKUP(MID(A842,4,1),Map!$O$2:$P$10,2,FALSE),""))</f>
        <v/>
      </c>
    </row>
    <row r="843" spans="2:17" x14ac:dyDescent="0.25">
      <c r="B843" t="str">
        <f t="shared" si="130"/>
        <v/>
      </c>
      <c r="C843" t="str">
        <f t="shared" si="131"/>
        <v>**</v>
      </c>
      <c r="D843" t="str">
        <f t="shared" si="132"/>
        <v/>
      </c>
      <c r="E843" t="str">
        <f>IFERROR(VLOOKUP(MID(A843,7,2),Map!$A$2:$B$20,2,FALSE),"")</f>
        <v/>
      </c>
      <c r="F843" t="str">
        <f>IF(A843="","",IFERROR(VLOOKUP(MID(A843,9,2),Map!$R$2:$S$14,2,FALSE),""))</f>
        <v/>
      </c>
      <c r="G843" t="str">
        <f t="shared" si="133"/>
        <v/>
      </c>
      <c r="H843" t="str">
        <f t="shared" si="134"/>
        <v/>
      </c>
      <c r="I843" t="str">
        <f>IF(A843="","",IFERROR(VLOOKUP(LEFT(A843,1),Map!$D$2:$E$20,2,FALSE),""))</f>
        <v/>
      </c>
      <c r="J843" t="str">
        <f>IF(OR(H843="",NOT(OR(LEFT(H843,1)="G",LEFT(H843,1)="R"))),"",IFERROR(VLOOKUP(MID(H843,2,1),Map!$J$2:$M$10,2,FALSE),""))</f>
        <v/>
      </c>
      <c r="K843" t="str">
        <f t="shared" si="135"/>
        <v/>
      </c>
      <c r="L843" t="str">
        <f t="shared" si="136"/>
        <v/>
      </c>
      <c r="M843" t="str">
        <f t="shared" si="137"/>
        <v/>
      </c>
      <c r="N843" t="str">
        <f t="shared" si="138"/>
        <v/>
      </c>
      <c r="O843" t="str">
        <f t="shared" si="139"/>
        <v/>
      </c>
      <c r="P843" t="str">
        <f>IF(OR(H843="",NOT(OR(LEFT(H843,1)="G",LEFT(H843,1)="R"))),"",IFERROR(VLOOKUP(MID(H843,3,1),Map!$G$2:$H$10,2,FALSE),""))</f>
        <v/>
      </c>
      <c r="Q843" t="str">
        <f>IF(A843="","",IFERROR(VLOOKUP(MID(A843,4,1),Map!$O$2:$P$10,2,FALSE),""))</f>
        <v/>
      </c>
    </row>
    <row r="844" spans="2:17" x14ac:dyDescent="0.25">
      <c r="B844" t="str">
        <f t="shared" si="130"/>
        <v/>
      </c>
      <c r="C844" t="str">
        <f t="shared" si="131"/>
        <v>**</v>
      </c>
      <c r="D844" t="str">
        <f t="shared" si="132"/>
        <v/>
      </c>
      <c r="E844" t="str">
        <f>IFERROR(VLOOKUP(MID(A844,7,2),Map!$A$2:$B$20,2,FALSE),"")</f>
        <v/>
      </c>
      <c r="F844" t="str">
        <f>IF(A844="","",IFERROR(VLOOKUP(MID(A844,9,2),Map!$R$2:$S$14,2,FALSE),""))</f>
        <v/>
      </c>
      <c r="G844" t="str">
        <f t="shared" si="133"/>
        <v/>
      </c>
      <c r="H844" t="str">
        <f t="shared" si="134"/>
        <v/>
      </c>
      <c r="I844" t="str">
        <f>IF(A844="","",IFERROR(VLOOKUP(LEFT(A844,1),Map!$D$2:$E$20,2,FALSE),""))</f>
        <v/>
      </c>
      <c r="J844" t="str">
        <f>IF(OR(H844="",NOT(OR(LEFT(H844,1)="G",LEFT(H844,1)="R"))),"",IFERROR(VLOOKUP(MID(H844,2,1),Map!$J$2:$M$10,2,FALSE),""))</f>
        <v/>
      </c>
      <c r="K844" t="str">
        <f t="shared" si="135"/>
        <v/>
      </c>
      <c r="L844" t="str">
        <f t="shared" si="136"/>
        <v/>
      </c>
      <c r="M844" t="str">
        <f t="shared" si="137"/>
        <v/>
      </c>
      <c r="N844" t="str">
        <f t="shared" si="138"/>
        <v/>
      </c>
      <c r="O844" t="str">
        <f t="shared" si="139"/>
        <v/>
      </c>
      <c r="P844" t="str">
        <f>IF(OR(H844="",NOT(OR(LEFT(H844,1)="G",LEFT(H844,1)="R"))),"",IFERROR(VLOOKUP(MID(H844,3,1),Map!$G$2:$H$10,2,FALSE),""))</f>
        <v/>
      </c>
      <c r="Q844" t="str">
        <f>IF(A844="","",IFERROR(VLOOKUP(MID(A844,4,1),Map!$O$2:$P$10,2,FALSE),""))</f>
        <v/>
      </c>
    </row>
    <row r="845" spans="2:17" x14ac:dyDescent="0.25">
      <c r="B845" t="str">
        <f t="shared" si="130"/>
        <v/>
      </c>
      <c r="C845" t="str">
        <f t="shared" si="131"/>
        <v>**</v>
      </c>
      <c r="D845" t="str">
        <f t="shared" si="132"/>
        <v/>
      </c>
      <c r="E845" t="str">
        <f>IFERROR(VLOOKUP(MID(A845,7,2),Map!$A$2:$B$20,2,FALSE),"")</f>
        <v/>
      </c>
      <c r="F845" t="str">
        <f>IF(A845="","",IFERROR(VLOOKUP(MID(A845,9,2),Map!$R$2:$S$14,2,FALSE),""))</f>
        <v/>
      </c>
      <c r="G845" t="str">
        <f t="shared" si="133"/>
        <v/>
      </c>
      <c r="H845" t="str">
        <f t="shared" si="134"/>
        <v/>
      </c>
      <c r="I845" t="str">
        <f>IF(A845="","",IFERROR(VLOOKUP(LEFT(A845,1),Map!$D$2:$E$20,2,FALSE),""))</f>
        <v/>
      </c>
      <c r="J845" t="str">
        <f>IF(OR(H845="",NOT(OR(LEFT(H845,1)="G",LEFT(H845,1)="R"))),"",IFERROR(VLOOKUP(MID(H845,2,1),Map!$J$2:$M$10,2,FALSE),""))</f>
        <v/>
      </c>
      <c r="K845" t="str">
        <f t="shared" si="135"/>
        <v/>
      </c>
      <c r="L845" t="str">
        <f t="shared" si="136"/>
        <v/>
      </c>
      <c r="M845" t="str">
        <f t="shared" si="137"/>
        <v/>
      </c>
      <c r="N845" t="str">
        <f t="shared" si="138"/>
        <v/>
      </c>
      <c r="O845" t="str">
        <f t="shared" si="139"/>
        <v/>
      </c>
      <c r="P845" t="str">
        <f>IF(OR(H845="",NOT(OR(LEFT(H845,1)="G",LEFT(H845,1)="R"))),"",IFERROR(VLOOKUP(MID(H845,3,1),Map!$G$2:$H$10,2,FALSE),""))</f>
        <v/>
      </c>
      <c r="Q845" t="str">
        <f>IF(A845="","",IFERROR(VLOOKUP(MID(A845,4,1),Map!$O$2:$P$10,2,FALSE),""))</f>
        <v/>
      </c>
    </row>
    <row r="846" spans="2:17" x14ac:dyDescent="0.25">
      <c r="B846" t="str">
        <f t="shared" si="130"/>
        <v/>
      </c>
      <c r="C846" t="str">
        <f t="shared" si="131"/>
        <v>**</v>
      </c>
      <c r="D846" t="str">
        <f t="shared" si="132"/>
        <v/>
      </c>
      <c r="E846" t="str">
        <f>IFERROR(VLOOKUP(MID(A846,7,2),Map!$A$2:$B$20,2,FALSE),"")</f>
        <v/>
      </c>
      <c r="F846" t="str">
        <f>IF(A846="","",IFERROR(VLOOKUP(MID(A846,9,2),Map!$R$2:$S$14,2,FALSE),""))</f>
        <v/>
      </c>
      <c r="G846" t="str">
        <f t="shared" si="133"/>
        <v/>
      </c>
      <c r="H846" t="str">
        <f t="shared" si="134"/>
        <v/>
      </c>
      <c r="I846" t="str">
        <f>IF(A846="","",IFERROR(VLOOKUP(LEFT(A846,1),Map!$D$2:$E$20,2,FALSE),""))</f>
        <v/>
      </c>
      <c r="J846" t="str">
        <f>IF(OR(H846="",NOT(OR(LEFT(H846,1)="G",LEFT(H846,1)="R"))),"",IFERROR(VLOOKUP(MID(H846,2,1),Map!$J$2:$M$10,2,FALSE),""))</f>
        <v/>
      </c>
      <c r="K846" t="str">
        <f t="shared" si="135"/>
        <v/>
      </c>
      <c r="L846" t="str">
        <f t="shared" si="136"/>
        <v/>
      </c>
      <c r="M846" t="str">
        <f t="shared" si="137"/>
        <v/>
      </c>
      <c r="N846" t="str">
        <f t="shared" si="138"/>
        <v/>
      </c>
      <c r="O846" t="str">
        <f t="shared" si="139"/>
        <v/>
      </c>
      <c r="P846" t="str">
        <f>IF(OR(H846="",NOT(OR(LEFT(H846,1)="G",LEFT(H846,1)="R"))),"",IFERROR(VLOOKUP(MID(H846,3,1),Map!$G$2:$H$10,2,FALSE),""))</f>
        <v/>
      </c>
      <c r="Q846" t="str">
        <f>IF(A846="","",IFERROR(VLOOKUP(MID(A846,4,1),Map!$O$2:$P$10,2,FALSE),""))</f>
        <v/>
      </c>
    </row>
    <row r="847" spans="2:17" x14ac:dyDescent="0.25">
      <c r="B847" t="str">
        <f t="shared" si="130"/>
        <v/>
      </c>
      <c r="C847" t="str">
        <f t="shared" si="131"/>
        <v>**</v>
      </c>
      <c r="D847" t="str">
        <f t="shared" si="132"/>
        <v/>
      </c>
      <c r="E847" t="str">
        <f>IFERROR(VLOOKUP(MID(A847,7,2),Map!$A$2:$B$20,2,FALSE),"")</f>
        <v/>
      </c>
      <c r="F847" t="str">
        <f>IF(A847="","",IFERROR(VLOOKUP(MID(A847,9,2),Map!$R$2:$S$14,2,FALSE),""))</f>
        <v/>
      </c>
      <c r="G847" t="str">
        <f t="shared" si="133"/>
        <v/>
      </c>
      <c r="H847" t="str">
        <f t="shared" si="134"/>
        <v/>
      </c>
      <c r="I847" t="str">
        <f>IF(A847="","",IFERROR(VLOOKUP(LEFT(A847,1),Map!$D$2:$E$20,2,FALSE),""))</f>
        <v/>
      </c>
      <c r="J847" t="str">
        <f>IF(OR(H847="",NOT(OR(LEFT(H847,1)="G",LEFT(H847,1)="R"))),"",IFERROR(VLOOKUP(MID(H847,2,1),Map!$J$2:$M$10,2,FALSE),""))</f>
        <v/>
      </c>
      <c r="K847" t="str">
        <f t="shared" si="135"/>
        <v/>
      </c>
      <c r="L847" t="str">
        <f t="shared" si="136"/>
        <v/>
      </c>
      <c r="M847" t="str">
        <f t="shared" si="137"/>
        <v/>
      </c>
      <c r="N847" t="str">
        <f t="shared" si="138"/>
        <v/>
      </c>
      <c r="O847" t="str">
        <f t="shared" si="139"/>
        <v/>
      </c>
      <c r="P847" t="str">
        <f>IF(OR(H847="",NOT(OR(LEFT(H847,1)="G",LEFT(H847,1)="R"))),"",IFERROR(VLOOKUP(MID(H847,3,1),Map!$G$2:$H$10,2,FALSE),""))</f>
        <v/>
      </c>
      <c r="Q847" t="str">
        <f>IF(A847="","",IFERROR(VLOOKUP(MID(A847,4,1),Map!$O$2:$P$10,2,FALSE),""))</f>
        <v/>
      </c>
    </row>
    <row r="848" spans="2:17" x14ac:dyDescent="0.25">
      <c r="B848" t="str">
        <f t="shared" si="130"/>
        <v/>
      </c>
      <c r="C848" t="str">
        <f t="shared" si="131"/>
        <v>**</v>
      </c>
      <c r="D848" t="str">
        <f t="shared" si="132"/>
        <v/>
      </c>
      <c r="E848" t="str">
        <f>IFERROR(VLOOKUP(MID(A848,7,2),Map!$A$2:$B$20,2,FALSE),"")</f>
        <v/>
      </c>
      <c r="F848" t="str">
        <f>IF(A848="","",IFERROR(VLOOKUP(MID(A848,9,2),Map!$R$2:$S$14,2,FALSE),""))</f>
        <v/>
      </c>
      <c r="G848" t="str">
        <f t="shared" si="133"/>
        <v/>
      </c>
      <c r="H848" t="str">
        <f t="shared" si="134"/>
        <v/>
      </c>
      <c r="I848" t="str">
        <f>IF(A848="","",IFERROR(VLOOKUP(LEFT(A848,1),Map!$D$2:$E$20,2,FALSE),""))</f>
        <v/>
      </c>
      <c r="J848" t="str">
        <f>IF(OR(H848="",NOT(OR(LEFT(H848,1)="G",LEFT(H848,1)="R"))),"",IFERROR(VLOOKUP(MID(H848,2,1),Map!$J$2:$M$10,2,FALSE),""))</f>
        <v/>
      </c>
      <c r="K848" t="str">
        <f t="shared" si="135"/>
        <v/>
      </c>
      <c r="L848" t="str">
        <f t="shared" si="136"/>
        <v/>
      </c>
      <c r="M848" t="str">
        <f t="shared" si="137"/>
        <v/>
      </c>
      <c r="N848" t="str">
        <f t="shared" si="138"/>
        <v/>
      </c>
      <c r="O848" t="str">
        <f t="shared" si="139"/>
        <v/>
      </c>
      <c r="P848" t="str">
        <f>IF(OR(H848="",NOT(OR(LEFT(H848,1)="G",LEFT(H848,1)="R"))),"",IFERROR(VLOOKUP(MID(H848,3,1),Map!$G$2:$H$10,2,FALSE),""))</f>
        <v/>
      </c>
      <c r="Q848" t="str">
        <f>IF(A848="","",IFERROR(VLOOKUP(MID(A848,4,1),Map!$O$2:$P$10,2,FALSE),""))</f>
        <v/>
      </c>
    </row>
    <row r="849" spans="2:17" x14ac:dyDescent="0.25">
      <c r="B849" t="str">
        <f t="shared" si="130"/>
        <v/>
      </c>
      <c r="C849" t="str">
        <f t="shared" si="131"/>
        <v>**</v>
      </c>
      <c r="D849" t="str">
        <f t="shared" si="132"/>
        <v/>
      </c>
      <c r="E849" t="str">
        <f>IFERROR(VLOOKUP(MID(A849,7,2),Map!$A$2:$B$20,2,FALSE),"")</f>
        <v/>
      </c>
      <c r="F849" t="str">
        <f>IF(A849="","",IFERROR(VLOOKUP(MID(A849,9,2),Map!$R$2:$S$14,2,FALSE),""))</f>
        <v/>
      </c>
      <c r="G849" t="str">
        <f t="shared" si="133"/>
        <v/>
      </c>
      <c r="H849" t="str">
        <f t="shared" si="134"/>
        <v/>
      </c>
      <c r="I849" t="str">
        <f>IF(A849="","",IFERROR(VLOOKUP(LEFT(A849,1),Map!$D$2:$E$20,2,FALSE),""))</f>
        <v/>
      </c>
      <c r="J849" t="str">
        <f>IF(OR(H849="",NOT(OR(LEFT(H849,1)="G",LEFT(H849,1)="R"))),"",IFERROR(VLOOKUP(MID(H849,2,1),Map!$J$2:$M$10,2,FALSE),""))</f>
        <v/>
      </c>
      <c r="K849" t="str">
        <f t="shared" si="135"/>
        <v/>
      </c>
      <c r="L849" t="str">
        <f t="shared" si="136"/>
        <v/>
      </c>
      <c r="M849" t="str">
        <f t="shared" si="137"/>
        <v/>
      </c>
      <c r="N849" t="str">
        <f t="shared" si="138"/>
        <v/>
      </c>
      <c r="O849" t="str">
        <f t="shared" si="139"/>
        <v/>
      </c>
      <c r="P849" t="str">
        <f>IF(OR(H849="",NOT(OR(LEFT(H849,1)="G",LEFT(H849,1)="R"))),"",IFERROR(VLOOKUP(MID(H849,3,1),Map!$G$2:$H$10,2,FALSE),""))</f>
        <v/>
      </c>
      <c r="Q849" t="str">
        <f>IF(A849="","",IFERROR(VLOOKUP(MID(A849,4,1),Map!$O$2:$P$10,2,FALSE),""))</f>
        <v/>
      </c>
    </row>
    <row r="850" spans="2:17" x14ac:dyDescent="0.25">
      <c r="B850" t="str">
        <f t="shared" si="130"/>
        <v/>
      </c>
      <c r="C850" t="str">
        <f t="shared" si="131"/>
        <v>**</v>
      </c>
      <c r="D850" t="str">
        <f t="shared" si="132"/>
        <v/>
      </c>
      <c r="E850" t="str">
        <f>IFERROR(VLOOKUP(MID(A850,7,2),Map!$A$2:$B$20,2,FALSE),"")</f>
        <v/>
      </c>
      <c r="F850" t="str">
        <f>IF(A850="","",IFERROR(VLOOKUP(MID(A850,9,2),Map!$R$2:$S$14,2,FALSE),""))</f>
        <v/>
      </c>
      <c r="G850" t="str">
        <f t="shared" si="133"/>
        <v/>
      </c>
      <c r="H850" t="str">
        <f t="shared" si="134"/>
        <v/>
      </c>
      <c r="I850" t="str">
        <f>IF(A850="","",IFERROR(VLOOKUP(LEFT(A850,1),Map!$D$2:$E$20,2,FALSE),""))</f>
        <v/>
      </c>
      <c r="J850" t="str">
        <f>IF(OR(H850="",NOT(OR(LEFT(H850,1)="G",LEFT(H850,1)="R"))),"",IFERROR(VLOOKUP(MID(H850,2,1),Map!$J$2:$M$10,2,FALSE),""))</f>
        <v/>
      </c>
      <c r="K850" t="str">
        <f t="shared" si="135"/>
        <v/>
      </c>
      <c r="L850" t="str">
        <f t="shared" si="136"/>
        <v/>
      </c>
      <c r="M850" t="str">
        <f t="shared" si="137"/>
        <v/>
      </c>
      <c r="N850" t="str">
        <f t="shared" si="138"/>
        <v/>
      </c>
      <c r="O850" t="str">
        <f t="shared" si="139"/>
        <v/>
      </c>
      <c r="P850" t="str">
        <f>IF(OR(H850="",NOT(OR(LEFT(H850,1)="G",LEFT(H850,1)="R"))),"",IFERROR(VLOOKUP(MID(H850,3,1),Map!$G$2:$H$10,2,FALSE),""))</f>
        <v/>
      </c>
      <c r="Q850" t="str">
        <f>IF(A850="","",IFERROR(VLOOKUP(MID(A850,4,1),Map!$O$2:$P$10,2,FALSE),""))</f>
        <v/>
      </c>
    </row>
    <row r="851" spans="2:17" x14ac:dyDescent="0.25">
      <c r="B851" t="str">
        <f t="shared" si="130"/>
        <v/>
      </c>
      <c r="C851" t="str">
        <f t="shared" si="131"/>
        <v>**</v>
      </c>
      <c r="D851" t="str">
        <f t="shared" si="132"/>
        <v/>
      </c>
      <c r="E851" t="str">
        <f>IFERROR(VLOOKUP(MID(A851,7,2),Map!$A$2:$B$20,2,FALSE),"")</f>
        <v/>
      </c>
      <c r="F851" t="str">
        <f>IF(A851="","",IFERROR(VLOOKUP(MID(A851,9,2),Map!$R$2:$S$14,2,FALSE),""))</f>
        <v/>
      </c>
      <c r="G851" t="str">
        <f t="shared" si="133"/>
        <v/>
      </c>
      <c r="H851" t="str">
        <f t="shared" si="134"/>
        <v/>
      </c>
      <c r="I851" t="str">
        <f>IF(A851="","",IFERROR(VLOOKUP(LEFT(A851,1),Map!$D$2:$E$20,2,FALSE),""))</f>
        <v/>
      </c>
      <c r="J851" t="str">
        <f>IF(OR(H851="",NOT(OR(LEFT(H851,1)="G",LEFT(H851,1)="R"))),"",IFERROR(VLOOKUP(MID(H851,2,1),Map!$J$2:$M$10,2,FALSE),""))</f>
        <v/>
      </c>
      <c r="K851" t="str">
        <f t="shared" si="135"/>
        <v/>
      </c>
      <c r="L851" t="str">
        <f t="shared" si="136"/>
        <v/>
      </c>
      <c r="M851" t="str">
        <f t="shared" si="137"/>
        <v/>
      </c>
      <c r="N851" t="str">
        <f t="shared" si="138"/>
        <v/>
      </c>
      <c r="O851" t="str">
        <f t="shared" si="139"/>
        <v/>
      </c>
      <c r="P851" t="str">
        <f>IF(OR(H851="",NOT(OR(LEFT(H851,1)="G",LEFT(H851,1)="R"))),"",IFERROR(VLOOKUP(MID(H851,3,1),Map!$G$2:$H$10,2,FALSE),""))</f>
        <v/>
      </c>
      <c r="Q851" t="str">
        <f>IF(A851="","",IFERROR(VLOOKUP(MID(A851,4,1),Map!$O$2:$P$10,2,FALSE),""))</f>
        <v/>
      </c>
    </row>
    <row r="852" spans="2:17" x14ac:dyDescent="0.25">
      <c r="B852" t="str">
        <f t="shared" si="130"/>
        <v/>
      </c>
      <c r="C852" t="str">
        <f t="shared" si="131"/>
        <v>**</v>
      </c>
      <c r="D852" t="str">
        <f t="shared" si="132"/>
        <v/>
      </c>
      <c r="E852" t="str">
        <f>IFERROR(VLOOKUP(MID(A852,7,2),Map!$A$2:$B$20,2,FALSE),"")</f>
        <v/>
      </c>
      <c r="F852" t="str">
        <f>IF(A852="","",IFERROR(VLOOKUP(MID(A852,9,2),Map!$R$2:$S$14,2,FALSE),""))</f>
        <v/>
      </c>
      <c r="G852" t="str">
        <f t="shared" si="133"/>
        <v/>
      </c>
      <c r="H852" t="str">
        <f t="shared" si="134"/>
        <v/>
      </c>
      <c r="I852" t="str">
        <f>IF(A852="","",IFERROR(VLOOKUP(LEFT(A852,1),Map!$D$2:$E$20,2,FALSE),""))</f>
        <v/>
      </c>
      <c r="J852" t="str">
        <f>IF(OR(H852="",NOT(OR(LEFT(H852,1)="G",LEFT(H852,1)="R"))),"",IFERROR(VLOOKUP(MID(H852,2,1),Map!$J$2:$M$10,2,FALSE),""))</f>
        <v/>
      </c>
      <c r="K852" t="str">
        <f t="shared" si="135"/>
        <v/>
      </c>
      <c r="L852" t="str">
        <f t="shared" si="136"/>
        <v/>
      </c>
      <c r="M852" t="str">
        <f t="shared" si="137"/>
        <v/>
      </c>
      <c r="N852" t="str">
        <f t="shared" si="138"/>
        <v/>
      </c>
      <c r="O852" t="str">
        <f t="shared" si="139"/>
        <v/>
      </c>
      <c r="P852" t="str">
        <f>IF(OR(H852="",NOT(OR(LEFT(H852,1)="G",LEFT(H852,1)="R"))),"",IFERROR(VLOOKUP(MID(H852,3,1),Map!$G$2:$H$10,2,FALSE),""))</f>
        <v/>
      </c>
      <c r="Q852" t="str">
        <f>IF(A852="","",IFERROR(VLOOKUP(MID(A852,4,1),Map!$O$2:$P$10,2,FALSE),""))</f>
        <v/>
      </c>
    </row>
    <row r="853" spans="2:17" x14ac:dyDescent="0.25">
      <c r="B853" t="str">
        <f t="shared" si="130"/>
        <v/>
      </c>
      <c r="C853" t="str">
        <f t="shared" si="131"/>
        <v>**</v>
      </c>
      <c r="D853" t="str">
        <f t="shared" si="132"/>
        <v/>
      </c>
      <c r="E853" t="str">
        <f>IFERROR(VLOOKUP(MID(A853,7,2),Map!$A$2:$B$20,2,FALSE),"")</f>
        <v/>
      </c>
      <c r="F853" t="str">
        <f>IF(A853="","",IFERROR(VLOOKUP(MID(A853,9,2),Map!$R$2:$S$14,2,FALSE),""))</f>
        <v/>
      </c>
      <c r="G853" t="str">
        <f t="shared" si="133"/>
        <v/>
      </c>
      <c r="H853" t="str">
        <f t="shared" si="134"/>
        <v/>
      </c>
      <c r="I853" t="str">
        <f>IF(A853="","",IFERROR(VLOOKUP(LEFT(A853,1),Map!$D$2:$E$20,2,FALSE),""))</f>
        <v/>
      </c>
      <c r="J853" t="str">
        <f>IF(OR(H853="",NOT(OR(LEFT(H853,1)="G",LEFT(H853,1)="R"))),"",IFERROR(VLOOKUP(MID(H853,2,1),Map!$J$2:$M$10,2,FALSE),""))</f>
        <v/>
      </c>
      <c r="K853" t="str">
        <f t="shared" si="135"/>
        <v/>
      </c>
      <c r="L853" t="str">
        <f t="shared" si="136"/>
        <v/>
      </c>
      <c r="M853" t="str">
        <f t="shared" si="137"/>
        <v/>
      </c>
      <c r="N853" t="str">
        <f t="shared" si="138"/>
        <v/>
      </c>
      <c r="O853" t="str">
        <f t="shared" si="139"/>
        <v/>
      </c>
      <c r="P853" t="str">
        <f>IF(OR(H853="",NOT(OR(LEFT(H853,1)="G",LEFT(H853,1)="R"))),"",IFERROR(VLOOKUP(MID(H853,3,1),Map!$G$2:$H$10,2,FALSE),""))</f>
        <v/>
      </c>
      <c r="Q853" t="str">
        <f>IF(A853="","",IFERROR(VLOOKUP(MID(A853,4,1),Map!$O$2:$P$10,2,FALSE),""))</f>
        <v/>
      </c>
    </row>
    <row r="854" spans="2:17" x14ac:dyDescent="0.25">
      <c r="B854" t="str">
        <f t="shared" si="130"/>
        <v/>
      </c>
      <c r="C854" t="str">
        <f t="shared" si="131"/>
        <v>**</v>
      </c>
      <c r="D854" t="str">
        <f t="shared" si="132"/>
        <v/>
      </c>
      <c r="E854" t="str">
        <f>IFERROR(VLOOKUP(MID(A854,7,2),Map!$A$2:$B$20,2,FALSE),"")</f>
        <v/>
      </c>
      <c r="F854" t="str">
        <f>IF(A854="","",IFERROR(VLOOKUP(MID(A854,9,2),Map!$R$2:$S$14,2,FALSE),""))</f>
        <v/>
      </c>
      <c r="G854" t="str">
        <f t="shared" si="133"/>
        <v/>
      </c>
      <c r="H854" t="str">
        <f t="shared" si="134"/>
        <v/>
      </c>
      <c r="I854" t="str">
        <f>IF(A854="","",IFERROR(VLOOKUP(LEFT(A854,1),Map!$D$2:$E$20,2,FALSE),""))</f>
        <v/>
      </c>
      <c r="J854" t="str">
        <f>IF(OR(H854="",NOT(OR(LEFT(H854,1)="G",LEFT(H854,1)="R"))),"",IFERROR(VLOOKUP(MID(H854,2,1),Map!$J$2:$M$10,2,FALSE),""))</f>
        <v/>
      </c>
      <c r="K854" t="str">
        <f t="shared" si="135"/>
        <v/>
      </c>
      <c r="L854" t="str">
        <f t="shared" si="136"/>
        <v/>
      </c>
      <c r="M854" t="str">
        <f t="shared" si="137"/>
        <v/>
      </c>
      <c r="N854" t="str">
        <f t="shared" si="138"/>
        <v/>
      </c>
      <c r="O854" t="str">
        <f t="shared" si="139"/>
        <v/>
      </c>
      <c r="P854" t="str">
        <f>IF(OR(H854="",NOT(OR(LEFT(H854,1)="G",LEFT(H854,1)="R"))),"",IFERROR(VLOOKUP(MID(H854,3,1),Map!$G$2:$H$10,2,FALSE),""))</f>
        <v/>
      </c>
      <c r="Q854" t="str">
        <f>IF(A854="","",IFERROR(VLOOKUP(MID(A854,4,1),Map!$O$2:$P$10,2,FALSE),""))</f>
        <v/>
      </c>
    </row>
    <row r="855" spans="2:17" x14ac:dyDescent="0.25">
      <c r="B855" t="str">
        <f t="shared" si="130"/>
        <v/>
      </c>
      <c r="C855" t="str">
        <f t="shared" si="131"/>
        <v>**</v>
      </c>
      <c r="D855" t="str">
        <f t="shared" si="132"/>
        <v/>
      </c>
      <c r="E855" t="str">
        <f>IFERROR(VLOOKUP(MID(A855,7,2),Map!$A$2:$B$20,2,FALSE),"")</f>
        <v/>
      </c>
      <c r="F855" t="str">
        <f>IF(A855="","",IFERROR(VLOOKUP(MID(A855,9,2),Map!$R$2:$S$14,2,FALSE),""))</f>
        <v/>
      </c>
      <c r="G855" t="str">
        <f t="shared" si="133"/>
        <v/>
      </c>
      <c r="H855" t="str">
        <f t="shared" si="134"/>
        <v/>
      </c>
      <c r="I855" t="str">
        <f>IF(A855="","",IFERROR(VLOOKUP(LEFT(A855,1),Map!$D$2:$E$20,2,FALSE),""))</f>
        <v/>
      </c>
      <c r="J855" t="str">
        <f>IF(OR(H855="",NOT(OR(LEFT(H855,1)="G",LEFT(H855,1)="R"))),"",IFERROR(VLOOKUP(MID(H855,2,1),Map!$J$2:$M$10,2,FALSE),""))</f>
        <v/>
      </c>
      <c r="K855" t="str">
        <f t="shared" si="135"/>
        <v/>
      </c>
      <c r="L855" t="str">
        <f t="shared" si="136"/>
        <v/>
      </c>
      <c r="M855" t="str">
        <f t="shared" si="137"/>
        <v/>
      </c>
      <c r="N855" t="str">
        <f t="shared" si="138"/>
        <v/>
      </c>
      <c r="O855" t="str">
        <f t="shared" si="139"/>
        <v/>
      </c>
      <c r="P855" t="str">
        <f>IF(OR(H855="",NOT(OR(LEFT(H855,1)="G",LEFT(H855,1)="R"))),"",IFERROR(VLOOKUP(MID(H855,3,1),Map!$G$2:$H$10,2,FALSE),""))</f>
        <v/>
      </c>
      <c r="Q855" t="str">
        <f>IF(A855="","",IFERROR(VLOOKUP(MID(A855,4,1),Map!$O$2:$P$10,2,FALSE),""))</f>
        <v/>
      </c>
    </row>
    <row r="856" spans="2:17" x14ac:dyDescent="0.25">
      <c r="B856" t="str">
        <f t="shared" si="130"/>
        <v/>
      </c>
      <c r="C856" t="str">
        <f t="shared" si="131"/>
        <v>**</v>
      </c>
      <c r="D856" t="str">
        <f t="shared" si="132"/>
        <v/>
      </c>
      <c r="E856" t="str">
        <f>IFERROR(VLOOKUP(MID(A856,7,2),Map!$A$2:$B$20,2,FALSE),"")</f>
        <v/>
      </c>
      <c r="F856" t="str">
        <f>IF(A856="","",IFERROR(VLOOKUP(MID(A856,9,2),Map!$R$2:$S$14,2,FALSE),""))</f>
        <v/>
      </c>
      <c r="G856" t="str">
        <f t="shared" si="133"/>
        <v/>
      </c>
      <c r="H856" t="str">
        <f t="shared" si="134"/>
        <v/>
      </c>
      <c r="I856" t="str">
        <f>IF(A856="","",IFERROR(VLOOKUP(LEFT(A856,1),Map!$D$2:$E$20,2,FALSE),""))</f>
        <v/>
      </c>
      <c r="J856" t="str">
        <f>IF(OR(H856="",NOT(OR(LEFT(H856,1)="G",LEFT(H856,1)="R"))),"",IFERROR(VLOOKUP(MID(H856,2,1),Map!$J$2:$M$10,2,FALSE),""))</f>
        <v/>
      </c>
      <c r="K856" t="str">
        <f t="shared" si="135"/>
        <v/>
      </c>
      <c r="L856" t="str">
        <f t="shared" si="136"/>
        <v/>
      </c>
      <c r="M856" t="str">
        <f t="shared" si="137"/>
        <v/>
      </c>
      <c r="N856" t="str">
        <f t="shared" si="138"/>
        <v/>
      </c>
      <c r="O856" t="str">
        <f t="shared" si="139"/>
        <v/>
      </c>
      <c r="P856" t="str">
        <f>IF(OR(H856="",NOT(OR(LEFT(H856,1)="G",LEFT(H856,1)="R"))),"",IFERROR(VLOOKUP(MID(H856,3,1),Map!$G$2:$H$10,2,FALSE),""))</f>
        <v/>
      </c>
      <c r="Q856" t="str">
        <f>IF(A856="","",IFERROR(VLOOKUP(MID(A856,4,1),Map!$O$2:$P$10,2,FALSE),""))</f>
        <v/>
      </c>
    </row>
    <row r="857" spans="2:17" x14ac:dyDescent="0.25">
      <c r="B857" t="str">
        <f t="shared" si="130"/>
        <v/>
      </c>
      <c r="C857" t="str">
        <f t="shared" si="131"/>
        <v>**</v>
      </c>
      <c r="D857" t="str">
        <f t="shared" si="132"/>
        <v/>
      </c>
      <c r="E857" t="str">
        <f>IFERROR(VLOOKUP(MID(A857,7,2),Map!$A$2:$B$20,2,FALSE),"")</f>
        <v/>
      </c>
      <c r="F857" t="str">
        <f>IF(A857="","",IFERROR(VLOOKUP(MID(A857,9,2),Map!$R$2:$S$14,2,FALSE),""))</f>
        <v/>
      </c>
      <c r="G857" t="str">
        <f t="shared" si="133"/>
        <v/>
      </c>
      <c r="H857" t="str">
        <f t="shared" si="134"/>
        <v/>
      </c>
      <c r="I857" t="str">
        <f>IF(A857="","",IFERROR(VLOOKUP(LEFT(A857,1),Map!$D$2:$E$20,2,FALSE),""))</f>
        <v/>
      </c>
      <c r="J857" t="str">
        <f>IF(OR(H857="",NOT(OR(LEFT(H857,1)="G",LEFT(H857,1)="R"))),"",IFERROR(VLOOKUP(MID(H857,2,1),Map!$J$2:$M$10,2,FALSE),""))</f>
        <v/>
      </c>
      <c r="K857" t="str">
        <f t="shared" si="135"/>
        <v/>
      </c>
      <c r="L857" t="str">
        <f t="shared" si="136"/>
        <v/>
      </c>
      <c r="M857" t="str">
        <f t="shared" si="137"/>
        <v/>
      </c>
      <c r="N857" t="str">
        <f t="shared" si="138"/>
        <v/>
      </c>
      <c r="O857" t="str">
        <f t="shared" si="139"/>
        <v/>
      </c>
      <c r="P857" t="str">
        <f>IF(OR(H857="",NOT(OR(LEFT(H857,1)="G",LEFT(H857,1)="R"))),"",IFERROR(VLOOKUP(MID(H857,3,1),Map!$G$2:$H$10,2,FALSE),""))</f>
        <v/>
      </c>
      <c r="Q857" t="str">
        <f>IF(A857="","",IFERROR(VLOOKUP(MID(A857,4,1),Map!$O$2:$P$10,2,FALSE),""))</f>
        <v/>
      </c>
    </row>
    <row r="858" spans="2:17" x14ac:dyDescent="0.25">
      <c r="B858" t="str">
        <f t="shared" si="130"/>
        <v/>
      </c>
      <c r="C858" t="str">
        <f t="shared" si="131"/>
        <v>**</v>
      </c>
      <c r="D858" t="str">
        <f t="shared" si="132"/>
        <v/>
      </c>
      <c r="E858" t="str">
        <f>IFERROR(VLOOKUP(MID(A858,7,2),Map!$A$2:$B$20,2,FALSE),"")</f>
        <v/>
      </c>
      <c r="F858" t="str">
        <f>IF(A858="","",IFERROR(VLOOKUP(MID(A858,9,2),Map!$R$2:$S$14,2,FALSE),""))</f>
        <v/>
      </c>
      <c r="G858" t="str">
        <f t="shared" si="133"/>
        <v/>
      </c>
      <c r="H858" t="str">
        <f t="shared" si="134"/>
        <v/>
      </c>
      <c r="I858" t="str">
        <f>IF(A858="","",IFERROR(VLOOKUP(LEFT(A858,1),Map!$D$2:$E$20,2,FALSE),""))</f>
        <v/>
      </c>
      <c r="J858" t="str">
        <f>IF(OR(H858="",NOT(OR(LEFT(H858,1)="G",LEFT(H858,1)="R"))),"",IFERROR(VLOOKUP(MID(H858,2,1),Map!$J$2:$M$10,2,FALSE),""))</f>
        <v/>
      </c>
      <c r="K858" t="str">
        <f t="shared" si="135"/>
        <v/>
      </c>
      <c r="L858" t="str">
        <f t="shared" si="136"/>
        <v/>
      </c>
      <c r="M858" t="str">
        <f t="shared" si="137"/>
        <v/>
      </c>
      <c r="N858" t="str">
        <f t="shared" si="138"/>
        <v/>
      </c>
      <c r="O858" t="str">
        <f t="shared" si="139"/>
        <v/>
      </c>
      <c r="P858" t="str">
        <f>IF(OR(H858="",NOT(OR(LEFT(H858,1)="G",LEFT(H858,1)="R"))),"",IFERROR(VLOOKUP(MID(H858,3,1),Map!$G$2:$H$10,2,FALSE),""))</f>
        <v/>
      </c>
      <c r="Q858" t="str">
        <f>IF(A858="","",IFERROR(VLOOKUP(MID(A858,4,1),Map!$O$2:$P$10,2,FALSE),""))</f>
        <v/>
      </c>
    </row>
    <row r="859" spans="2:17" x14ac:dyDescent="0.25">
      <c r="B859" t="str">
        <f t="shared" si="130"/>
        <v/>
      </c>
      <c r="C859" t="str">
        <f t="shared" si="131"/>
        <v>**</v>
      </c>
      <c r="D859" t="str">
        <f t="shared" si="132"/>
        <v/>
      </c>
      <c r="E859" t="str">
        <f>IFERROR(VLOOKUP(MID(A859,7,2),Map!$A$2:$B$20,2,FALSE),"")</f>
        <v/>
      </c>
      <c r="F859" t="str">
        <f>IF(A859="","",IFERROR(VLOOKUP(MID(A859,9,2),Map!$R$2:$S$14,2,FALSE),""))</f>
        <v/>
      </c>
      <c r="G859" t="str">
        <f t="shared" si="133"/>
        <v/>
      </c>
      <c r="H859" t="str">
        <f t="shared" si="134"/>
        <v/>
      </c>
      <c r="I859" t="str">
        <f>IF(A859="","",IFERROR(VLOOKUP(LEFT(A859,1),Map!$D$2:$E$20,2,FALSE),""))</f>
        <v/>
      </c>
      <c r="J859" t="str">
        <f>IF(OR(H859="",NOT(OR(LEFT(H859,1)="G",LEFT(H859,1)="R"))),"",IFERROR(VLOOKUP(MID(H859,2,1),Map!$J$2:$M$10,2,FALSE),""))</f>
        <v/>
      </c>
      <c r="K859" t="str">
        <f t="shared" si="135"/>
        <v/>
      </c>
      <c r="L859" t="str">
        <f t="shared" si="136"/>
        <v/>
      </c>
      <c r="M859" t="str">
        <f t="shared" si="137"/>
        <v/>
      </c>
      <c r="N859" t="str">
        <f t="shared" si="138"/>
        <v/>
      </c>
      <c r="O859" t="str">
        <f t="shared" si="139"/>
        <v/>
      </c>
      <c r="P859" t="str">
        <f>IF(OR(H859="",NOT(OR(LEFT(H859,1)="G",LEFT(H859,1)="R"))),"",IFERROR(VLOOKUP(MID(H859,3,1),Map!$G$2:$H$10,2,FALSE),""))</f>
        <v/>
      </c>
      <c r="Q859" t="str">
        <f>IF(A859="","",IFERROR(VLOOKUP(MID(A859,4,1),Map!$O$2:$P$10,2,FALSE),""))</f>
        <v/>
      </c>
    </row>
    <row r="860" spans="2:17" x14ac:dyDescent="0.25">
      <c r="B860" t="str">
        <f t="shared" si="130"/>
        <v/>
      </c>
      <c r="C860" t="str">
        <f t="shared" si="131"/>
        <v>**</v>
      </c>
      <c r="D860" t="str">
        <f t="shared" si="132"/>
        <v/>
      </c>
      <c r="E860" t="str">
        <f>IFERROR(VLOOKUP(MID(A860,7,2),Map!$A$2:$B$20,2,FALSE),"")</f>
        <v/>
      </c>
      <c r="F860" t="str">
        <f>IF(A860="","",IFERROR(VLOOKUP(MID(A860,9,2),Map!$R$2:$S$14,2,FALSE),""))</f>
        <v/>
      </c>
      <c r="G860" t="str">
        <f t="shared" si="133"/>
        <v/>
      </c>
      <c r="H860" t="str">
        <f t="shared" si="134"/>
        <v/>
      </c>
      <c r="I860" t="str">
        <f>IF(A860="","",IFERROR(VLOOKUP(LEFT(A860,1),Map!$D$2:$E$20,2,FALSE),""))</f>
        <v/>
      </c>
      <c r="J860" t="str">
        <f>IF(OR(H860="",NOT(OR(LEFT(H860,1)="G",LEFT(H860,1)="R"))),"",IFERROR(VLOOKUP(MID(H860,2,1),Map!$J$2:$M$10,2,FALSE),""))</f>
        <v/>
      </c>
      <c r="K860" t="str">
        <f t="shared" si="135"/>
        <v/>
      </c>
      <c r="L860" t="str">
        <f t="shared" si="136"/>
        <v/>
      </c>
      <c r="M860" t="str">
        <f t="shared" si="137"/>
        <v/>
      </c>
      <c r="N860" t="str">
        <f t="shared" si="138"/>
        <v/>
      </c>
      <c r="O860" t="str">
        <f t="shared" si="139"/>
        <v/>
      </c>
      <c r="P860" t="str">
        <f>IF(OR(H860="",NOT(OR(LEFT(H860,1)="G",LEFT(H860,1)="R"))),"",IFERROR(VLOOKUP(MID(H860,3,1),Map!$G$2:$H$10,2,FALSE),""))</f>
        <v/>
      </c>
      <c r="Q860" t="str">
        <f>IF(A860="","",IFERROR(VLOOKUP(MID(A860,4,1),Map!$O$2:$P$10,2,FALSE),""))</f>
        <v/>
      </c>
    </row>
    <row r="861" spans="2:17" x14ac:dyDescent="0.25">
      <c r="B861" t="str">
        <f t="shared" si="130"/>
        <v/>
      </c>
      <c r="C861" t="str">
        <f t="shared" si="131"/>
        <v>**</v>
      </c>
      <c r="D861" t="str">
        <f t="shared" si="132"/>
        <v/>
      </c>
      <c r="E861" t="str">
        <f>IFERROR(VLOOKUP(MID(A861,7,2),Map!$A$2:$B$20,2,FALSE),"")</f>
        <v/>
      </c>
      <c r="F861" t="str">
        <f>IF(A861="","",IFERROR(VLOOKUP(MID(A861,9,2),Map!$R$2:$S$14,2,FALSE),""))</f>
        <v/>
      </c>
      <c r="G861" t="str">
        <f t="shared" si="133"/>
        <v/>
      </c>
      <c r="H861" t="str">
        <f t="shared" si="134"/>
        <v/>
      </c>
      <c r="I861" t="str">
        <f>IF(A861="","",IFERROR(VLOOKUP(LEFT(A861,1),Map!$D$2:$E$20,2,FALSE),""))</f>
        <v/>
      </c>
      <c r="J861" t="str">
        <f>IF(OR(H861="",NOT(OR(LEFT(H861,1)="G",LEFT(H861,1)="R"))),"",IFERROR(VLOOKUP(MID(H861,2,1),Map!$J$2:$M$10,2,FALSE),""))</f>
        <v/>
      </c>
      <c r="K861" t="str">
        <f t="shared" si="135"/>
        <v/>
      </c>
      <c r="L861" t="str">
        <f t="shared" si="136"/>
        <v/>
      </c>
      <c r="M861" t="str">
        <f t="shared" si="137"/>
        <v/>
      </c>
      <c r="N861" t="str">
        <f t="shared" si="138"/>
        <v/>
      </c>
      <c r="O861" t="str">
        <f t="shared" si="139"/>
        <v/>
      </c>
      <c r="P861" t="str">
        <f>IF(OR(H861="",NOT(OR(LEFT(H861,1)="G",LEFT(H861,1)="R"))),"",IFERROR(VLOOKUP(MID(H861,3,1),Map!$G$2:$H$10,2,FALSE),""))</f>
        <v/>
      </c>
      <c r="Q861" t="str">
        <f>IF(A861="","",IFERROR(VLOOKUP(MID(A861,4,1),Map!$O$2:$P$10,2,FALSE),""))</f>
        <v/>
      </c>
    </row>
    <row r="862" spans="2:17" x14ac:dyDescent="0.25">
      <c r="B862" t="str">
        <f t="shared" si="130"/>
        <v/>
      </c>
      <c r="C862" t="str">
        <f t="shared" si="131"/>
        <v>**</v>
      </c>
      <c r="D862" t="str">
        <f t="shared" si="132"/>
        <v/>
      </c>
      <c r="E862" t="str">
        <f>IFERROR(VLOOKUP(MID(A862,7,2),Map!$A$2:$B$20,2,FALSE),"")</f>
        <v/>
      </c>
      <c r="F862" t="str">
        <f>IF(A862="","",IFERROR(VLOOKUP(MID(A862,9,2),Map!$R$2:$S$14,2,FALSE),""))</f>
        <v/>
      </c>
      <c r="G862" t="str">
        <f t="shared" si="133"/>
        <v/>
      </c>
      <c r="H862" t="str">
        <f t="shared" si="134"/>
        <v/>
      </c>
      <c r="I862" t="str">
        <f>IF(A862="","",IFERROR(VLOOKUP(LEFT(A862,1),Map!$D$2:$E$20,2,FALSE),""))</f>
        <v/>
      </c>
      <c r="J862" t="str">
        <f>IF(OR(H862="",NOT(OR(LEFT(H862,1)="G",LEFT(H862,1)="R"))),"",IFERROR(VLOOKUP(MID(H862,2,1),Map!$J$2:$M$10,2,FALSE),""))</f>
        <v/>
      </c>
      <c r="K862" t="str">
        <f t="shared" si="135"/>
        <v/>
      </c>
      <c r="L862" t="str">
        <f t="shared" si="136"/>
        <v/>
      </c>
      <c r="M862" t="str">
        <f t="shared" si="137"/>
        <v/>
      </c>
      <c r="N862" t="str">
        <f t="shared" si="138"/>
        <v/>
      </c>
      <c r="O862" t="str">
        <f t="shared" si="139"/>
        <v/>
      </c>
      <c r="P862" t="str">
        <f>IF(OR(H862="",NOT(OR(LEFT(H862,1)="G",LEFT(H862,1)="R"))),"",IFERROR(VLOOKUP(MID(H862,3,1),Map!$G$2:$H$10,2,FALSE),""))</f>
        <v/>
      </c>
      <c r="Q862" t="str">
        <f>IF(A862="","",IFERROR(VLOOKUP(MID(A862,4,1),Map!$O$2:$P$10,2,FALSE),""))</f>
        <v/>
      </c>
    </row>
    <row r="863" spans="2:17" x14ac:dyDescent="0.25">
      <c r="B863" t="str">
        <f t="shared" si="130"/>
        <v/>
      </c>
      <c r="C863" t="str">
        <f t="shared" si="131"/>
        <v>**</v>
      </c>
      <c r="D863" t="str">
        <f t="shared" si="132"/>
        <v/>
      </c>
      <c r="E863" t="str">
        <f>IFERROR(VLOOKUP(MID(A863,7,2),Map!$A$2:$B$20,2,FALSE),"")</f>
        <v/>
      </c>
      <c r="F863" t="str">
        <f>IF(A863="","",IFERROR(VLOOKUP(MID(A863,9,2),Map!$R$2:$S$14,2,FALSE),""))</f>
        <v/>
      </c>
      <c r="G863" t="str">
        <f t="shared" si="133"/>
        <v/>
      </c>
      <c r="H863" t="str">
        <f t="shared" si="134"/>
        <v/>
      </c>
      <c r="I863" t="str">
        <f>IF(A863="","",IFERROR(VLOOKUP(LEFT(A863,1),Map!$D$2:$E$20,2,FALSE),""))</f>
        <v/>
      </c>
      <c r="J863" t="str">
        <f>IF(OR(H863="",NOT(OR(LEFT(H863,1)="G",LEFT(H863,1)="R"))),"",IFERROR(VLOOKUP(MID(H863,2,1),Map!$J$2:$M$10,2,FALSE),""))</f>
        <v/>
      </c>
      <c r="K863" t="str">
        <f t="shared" si="135"/>
        <v/>
      </c>
      <c r="L863" t="str">
        <f t="shared" si="136"/>
        <v/>
      </c>
      <c r="M863" t="str">
        <f t="shared" si="137"/>
        <v/>
      </c>
      <c r="N863" t="str">
        <f t="shared" si="138"/>
        <v/>
      </c>
      <c r="O863" t="str">
        <f t="shared" si="139"/>
        <v/>
      </c>
      <c r="P863" t="str">
        <f>IF(OR(H863="",NOT(OR(LEFT(H863,1)="G",LEFT(H863,1)="R"))),"",IFERROR(VLOOKUP(MID(H863,3,1),Map!$G$2:$H$10,2,FALSE),""))</f>
        <v/>
      </c>
      <c r="Q863" t="str">
        <f>IF(A863="","",IFERROR(VLOOKUP(MID(A863,4,1),Map!$O$2:$P$10,2,FALSE),""))</f>
        <v/>
      </c>
    </row>
    <row r="864" spans="2:17" x14ac:dyDescent="0.25">
      <c r="B864" t="str">
        <f t="shared" si="130"/>
        <v/>
      </c>
      <c r="C864" t="str">
        <f t="shared" si="131"/>
        <v>**</v>
      </c>
      <c r="D864" t="str">
        <f t="shared" si="132"/>
        <v/>
      </c>
      <c r="E864" t="str">
        <f>IFERROR(VLOOKUP(MID(A864,7,2),Map!$A$2:$B$20,2,FALSE),"")</f>
        <v/>
      </c>
      <c r="F864" t="str">
        <f>IF(A864="","",IFERROR(VLOOKUP(MID(A864,9,2),Map!$R$2:$S$14,2,FALSE),""))</f>
        <v/>
      </c>
      <c r="G864" t="str">
        <f t="shared" si="133"/>
        <v/>
      </c>
      <c r="H864" t="str">
        <f t="shared" si="134"/>
        <v/>
      </c>
      <c r="I864" t="str">
        <f>IF(A864="","",IFERROR(VLOOKUP(LEFT(A864,1),Map!$D$2:$E$20,2,FALSE),""))</f>
        <v/>
      </c>
      <c r="J864" t="str">
        <f>IF(OR(H864="",NOT(OR(LEFT(H864,1)="G",LEFT(H864,1)="R"))),"",IFERROR(VLOOKUP(MID(H864,2,1),Map!$J$2:$M$10,2,FALSE),""))</f>
        <v/>
      </c>
      <c r="K864" t="str">
        <f t="shared" si="135"/>
        <v/>
      </c>
      <c r="L864" t="str">
        <f t="shared" si="136"/>
        <v/>
      </c>
      <c r="M864" t="str">
        <f t="shared" si="137"/>
        <v/>
      </c>
      <c r="N864" t="str">
        <f t="shared" si="138"/>
        <v/>
      </c>
      <c r="O864" t="str">
        <f t="shared" si="139"/>
        <v/>
      </c>
      <c r="P864" t="str">
        <f>IF(OR(H864="",NOT(OR(LEFT(H864,1)="G",LEFT(H864,1)="R"))),"",IFERROR(VLOOKUP(MID(H864,3,1),Map!$G$2:$H$10,2,FALSE),""))</f>
        <v/>
      </c>
      <c r="Q864" t="str">
        <f>IF(A864="","",IFERROR(VLOOKUP(MID(A864,4,1),Map!$O$2:$P$10,2,FALSE),""))</f>
        <v/>
      </c>
    </row>
    <row r="865" spans="2:17" x14ac:dyDescent="0.25">
      <c r="B865" t="str">
        <f t="shared" si="130"/>
        <v/>
      </c>
      <c r="C865" t="str">
        <f t="shared" si="131"/>
        <v>**</v>
      </c>
      <c r="D865" t="str">
        <f t="shared" si="132"/>
        <v/>
      </c>
      <c r="E865" t="str">
        <f>IFERROR(VLOOKUP(MID(A865,7,2),Map!$A$2:$B$20,2,FALSE),"")</f>
        <v/>
      </c>
      <c r="F865" t="str">
        <f>IF(A865="","",IFERROR(VLOOKUP(MID(A865,9,2),Map!$R$2:$S$14,2,FALSE),""))</f>
        <v/>
      </c>
      <c r="G865" t="str">
        <f t="shared" si="133"/>
        <v/>
      </c>
      <c r="H865" t="str">
        <f t="shared" si="134"/>
        <v/>
      </c>
      <c r="I865" t="str">
        <f>IF(A865="","",IFERROR(VLOOKUP(LEFT(A865,1),Map!$D$2:$E$20,2,FALSE),""))</f>
        <v/>
      </c>
      <c r="J865" t="str">
        <f>IF(OR(H865="",NOT(OR(LEFT(H865,1)="G",LEFT(H865,1)="R"))),"",IFERROR(VLOOKUP(MID(H865,2,1),Map!$J$2:$M$10,2,FALSE),""))</f>
        <v/>
      </c>
      <c r="K865" t="str">
        <f t="shared" si="135"/>
        <v/>
      </c>
      <c r="L865" t="str">
        <f t="shared" si="136"/>
        <v/>
      </c>
      <c r="M865" t="str">
        <f t="shared" si="137"/>
        <v/>
      </c>
      <c r="N865" t="str">
        <f t="shared" si="138"/>
        <v/>
      </c>
      <c r="O865" t="str">
        <f t="shared" si="139"/>
        <v/>
      </c>
      <c r="P865" t="str">
        <f>IF(OR(H865="",NOT(OR(LEFT(H865,1)="G",LEFT(H865,1)="R"))),"",IFERROR(VLOOKUP(MID(H865,3,1),Map!$G$2:$H$10,2,FALSE),""))</f>
        <v/>
      </c>
      <c r="Q865" t="str">
        <f>IF(A865="","",IFERROR(VLOOKUP(MID(A865,4,1),Map!$O$2:$P$10,2,FALSE),""))</f>
        <v/>
      </c>
    </row>
    <row r="866" spans="2:17" x14ac:dyDescent="0.25">
      <c r="B866" t="str">
        <f t="shared" si="130"/>
        <v/>
      </c>
      <c r="C866" t="str">
        <f t="shared" si="131"/>
        <v>**</v>
      </c>
      <c r="D866" t="str">
        <f t="shared" si="132"/>
        <v/>
      </c>
      <c r="E866" t="str">
        <f>IFERROR(VLOOKUP(MID(A866,7,2),Map!$A$2:$B$20,2,FALSE),"")</f>
        <v/>
      </c>
      <c r="F866" t="str">
        <f>IF(A866="","",IFERROR(VLOOKUP(MID(A866,9,2),Map!$R$2:$S$14,2,FALSE),""))</f>
        <v/>
      </c>
      <c r="G866" t="str">
        <f t="shared" si="133"/>
        <v/>
      </c>
      <c r="H866" t="str">
        <f t="shared" si="134"/>
        <v/>
      </c>
      <c r="I866" t="str">
        <f>IF(A866="","",IFERROR(VLOOKUP(LEFT(A866,1),Map!$D$2:$E$20,2,FALSE),""))</f>
        <v/>
      </c>
      <c r="J866" t="str">
        <f>IF(OR(H866="",NOT(OR(LEFT(H866,1)="G",LEFT(H866,1)="R"))),"",IFERROR(VLOOKUP(MID(H866,2,1),Map!$J$2:$M$10,2,FALSE),""))</f>
        <v/>
      </c>
      <c r="K866" t="str">
        <f t="shared" si="135"/>
        <v/>
      </c>
      <c r="L866" t="str">
        <f t="shared" si="136"/>
        <v/>
      </c>
      <c r="M866" t="str">
        <f t="shared" si="137"/>
        <v/>
      </c>
      <c r="N866" t="str">
        <f t="shared" si="138"/>
        <v/>
      </c>
      <c r="O866" t="str">
        <f t="shared" si="139"/>
        <v/>
      </c>
      <c r="P866" t="str">
        <f>IF(OR(H866="",NOT(OR(LEFT(H866,1)="G",LEFT(H866,1)="R"))),"",IFERROR(VLOOKUP(MID(H866,3,1),Map!$G$2:$H$10,2,FALSE),""))</f>
        <v/>
      </c>
      <c r="Q866" t="str">
        <f>IF(A866="","",IFERROR(VLOOKUP(MID(A866,4,1),Map!$O$2:$P$10,2,FALSE),""))</f>
        <v/>
      </c>
    </row>
    <row r="867" spans="2:17" x14ac:dyDescent="0.25">
      <c r="B867" t="str">
        <f t="shared" si="130"/>
        <v/>
      </c>
      <c r="C867" t="str">
        <f t="shared" si="131"/>
        <v>**</v>
      </c>
      <c r="D867" t="str">
        <f t="shared" si="132"/>
        <v/>
      </c>
      <c r="E867" t="str">
        <f>IFERROR(VLOOKUP(MID(A867,7,2),Map!$A$2:$B$20,2,FALSE),"")</f>
        <v/>
      </c>
      <c r="F867" t="str">
        <f>IF(A867="","",IFERROR(VLOOKUP(MID(A867,9,2),Map!$R$2:$S$14,2,FALSE),""))</f>
        <v/>
      </c>
      <c r="G867" t="str">
        <f t="shared" si="133"/>
        <v/>
      </c>
      <c r="H867" t="str">
        <f t="shared" si="134"/>
        <v/>
      </c>
      <c r="I867" t="str">
        <f>IF(A867="","",IFERROR(VLOOKUP(LEFT(A867,1),Map!$D$2:$E$20,2,FALSE),""))</f>
        <v/>
      </c>
      <c r="J867" t="str">
        <f>IF(OR(H867="",NOT(OR(LEFT(H867,1)="G",LEFT(H867,1)="R"))),"",IFERROR(VLOOKUP(MID(H867,2,1),Map!$J$2:$M$10,2,FALSE),""))</f>
        <v/>
      </c>
      <c r="K867" t="str">
        <f t="shared" si="135"/>
        <v/>
      </c>
      <c r="L867" t="str">
        <f t="shared" si="136"/>
        <v/>
      </c>
      <c r="M867" t="str">
        <f t="shared" si="137"/>
        <v/>
      </c>
      <c r="N867" t="str">
        <f t="shared" si="138"/>
        <v/>
      </c>
      <c r="O867" t="str">
        <f t="shared" si="139"/>
        <v/>
      </c>
      <c r="P867" t="str">
        <f>IF(OR(H867="",NOT(OR(LEFT(H867,1)="G",LEFT(H867,1)="R"))),"",IFERROR(VLOOKUP(MID(H867,3,1),Map!$G$2:$H$10,2,FALSE),""))</f>
        <v/>
      </c>
      <c r="Q867" t="str">
        <f>IF(A867="","",IFERROR(VLOOKUP(MID(A867,4,1),Map!$O$2:$P$10,2,FALSE),""))</f>
        <v/>
      </c>
    </row>
    <row r="868" spans="2:17" x14ac:dyDescent="0.25">
      <c r="B868" t="str">
        <f t="shared" si="130"/>
        <v/>
      </c>
      <c r="C868" t="str">
        <f t="shared" si="131"/>
        <v>**</v>
      </c>
      <c r="D868" t="str">
        <f t="shared" si="132"/>
        <v/>
      </c>
      <c r="E868" t="str">
        <f>IFERROR(VLOOKUP(MID(A868,7,2),Map!$A$2:$B$20,2,FALSE),"")</f>
        <v/>
      </c>
      <c r="F868" t="str">
        <f>IF(A868="","",IFERROR(VLOOKUP(MID(A868,9,2),Map!$R$2:$S$14,2,FALSE),""))</f>
        <v/>
      </c>
      <c r="G868" t="str">
        <f t="shared" si="133"/>
        <v/>
      </c>
      <c r="H868" t="str">
        <f t="shared" si="134"/>
        <v/>
      </c>
      <c r="I868" t="str">
        <f>IF(A868="","",IFERROR(VLOOKUP(LEFT(A868,1),Map!$D$2:$E$20,2,FALSE),""))</f>
        <v/>
      </c>
      <c r="J868" t="str">
        <f>IF(OR(H868="",NOT(OR(LEFT(H868,1)="G",LEFT(H868,1)="R"))),"",IFERROR(VLOOKUP(MID(H868,2,1),Map!$J$2:$M$10,2,FALSE),""))</f>
        <v/>
      </c>
      <c r="K868" t="str">
        <f t="shared" si="135"/>
        <v/>
      </c>
      <c r="L868" t="str">
        <f t="shared" si="136"/>
        <v/>
      </c>
      <c r="M868" t="str">
        <f t="shared" si="137"/>
        <v/>
      </c>
      <c r="N868" t="str">
        <f t="shared" si="138"/>
        <v/>
      </c>
      <c r="O868" t="str">
        <f t="shared" si="139"/>
        <v/>
      </c>
      <c r="P868" t="str">
        <f>IF(OR(H868="",NOT(OR(LEFT(H868,1)="G",LEFT(H868,1)="R"))),"",IFERROR(VLOOKUP(MID(H868,3,1),Map!$G$2:$H$10,2,FALSE),""))</f>
        <v/>
      </c>
      <c r="Q868" t="str">
        <f>IF(A868="","",IFERROR(VLOOKUP(MID(A868,4,1),Map!$O$2:$P$10,2,FALSE),""))</f>
        <v/>
      </c>
    </row>
    <row r="869" spans="2:17" x14ac:dyDescent="0.25">
      <c r="B869" t="str">
        <f t="shared" si="130"/>
        <v/>
      </c>
      <c r="C869" t="str">
        <f t="shared" si="131"/>
        <v>**</v>
      </c>
      <c r="D869" t="str">
        <f t="shared" si="132"/>
        <v/>
      </c>
      <c r="E869" t="str">
        <f>IFERROR(VLOOKUP(MID(A869,7,2),Map!$A$2:$B$20,2,FALSE),"")</f>
        <v/>
      </c>
      <c r="F869" t="str">
        <f>IF(A869="","",IFERROR(VLOOKUP(MID(A869,9,2),Map!$R$2:$S$14,2,FALSE),""))</f>
        <v/>
      </c>
      <c r="G869" t="str">
        <f t="shared" si="133"/>
        <v/>
      </c>
      <c r="H869" t="str">
        <f t="shared" si="134"/>
        <v/>
      </c>
      <c r="I869" t="str">
        <f>IF(A869="","",IFERROR(VLOOKUP(LEFT(A869,1),Map!$D$2:$E$20,2,FALSE),""))</f>
        <v/>
      </c>
      <c r="J869" t="str">
        <f>IF(OR(H869="",NOT(OR(LEFT(H869,1)="G",LEFT(H869,1)="R"))),"",IFERROR(VLOOKUP(MID(H869,2,1),Map!$J$2:$M$10,2,FALSE),""))</f>
        <v/>
      </c>
      <c r="K869" t="str">
        <f t="shared" si="135"/>
        <v/>
      </c>
      <c r="L869" t="str">
        <f t="shared" si="136"/>
        <v/>
      </c>
      <c r="M869" t="str">
        <f t="shared" si="137"/>
        <v/>
      </c>
      <c r="N869" t="str">
        <f t="shared" si="138"/>
        <v/>
      </c>
      <c r="O869" t="str">
        <f t="shared" si="139"/>
        <v/>
      </c>
      <c r="P869" t="str">
        <f>IF(OR(H869="",NOT(OR(LEFT(H869,1)="G",LEFT(H869,1)="R"))),"",IFERROR(VLOOKUP(MID(H869,3,1),Map!$G$2:$H$10,2,FALSE),""))</f>
        <v/>
      </c>
      <c r="Q869" t="str">
        <f>IF(A869="","",IFERROR(VLOOKUP(MID(A869,4,1),Map!$O$2:$P$10,2,FALSE),""))</f>
        <v/>
      </c>
    </row>
    <row r="870" spans="2:17" x14ac:dyDescent="0.25">
      <c r="B870" t="str">
        <f t="shared" si="130"/>
        <v/>
      </c>
      <c r="C870" t="str">
        <f t="shared" si="131"/>
        <v>**</v>
      </c>
      <c r="D870" t="str">
        <f t="shared" si="132"/>
        <v/>
      </c>
      <c r="E870" t="str">
        <f>IFERROR(VLOOKUP(MID(A870,7,2),Map!$A$2:$B$20,2,FALSE),"")</f>
        <v/>
      </c>
      <c r="F870" t="str">
        <f>IF(A870="","",IFERROR(VLOOKUP(MID(A870,9,2),Map!$R$2:$S$14,2,FALSE),""))</f>
        <v/>
      </c>
      <c r="G870" t="str">
        <f t="shared" si="133"/>
        <v/>
      </c>
      <c r="H870" t="str">
        <f t="shared" si="134"/>
        <v/>
      </c>
      <c r="I870" t="str">
        <f>IF(A870="","",IFERROR(VLOOKUP(LEFT(A870,1),Map!$D$2:$E$20,2,FALSE),""))</f>
        <v/>
      </c>
      <c r="J870" t="str">
        <f>IF(OR(H870="",NOT(OR(LEFT(H870,1)="G",LEFT(H870,1)="R"))),"",IFERROR(VLOOKUP(MID(H870,2,1),Map!$J$2:$M$10,2,FALSE),""))</f>
        <v/>
      </c>
      <c r="K870" t="str">
        <f t="shared" si="135"/>
        <v/>
      </c>
      <c r="L870" t="str">
        <f t="shared" si="136"/>
        <v/>
      </c>
      <c r="M870" t="str">
        <f t="shared" si="137"/>
        <v/>
      </c>
      <c r="N870" t="str">
        <f t="shared" si="138"/>
        <v/>
      </c>
      <c r="O870" t="str">
        <f t="shared" si="139"/>
        <v/>
      </c>
      <c r="P870" t="str">
        <f>IF(OR(H870="",NOT(OR(LEFT(H870,1)="G",LEFT(H870,1)="R"))),"",IFERROR(VLOOKUP(MID(H870,3,1),Map!$G$2:$H$10,2,FALSE),""))</f>
        <v/>
      </c>
      <c r="Q870" t="str">
        <f>IF(A870="","",IFERROR(VLOOKUP(MID(A870,4,1),Map!$O$2:$P$10,2,FALSE),""))</f>
        <v/>
      </c>
    </row>
    <row r="871" spans="2:17" x14ac:dyDescent="0.25">
      <c r="B871" t="str">
        <f t="shared" si="130"/>
        <v/>
      </c>
      <c r="C871" t="str">
        <f t="shared" si="131"/>
        <v>**</v>
      </c>
      <c r="D871" t="str">
        <f t="shared" si="132"/>
        <v/>
      </c>
      <c r="E871" t="str">
        <f>IFERROR(VLOOKUP(MID(A871,7,2),Map!$A$2:$B$20,2,FALSE),"")</f>
        <v/>
      </c>
      <c r="F871" t="str">
        <f>IF(A871="","",IFERROR(VLOOKUP(MID(A871,9,2),Map!$R$2:$S$14,2,FALSE),""))</f>
        <v/>
      </c>
      <c r="G871" t="str">
        <f t="shared" si="133"/>
        <v/>
      </c>
      <c r="H871" t="str">
        <f t="shared" si="134"/>
        <v/>
      </c>
      <c r="I871" t="str">
        <f>IF(A871="","",IFERROR(VLOOKUP(LEFT(A871,1),Map!$D$2:$E$20,2,FALSE),""))</f>
        <v/>
      </c>
      <c r="J871" t="str">
        <f>IF(OR(H871="",NOT(OR(LEFT(H871,1)="G",LEFT(H871,1)="R"))),"",IFERROR(VLOOKUP(MID(H871,2,1),Map!$J$2:$M$10,2,FALSE),""))</f>
        <v/>
      </c>
      <c r="K871" t="str">
        <f t="shared" si="135"/>
        <v/>
      </c>
      <c r="L871" t="str">
        <f t="shared" si="136"/>
        <v/>
      </c>
      <c r="M871" t="str">
        <f t="shared" si="137"/>
        <v/>
      </c>
      <c r="N871" t="str">
        <f t="shared" si="138"/>
        <v/>
      </c>
      <c r="O871" t="str">
        <f t="shared" si="139"/>
        <v/>
      </c>
      <c r="P871" t="str">
        <f>IF(OR(H871="",NOT(OR(LEFT(H871,1)="G",LEFT(H871,1)="R"))),"",IFERROR(VLOOKUP(MID(H871,3,1),Map!$G$2:$H$10,2,FALSE),""))</f>
        <v/>
      </c>
      <c r="Q871" t="str">
        <f>IF(A871="","",IFERROR(VLOOKUP(MID(A871,4,1),Map!$O$2:$P$10,2,FALSE),""))</f>
        <v/>
      </c>
    </row>
    <row r="872" spans="2:17" x14ac:dyDescent="0.25">
      <c r="B872" t="str">
        <f t="shared" si="130"/>
        <v/>
      </c>
      <c r="C872" t="str">
        <f t="shared" si="131"/>
        <v>**</v>
      </c>
      <c r="D872" t="str">
        <f t="shared" si="132"/>
        <v/>
      </c>
      <c r="E872" t="str">
        <f>IFERROR(VLOOKUP(MID(A872,7,2),Map!$A$2:$B$20,2,FALSE),"")</f>
        <v/>
      </c>
      <c r="F872" t="str">
        <f>IF(A872="","",IFERROR(VLOOKUP(MID(A872,9,2),Map!$R$2:$S$14,2,FALSE),""))</f>
        <v/>
      </c>
      <c r="G872" t="str">
        <f t="shared" si="133"/>
        <v/>
      </c>
      <c r="H872" t="str">
        <f t="shared" si="134"/>
        <v/>
      </c>
      <c r="I872" t="str">
        <f>IF(A872="","",IFERROR(VLOOKUP(LEFT(A872,1),Map!$D$2:$E$20,2,FALSE),""))</f>
        <v/>
      </c>
      <c r="J872" t="str">
        <f>IF(OR(H872="",NOT(OR(LEFT(H872,1)="G",LEFT(H872,1)="R"))),"",IFERROR(VLOOKUP(MID(H872,2,1),Map!$J$2:$M$10,2,FALSE),""))</f>
        <v/>
      </c>
      <c r="K872" t="str">
        <f t="shared" si="135"/>
        <v/>
      </c>
      <c r="L872" t="str">
        <f t="shared" si="136"/>
        <v/>
      </c>
      <c r="M872" t="str">
        <f t="shared" si="137"/>
        <v/>
      </c>
      <c r="N872" t="str">
        <f t="shared" si="138"/>
        <v/>
      </c>
      <c r="O872" t="str">
        <f t="shared" si="139"/>
        <v/>
      </c>
      <c r="P872" t="str">
        <f>IF(OR(H872="",NOT(OR(LEFT(H872,1)="G",LEFT(H872,1)="R"))),"",IFERROR(VLOOKUP(MID(H872,3,1),Map!$G$2:$H$10,2,FALSE),""))</f>
        <v/>
      </c>
      <c r="Q872" t="str">
        <f>IF(A872="","",IFERROR(VLOOKUP(MID(A872,4,1),Map!$O$2:$P$10,2,FALSE),""))</f>
        <v/>
      </c>
    </row>
    <row r="873" spans="2:17" x14ac:dyDescent="0.25">
      <c r="B873" t="str">
        <f t="shared" si="130"/>
        <v/>
      </c>
      <c r="C873" t="str">
        <f t="shared" si="131"/>
        <v>**</v>
      </c>
      <c r="D873" t="str">
        <f t="shared" si="132"/>
        <v/>
      </c>
      <c r="E873" t="str">
        <f>IFERROR(VLOOKUP(MID(A873,7,2),Map!$A$2:$B$20,2,FALSE),"")</f>
        <v/>
      </c>
      <c r="F873" t="str">
        <f>IF(A873="","",IFERROR(VLOOKUP(MID(A873,9,2),Map!$R$2:$S$14,2,FALSE),""))</f>
        <v/>
      </c>
      <c r="G873" t="str">
        <f t="shared" si="133"/>
        <v/>
      </c>
      <c r="H873" t="str">
        <f t="shared" si="134"/>
        <v/>
      </c>
      <c r="I873" t="str">
        <f>IF(A873="","",IFERROR(VLOOKUP(LEFT(A873,1),Map!$D$2:$E$20,2,FALSE),""))</f>
        <v/>
      </c>
      <c r="J873" t="str">
        <f>IF(OR(H873="",NOT(OR(LEFT(H873,1)="G",LEFT(H873,1)="R"))),"",IFERROR(VLOOKUP(MID(H873,2,1),Map!$J$2:$M$10,2,FALSE),""))</f>
        <v/>
      </c>
      <c r="K873" t="str">
        <f t="shared" si="135"/>
        <v/>
      </c>
      <c r="L873" t="str">
        <f t="shared" si="136"/>
        <v/>
      </c>
      <c r="M873" t="str">
        <f t="shared" si="137"/>
        <v/>
      </c>
      <c r="N873" t="str">
        <f t="shared" si="138"/>
        <v/>
      </c>
      <c r="O873" t="str">
        <f t="shared" si="139"/>
        <v/>
      </c>
      <c r="P873" t="str">
        <f>IF(OR(H873="",NOT(OR(LEFT(H873,1)="G",LEFT(H873,1)="R"))),"",IFERROR(VLOOKUP(MID(H873,3,1),Map!$G$2:$H$10,2,FALSE),""))</f>
        <v/>
      </c>
      <c r="Q873" t="str">
        <f>IF(A873="","",IFERROR(VLOOKUP(MID(A873,4,1),Map!$O$2:$P$10,2,FALSE),""))</f>
        <v/>
      </c>
    </row>
    <row r="874" spans="2:17" x14ac:dyDescent="0.25">
      <c r="B874" t="str">
        <f t="shared" si="130"/>
        <v/>
      </c>
      <c r="C874" t="str">
        <f t="shared" si="131"/>
        <v>**</v>
      </c>
      <c r="D874" t="str">
        <f t="shared" si="132"/>
        <v/>
      </c>
      <c r="E874" t="str">
        <f>IFERROR(VLOOKUP(MID(A874,7,2),Map!$A$2:$B$20,2,FALSE),"")</f>
        <v/>
      </c>
      <c r="F874" t="str">
        <f>IF(A874="","",IFERROR(VLOOKUP(MID(A874,9,2),Map!$R$2:$S$14,2,FALSE),""))</f>
        <v/>
      </c>
      <c r="G874" t="str">
        <f t="shared" si="133"/>
        <v/>
      </c>
      <c r="H874" t="str">
        <f t="shared" si="134"/>
        <v/>
      </c>
      <c r="I874" t="str">
        <f>IF(A874="","",IFERROR(VLOOKUP(LEFT(A874,1),Map!$D$2:$E$20,2,FALSE),""))</f>
        <v/>
      </c>
      <c r="J874" t="str">
        <f>IF(OR(H874="",NOT(OR(LEFT(H874,1)="G",LEFT(H874,1)="R"))),"",IFERROR(VLOOKUP(MID(H874,2,1),Map!$J$2:$M$10,2,FALSE),""))</f>
        <v/>
      </c>
      <c r="K874" t="str">
        <f t="shared" si="135"/>
        <v/>
      </c>
      <c r="L874" t="str">
        <f t="shared" si="136"/>
        <v/>
      </c>
      <c r="M874" t="str">
        <f t="shared" si="137"/>
        <v/>
      </c>
      <c r="N874" t="str">
        <f t="shared" si="138"/>
        <v/>
      </c>
      <c r="O874" t="str">
        <f t="shared" si="139"/>
        <v/>
      </c>
      <c r="P874" t="str">
        <f>IF(OR(H874="",NOT(OR(LEFT(H874,1)="G",LEFT(H874,1)="R"))),"",IFERROR(VLOOKUP(MID(H874,3,1),Map!$G$2:$H$10,2,FALSE),""))</f>
        <v/>
      </c>
      <c r="Q874" t="str">
        <f>IF(A874="","",IFERROR(VLOOKUP(MID(A874,4,1),Map!$O$2:$P$10,2,FALSE),""))</f>
        <v/>
      </c>
    </row>
    <row r="875" spans="2:17" x14ac:dyDescent="0.25">
      <c r="B875" t="str">
        <f t="shared" si="130"/>
        <v/>
      </c>
      <c r="C875" t="str">
        <f t="shared" si="131"/>
        <v>**</v>
      </c>
      <c r="D875" t="str">
        <f t="shared" si="132"/>
        <v/>
      </c>
      <c r="E875" t="str">
        <f>IFERROR(VLOOKUP(MID(A875,7,2),Map!$A$2:$B$20,2,FALSE),"")</f>
        <v/>
      </c>
      <c r="F875" t="str">
        <f>IF(A875="","",IFERROR(VLOOKUP(MID(A875,9,2),Map!$R$2:$S$14,2,FALSE),""))</f>
        <v/>
      </c>
      <c r="G875" t="str">
        <f t="shared" si="133"/>
        <v/>
      </c>
      <c r="H875" t="str">
        <f t="shared" si="134"/>
        <v/>
      </c>
      <c r="I875" t="str">
        <f>IF(A875="","",IFERROR(VLOOKUP(LEFT(A875,1),Map!$D$2:$E$20,2,FALSE),""))</f>
        <v/>
      </c>
      <c r="J875" t="str">
        <f>IF(OR(H875="",NOT(OR(LEFT(H875,1)="G",LEFT(H875,1)="R"))),"",IFERROR(VLOOKUP(MID(H875,2,1),Map!$J$2:$M$10,2,FALSE),""))</f>
        <v/>
      </c>
      <c r="K875" t="str">
        <f t="shared" si="135"/>
        <v/>
      </c>
      <c r="L875" t="str">
        <f t="shared" si="136"/>
        <v/>
      </c>
      <c r="M875" t="str">
        <f t="shared" si="137"/>
        <v/>
      </c>
      <c r="N875" t="str">
        <f t="shared" si="138"/>
        <v/>
      </c>
      <c r="O875" t="str">
        <f t="shared" si="139"/>
        <v/>
      </c>
      <c r="P875" t="str">
        <f>IF(OR(H875="",NOT(OR(LEFT(H875,1)="G",LEFT(H875,1)="R"))),"",IFERROR(VLOOKUP(MID(H875,3,1),Map!$G$2:$H$10,2,FALSE),""))</f>
        <v/>
      </c>
      <c r="Q875" t="str">
        <f>IF(A875="","",IFERROR(VLOOKUP(MID(A875,4,1),Map!$O$2:$P$10,2,FALSE),""))</f>
        <v/>
      </c>
    </row>
    <row r="876" spans="2:17" x14ac:dyDescent="0.25">
      <c r="B876" t="str">
        <f t="shared" si="130"/>
        <v/>
      </c>
      <c r="C876" t="str">
        <f t="shared" si="131"/>
        <v>**</v>
      </c>
      <c r="D876" t="str">
        <f t="shared" si="132"/>
        <v/>
      </c>
      <c r="E876" t="str">
        <f>IFERROR(VLOOKUP(MID(A876,7,2),Map!$A$2:$B$20,2,FALSE),"")</f>
        <v/>
      </c>
      <c r="F876" t="str">
        <f>IF(A876="","",IFERROR(VLOOKUP(MID(A876,9,2),Map!$R$2:$S$14,2,FALSE),""))</f>
        <v/>
      </c>
      <c r="G876" t="str">
        <f t="shared" si="133"/>
        <v/>
      </c>
      <c r="H876" t="str">
        <f t="shared" si="134"/>
        <v/>
      </c>
      <c r="I876" t="str">
        <f>IF(A876="","",IFERROR(VLOOKUP(LEFT(A876,1),Map!$D$2:$E$20,2,FALSE),""))</f>
        <v/>
      </c>
      <c r="J876" t="str">
        <f>IF(OR(H876="",NOT(OR(LEFT(H876,1)="G",LEFT(H876,1)="R"))),"",IFERROR(VLOOKUP(MID(H876,2,1),Map!$J$2:$M$10,2,FALSE),""))</f>
        <v/>
      </c>
      <c r="K876" t="str">
        <f t="shared" si="135"/>
        <v/>
      </c>
      <c r="L876" t="str">
        <f t="shared" si="136"/>
        <v/>
      </c>
      <c r="M876" t="str">
        <f t="shared" si="137"/>
        <v/>
      </c>
      <c r="N876" t="str">
        <f t="shared" si="138"/>
        <v/>
      </c>
      <c r="O876" t="str">
        <f t="shared" si="139"/>
        <v/>
      </c>
      <c r="P876" t="str">
        <f>IF(OR(H876="",NOT(OR(LEFT(H876,1)="G",LEFT(H876,1)="R"))),"",IFERROR(VLOOKUP(MID(H876,3,1),Map!$G$2:$H$10,2,FALSE),""))</f>
        <v/>
      </c>
      <c r="Q876" t="str">
        <f>IF(A876="","",IFERROR(VLOOKUP(MID(A876,4,1),Map!$O$2:$P$10,2,FALSE),""))</f>
        <v/>
      </c>
    </row>
    <row r="877" spans="2:17" x14ac:dyDescent="0.25">
      <c r="B877" t="str">
        <f t="shared" si="130"/>
        <v/>
      </c>
      <c r="C877" t="str">
        <f t="shared" si="131"/>
        <v>**</v>
      </c>
      <c r="D877" t="str">
        <f t="shared" si="132"/>
        <v/>
      </c>
      <c r="E877" t="str">
        <f>IFERROR(VLOOKUP(MID(A877,7,2),Map!$A$2:$B$20,2,FALSE),"")</f>
        <v/>
      </c>
      <c r="F877" t="str">
        <f>IF(A877="","",IFERROR(VLOOKUP(MID(A877,9,2),Map!$R$2:$S$14,2,FALSE),""))</f>
        <v/>
      </c>
      <c r="G877" t="str">
        <f t="shared" si="133"/>
        <v/>
      </c>
      <c r="H877" t="str">
        <f t="shared" si="134"/>
        <v/>
      </c>
      <c r="I877" t="str">
        <f>IF(A877="","",IFERROR(VLOOKUP(LEFT(A877,1),Map!$D$2:$E$20,2,FALSE),""))</f>
        <v/>
      </c>
      <c r="J877" t="str">
        <f>IF(OR(H877="",NOT(OR(LEFT(H877,1)="G",LEFT(H877,1)="R"))),"",IFERROR(VLOOKUP(MID(H877,2,1),Map!$J$2:$M$10,2,FALSE),""))</f>
        <v/>
      </c>
      <c r="K877" t="str">
        <f t="shared" si="135"/>
        <v/>
      </c>
      <c r="L877" t="str">
        <f t="shared" si="136"/>
        <v/>
      </c>
      <c r="M877" t="str">
        <f t="shared" si="137"/>
        <v/>
      </c>
      <c r="N877" t="str">
        <f t="shared" si="138"/>
        <v/>
      </c>
      <c r="O877" t="str">
        <f t="shared" si="139"/>
        <v/>
      </c>
      <c r="P877" t="str">
        <f>IF(OR(H877="",NOT(OR(LEFT(H877,1)="G",LEFT(H877,1)="R"))),"",IFERROR(VLOOKUP(MID(H877,3,1),Map!$G$2:$H$10,2,FALSE),""))</f>
        <v/>
      </c>
      <c r="Q877" t="str">
        <f>IF(A877="","",IFERROR(VLOOKUP(MID(A877,4,1),Map!$O$2:$P$10,2,FALSE),""))</f>
        <v/>
      </c>
    </row>
    <row r="878" spans="2:17" x14ac:dyDescent="0.25">
      <c r="B878" t="str">
        <f t="shared" si="130"/>
        <v/>
      </c>
      <c r="C878" t="str">
        <f t="shared" si="131"/>
        <v>**</v>
      </c>
      <c r="D878" t="str">
        <f t="shared" si="132"/>
        <v/>
      </c>
      <c r="E878" t="str">
        <f>IFERROR(VLOOKUP(MID(A878,7,2),Map!$A$2:$B$20,2,FALSE),"")</f>
        <v/>
      </c>
      <c r="F878" t="str">
        <f>IF(A878="","",IFERROR(VLOOKUP(MID(A878,9,2),Map!$R$2:$S$14,2,FALSE),""))</f>
        <v/>
      </c>
      <c r="G878" t="str">
        <f t="shared" si="133"/>
        <v/>
      </c>
      <c r="H878" t="str">
        <f t="shared" si="134"/>
        <v/>
      </c>
      <c r="I878" t="str">
        <f>IF(A878="","",IFERROR(VLOOKUP(LEFT(A878,1),Map!$D$2:$E$20,2,FALSE),""))</f>
        <v/>
      </c>
      <c r="J878" t="str">
        <f>IF(OR(H878="",NOT(OR(LEFT(H878,1)="G",LEFT(H878,1)="R"))),"",IFERROR(VLOOKUP(MID(H878,2,1),Map!$J$2:$M$10,2,FALSE),""))</f>
        <v/>
      </c>
      <c r="K878" t="str">
        <f t="shared" si="135"/>
        <v/>
      </c>
      <c r="L878" t="str">
        <f t="shared" si="136"/>
        <v/>
      </c>
      <c r="M878" t="str">
        <f t="shared" si="137"/>
        <v/>
      </c>
      <c r="N878" t="str">
        <f t="shared" si="138"/>
        <v/>
      </c>
      <c r="O878" t="str">
        <f t="shared" si="139"/>
        <v/>
      </c>
      <c r="P878" t="str">
        <f>IF(OR(H878="",NOT(OR(LEFT(H878,1)="G",LEFT(H878,1)="R"))),"",IFERROR(VLOOKUP(MID(H878,3,1),Map!$G$2:$H$10,2,FALSE),""))</f>
        <v/>
      </c>
      <c r="Q878" t="str">
        <f>IF(A878="","",IFERROR(VLOOKUP(MID(A878,4,1),Map!$O$2:$P$10,2,FALSE),""))</f>
        <v/>
      </c>
    </row>
    <row r="879" spans="2:17" x14ac:dyDescent="0.25">
      <c r="B879" t="str">
        <f t="shared" si="130"/>
        <v/>
      </c>
      <c r="C879" t="str">
        <f t="shared" si="131"/>
        <v>**</v>
      </c>
      <c r="D879" t="str">
        <f t="shared" si="132"/>
        <v/>
      </c>
      <c r="E879" t="str">
        <f>IFERROR(VLOOKUP(MID(A879,7,2),Map!$A$2:$B$20,2,FALSE),"")</f>
        <v/>
      </c>
      <c r="F879" t="str">
        <f>IF(A879="","",IFERROR(VLOOKUP(MID(A879,9,2),Map!$R$2:$S$14,2,FALSE),""))</f>
        <v/>
      </c>
      <c r="G879" t="str">
        <f t="shared" si="133"/>
        <v/>
      </c>
      <c r="H879" t="str">
        <f t="shared" si="134"/>
        <v/>
      </c>
      <c r="I879" t="str">
        <f>IF(A879="","",IFERROR(VLOOKUP(LEFT(A879,1),Map!$D$2:$E$20,2,FALSE),""))</f>
        <v/>
      </c>
      <c r="J879" t="str">
        <f>IF(OR(H879="",NOT(OR(LEFT(H879,1)="G",LEFT(H879,1)="R"))),"",IFERROR(VLOOKUP(MID(H879,2,1),Map!$J$2:$M$10,2,FALSE),""))</f>
        <v/>
      </c>
      <c r="K879" t="str">
        <f t="shared" si="135"/>
        <v/>
      </c>
      <c r="L879" t="str">
        <f t="shared" si="136"/>
        <v/>
      </c>
      <c r="M879" t="str">
        <f t="shared" si="137"/>
        <v/>
      </c>
      <c r="N879" t="str">
        <f t="shared" si="138"/>
        <v/>
      </c>
      <c r="O879" t="str">
        <f t="shared" si="139"/>
        <v/>
      </c>
      <c r="P879" t="str">
        <f>IF(OR(H879="",NOT(OR(LEFT(H879,1)="G",LEFT(H879,1)="R"))),"",IFERROR(VLOOKUP(MID(H879,3,1),Map!$G$2:$H$10,2,FALSE),""))</f>
        <v/>
      </c>
      <c r="Q879" t="str">
        <f>IF(A879="","",IFERROR(VLOOKUP(MID(A879,4,1),Map!$O$2:$P$10,2,FALSE),""))</f>
        <v/>
      </c>
    </row>
    <row r="880" spans="2:17" x14ac:dyDescent="0.25">
      <c r="B880" t="str">
        <f t="shared" si="130"/>
        <v/>
      </c>
      <c r="C880" t="str">
        <f t="shared" si="131"/>
        <v>**</v>
      </c>
      <c r="D880" t="str">
        <f t="shared" si="132"/>
        <v/>
      </c>
      <c r="E880" t="str">
        <f>IFERROR(VLOOKUP(MID(A880,7,2),Map!$A$2:$B$20,2,FALSE),"")</f>
        <v/>
      </c>
      <c r="F880" t="str">
        <f>IF(A880="","",IFERROR(VLOOKUP(MID(A880,9,2),Map!$R$2:$S$14,2,FALSE),""))</f>
        <v/>
      </c>
      <c r="G880" t="str">
        <f t="shared" si="133"/>
        <v/>
      </c>
      <c r="H880" t="str">
        <f t="shared" si="134"/>
        <v/>
      </c>
      <c r="I880" t="str">
        <f>IF(A880="","",IFERROR(VLOOKUP(LEFT(A880,1),Map!$D$2:$E$20,2,FALSE),""))</f>
        <v/>
      </c>
      <c r="J880" t="str">
        <f>IF(OR(H880="",NOT(OR(LEFT(H880,1)="G",LEFT(H880,1)="R"))),"",IFERROR(VLOOKUP(MID(H880,2,1),Map!$J$2:$M$10,2,FALSE),""))</f>
        <v/>
      </c>
      <c r="K880" t="str">
        <f t="shared" si="135"/>
        <v/>
      </c>
      <c r="L880" t="str">
        <f t="shared" si="136"/>
        <v/>
      </c>
      <c r="M880" t="str">
        <f t="shared" si="137"/>
        <v/>
      </c>
      <c r="N880" t="str">
        <f t="shared" si="138"/>
        <v/>
      </c>
      <c r="O880" t="str">
        <f t="shared" si="139"/>
        <v/>
      </c>
      <c r="P880" t="str">
        <f>IF(OR(H880="",NOT(OR(LEFT(H880,1)="G",LEFT(H880,1)="R"))),"",IFERROR(VLOOKUP(MID(H880,3,1),Map!$G$2:$H$10,2,FALSE),""))</f>
        <v/>
      </c>
      <c r="Q880" t="str">
        <f>IF(A880="","",IFERROR(VLOOKUP(MID(A880,4,1),Map!$O$2:$P$10,2,FALSE),""))</f>
        <v/>
      </c>
    </row>
    <row r="881" spans="2:17" x14ac:dyDescent="0.25">
      <c r="B881" t="str">
        <f t="shared" si="130"/>
        <v/>
      </c>
      <c r="C881" t="str">
        <f t="shared" si="131"/>
        <v>**</v>
      </c>
      <c r="D881" t="str">
        <f t="shared" si="132"/>
        <v/>
      </c>
      <c r="E881" t="str">
        <f>IFERROR(VLOOKUP(MID(A881,7,2),Map!$A$2:$B$20,2,FALSE),"")</f>
        <v/>
      </c>
      <c r="F881" t="str">
        <f>IF(A881="","",IFERROR(VLOOKUP(MID(A881,9,2),Map!$R$2:$S$14,2,FALSE),""))</f>
        <v/>
      </c>
      <c r="G881" t="str">
        <f t="shared" si="133"/>
        <v/>
      </c>
      <c r="H881" t="str">
        <f t="shared" si="134"/>
        <v/>
      </c>
      <c r="I881" t="str">
        <f>IF(A881="","",IFERROR(VLOOKUP(LEFT(A881,1),Map!$D$2:$E$20,2,FALSE),""))</f>
        <v/>
      </c>
      <c r="J881" t="str">
        <f>IF(OR(H881="",NOT(OR(LEFT(H881,1)="G",LEFT(H881,1)="R"))),"",IFERROR(VLOOKUP(MID(H881,2,1),Map!$J$2:$M$10,2,FALSE),""))</f>
        <v/>
      </c>
      <c r="K881" t="str">
        <f t="shared" si="135"/>
        <v/>
      </c>
      <c r="L881" t="str">
        <f t="shared" si="136"/>
        <v/>
      </c>
      <c r="M881" t="str">
        <f t="shared" si="137"/>
        <v/>
      </c>
      <c r="N881" t="str">
        <f t="shared" si="138"/>
        <v/>
      </c>
      <c r="O881" t="str">
        <f t="shared" si="139"/>
        <v/>
      </c>
      <c r="P881" t="str">
        <f>IF(OR(H881="",NOT(OR(LEFT(H881,1)="G",LEFT(H881,1)="R"))),"",IFERROR(VLOOKUP(MID(H881,3,1),Map!$G$2:$H$10,2,FALSE),""))</f>
        <v/>
      </c>
      <c r="Q881" t="str">
        <f>IF(A881="","",IFERROR(VLOOKUP(MID(A881,4,1),Map!$O$2:$P$10,2,FALSE),""))</f>
        <v/>
      </c>
    </row>
    <row r="882" spans="2:17" x14ac:dyDescent="0.25">
      <c r="B882" t="str">
        <f t="shared" si="130"/>
        <v/>
      </c>
      <c r="C882" t="str">
        <f t="shared" si="131"/>
        <v>**</v>
      </c>
      <c r="D882" t="str">
        <f t="shared" si="132"/>
        <v/>
      </c>
      <c r="E882" t="str">
        <f>IFERROR(VLOOKUP(MID(A882,7,2),Map!$A$2:$B$20,2,FALSE),"")</f>
        <v/>
      </c>
      <c r="F882" t="str">
        <f>IF(A882="","",IFERROR(VLOOKUP(MID(A882,9,2),Map!$R$2:$S$14,2,FALSE),""))</f>
        <v/>
      </c>
      <c r="G882" t="str">
        <f t="shared" si="133"/>
        <v/>
      </c>
      <c r="H882" t="str">
        <f t="shared" si="134"/>
        <v/>
      </c>
      <c r="I882" t="str">
        <f>IF(A882="","",IFERROR(VLOOKUP(LEFT(A882,1),Map!$D$2:$E$20,2,FALSE),""))</f>
        <v/>
      </c>
      <c r="J882" t="str">
        <f>IF(OR(H882="",NOT(OR(LEFT(H882,1)="G",LEFT(H882,1)="R"))),"",IFERROR(VLOOKUP(MID(H882,2,1),Map!$J$2:$M$10,2,FALSE),""))</f>
        <v/>
      </c>
      <c r="K882" t="str">
        <f t="shared" si="135"/>
        <v/>
      </c>
      <c r="L882" t="str">
        <f t="shared" si="136"/>
        <v/>
      </c>
      <c r="M882" t="str">
        <f t="shared" si="137"/>
        <v/>
      </c>
      <c r="N882" t="str">
        <f t="shared" si="138"/>
        <v/>
      </c>
      <c r="O882" t="str">
        <f t="shared" si="139"/>
        <v/>
      </c>
      <c r="P882" t="str">
        <f>IF(OR(H882="",NOT(OR(LEFT(H882,1)="G",LEFT(H882,1)="R"))),"",IFERROR(VLOOKUP(MID(H882,3,1),Map!$G$2:$H$10,2,FALSE),""))</f>
        <v/>
      </c>
      <c r="Q882" t="str">
        <f>IF(A882="","",IFERROR(VLOOKUP(MID(A882,4,1),Map!$O$2:$P$10,2,FALSE),""))</f>
        <v/>
      </c>
    </row>
    <row r="883" spans="2:17" x14ac:dyDescent="0.25">
      <c r="B883" t="str">
        <f t="shared" si="130"/>
        <v/>
      </c>
      <c r="C883" t="str">
        <f t="shared" si="131"/>
        <v>**</v>
      </c>
      <c r="D883" t="str">
        <f t="shared" si="132"/>
        <v/>
      </c>
      <c r="E883" t="str">
        <f>IFERROR(VLOOKUP(MID(A883,7,2),Map!$A$2:$B$20,2,FALSE),"")</f>
        <v/>
      </c>
      <c r="F883" t="str">
        <f>IF(A883="","",IFERROR(VLOOKUP(MID(A883,9,2),Map!$R$2:$S$14,2,FALSE),""))</f>
        <v/>
      </c>
      <c r="G883" t="str">
        <f t="shared" si="133"/>
        <v/>
      </c>
      <c r="H883" t="str">
        <f t="shared" si="134"/>
        <v/>
      </c>
      <c r="I883" t="str">
        <f>IF(A883="","",IFERROR(VLOOKUP(LEFT(A883,1),Map!$D$2:$E$20,2,FALSE),""))</f>
        <v/>
      </c>
      <c r="J883" t="str">
        <f>IF(OR(H883="",NOT(OR(LEFT(H883,1)="G",LEFT(H883,1)="R"))),"",IFERROR(VLOOKUP(MID(H883,2,1),Map!$J$2:$M$10,2,FALSE),""))</f>
        <v/>
      </c>
      <c r="K883" t="str">
        <f t="shared" si="135"/>
        <v/>
      </c>
      <c r="L883" t="str">
        <f t="shared" si="136"/>
        <v/>
      </c>
      <c r="M883" t="str">
        <f t="shared" si="137"/>
        <v/>
      </c>
      <c r="N883" t="str">
        <f t="shared" si="138"/>
        <v/>
      </c>
      <c r="O883" t="str">
        <f t="shared" si="139"/>
        <v/>
      </c>
      <c r="P883" t="str">
        <f>IF(OR(H883="",NOT(OR(LEFT(H883,1)="G",LEFT(H883,1)="R"))),"",IFERROR(VLOOKUP(MID(H883,3,1),Map!$G$2:$H$10,2,FALSE),""))</f>
        <v/>
      </c>
      <c r="Q883" t="str">
        <f>IF(A883="","",IFERROR(VLOOKUP(MID(A883,4,1),Map!$O$2:$P$10,2,FALSE),""))</f>
        <v/>
      </c>
    </row>
    <row r="884" spans="2:17" x14ac:dyDescent="0.25">
      <c r="B884" t="str">
        <f t="shared" si="130"/>
        <v/>
      </c>
      <c r="C884" t="str">
        <f t="shared" si="131"/>
        <v>**</v>
      </c>
      <c r="D884" t="str">
        <f t="shared" si="132"/>
        <v/>
      </c>
      <c r="E884" t="str">
        <f>IFERROR(VLOOKUP(MID(A884,7,2),Map!$A$2:$B$20,2,FALSE),"")</f>
        <v/>
      </c>
      <c r="F884" t="str">
        <f>IF(A884="","",IFERROR(VLOOKUP(MID(A884,9,2),Map!$R$2:$S$14,2,FALSE),""))</f>
        <v/>
      </c>
      <c r="G884" t="str">
        <f t="shared" si="133"/>
        <v/>
      </c>
      <c r="H884" t="str">
        <f t="shared" si="134"/>
        <v/>
      </c>
      <c r="I884" t="str">
        <f>IF(A884="","",IFERROR(VLOOKUP(LEFT(A884,1),Map!$D$2:$E$20,2,FALSE),""))</f>
        <v/>
      </c>
      <c r="J884" t="str">
        <f>IF(OR(H884="",NOT(OR(LEFT(H884,1)="G",LEFT(H884,1)="R"))),"",IFERROR(VLOOKUP(MID(H884,2,1),Map!$J$2:$M$10,2,FALSE),""))</f>
        <v/>
      </c>
      <c r="K884" t="str">
        <f t="shared" si="135"/>
        <v/>
      </c>
      <c r="L884" t="str">
        <f t="shared" si="136"/>
        <v/>
      </c>
      <c r="M884" t="str">
        <f t="shared" si="137"/>
        <v/>
      </c>
      <c r="N884" t="str">
        <f t="shared" si="138"/>
        <v/>
      </c>
      <c r="O884" t="str">
        <f t="shared" si="139"/>
        <v/>
      </c>
      <c r="P884" t="str">
        <f>IF(OR(H884="",NOT(OR(LEFT(H884,1)="G",LEFT(H884,1)="R"))),"",IFERROR(VLOOKUP(MID(H884,3,1),Map!$G$2:$H$10,2,FALSE),""))</f>
        <v/>
      </c>
      <c r="Q884" t="str">
        <f>IF(A884="","",IFERROR(VLOOKUP(MID(A884,4,1),Map!$O$2:$P$10,2,FALSE),""))</f>
        <v/>
      </c>
    </row>
    <row r="885" spans="2:17" x14ac:dyDescent="0.25">
      <c r="B885" t="str">
        <f t="shared" si="130"/>
        <v/>
      </c>
      <c r="C885" t="str">
        <f t="shared" si="131"/>
        <v>**</v>
      </c>
      <c r="D885" t="str">
        <f t="shared" si="132"/>
        <v/>
      </c>
      <c r="E885" t="str">
        <f>IFERROR(VLOOKUP(MID(A885,7,2),Map!$A$2:$B$20,2,FALSE),"")</f>
        <v/>
      </c>
      <c r="F885" t="str">
        <f>IF(A885="","",IFERROR(VLOOKUP(MID(A885,9,2),Map!$R$2:$S$14,2,FALSE),""))</f>
        <v/>
      </c>
      <c r="G885" t="str">
        <f t="shared" si="133"/>
        <v/>
      </c>
      <c r="H885" t="str">
        <f t="shared" si="134"/>
        <v/>
      </c>
      <c r="I885" t="str">
        <f>IF(A885="","",IFERROR(VLOOKUP(LEFT(A885,1),Map!$D$2:$E$20,2,FALSE),""))</f>
        <v/>
      </c>
      <c r="J885" t="str">
        <f>IF(OR(H885="",NOT(OR(LEFT(H885,1)="G",LEFT(H885,1)="R"))),"",IFERROR(VLOOKUP(MID(H885,2,1),Map!$J$2:$M$10,2,FALSE),""))</f>
        <v/>
      </c>
      <c r="K885" t="str">
        <f t="shared" si="135"/>
        <v/>
      </c>
      <c r="L885" t="str">
        <f t="shared" si="136"/>
        <v/>
      </c>
      <c r="M885" t="str">
        <f t="shared" si="137"/>
        <v/>
      </c>
      <c r="N885" t="str">
        <f t="shared" si="138"/>
        <v/>
      </c>
      <c r="O885" t="str">
        <f t="shared" si="139"/>
        <v/>
      </c>
      <c r="P885" t="str">
        <f>IF(OR(H885="",NOT(OR(LEFT(H885,1)="G",LEFT(H885,1)="R"))),"",IFERROR(VLOOKUP(MID(H885,3,1),Map!$G$2:$H$10,2,FALSE),""))</f>
        <v/>
      </c>
      <c r="Q885" t="str">
        <f>IF(A885="","",IFERROR(VLOOKUP(MID(A885,4,1),Map!$O$2:$P$10,2,FALSE),""))</f>
        <v/>
      </c>
    </row>
    <row r="886" spans="2:17" x14ac:dyDescent="0.25">
      <c r="B886" t="str">
        <f t="shared" si="130"/>
        <v/>
      </c>
      <c r="C886" t="str">
        <f t="shared" si="131"/>
        <v>**</v>
      </c>
      <c r="D886" t="str">
        <f t="shared" si="132"/>
        <v/>
      </c>
      <c r="E886" t="str">
        <f>IFERROR(VLOOKUP(MID(A886,7,2),Map!$A$2:$B$20,2,FALSE),"")</f>
        <v/>
      </c>
      <c r="F886" t="str">
        <f>IF(A886="","",IFERROR(VLOOKUP(MID(A886,9,2),Map!$R$2:$S$14,2,FALSE),""))</f>
        <v/>
      </c>
      <c r="G886" t="str">
        <f t="shared" si="133"/>
        <v/>
      </c>
      <c r="H886" t="str">
        <f t="shared" si="134"/>
        <v/>
      </c>
      <c r="I886" t="str">
        <f>IF(A886="","",IFERROR(VLOOKUP(LEFT(A886,1),Map!$D$2:$E$20,2,FALSE),""))</f>
        <v/>
      </c>
      <c r="J886" t="str">
        <f>IF(OR(H886="",NOT(OR(LEFT(H886,1)="G",LEFT(H886,1)="R"))),"",IFERROR(VLOOKUP(MID(H886,2,1),Map!$J$2:$M$10,2,FALSE),""))</f>
        <v/>
      </c>
      <c r="K886" t="str">
        <f t="shared" si="135"/>
        <v/>
      </c>
      <c r="L886" t="str">
        <f t="shared" si="136"/>
        <v/>
      </c>
      <c r="M886" t="str">
        <f t="shared" si="137"/>
        <v/>
      </c>
      <c r="N886" t="str">
        <f t="shared" si="138"/>
        <v/>
      </c>
      <c r="O886" t="str">
        <f t="shared" si="139"/>
        <v/>
      </c>
      <c r="P886" t="str">
        <f>IF(OR(H886="",NOT(OR(LEFT(H886,1)="G",LEFT(H886,1)="R"))),"",IFERROR(VLOOKUP(MID(H886,3,1),Map!$G$2:$H$10,2,FALSE),""))</f>
        <v/>
      </c>
      <c r="Q886" t="str">
        <f>IF(A886="","",IFERROR(VLOOKUP(MID(A886,4,1),Map!$O$2:$P$10,2,FALSE),""))</f>
        <v/>
      </c>
    </row>
    <row r="887" spans="2:17" x14ac:dyDescent="0.25">
      <c r="B887" t="str">
        <f t="shared" si="130"/>
        <v/>
      </c>
      <c r="C887" t="str">
        <f t="shared" si="131"/>
        <v>**</v>
      </c>
      <c r="D887" t="str">
        <f t="shared" si="132"/>
        <v/>
      </c>
      <c r="E887" t="str">
        <f>IFERROR(VLOOKUP(MID(A887,7,2),Map!$A$2:$B$20,2,FALSE),"")</f>
        <v/>
      </c>
      <c r="F887" t="str">
        <f>IF(A887="","",IFERROR(VLOOKUP(MID(A887,9,2),Map!$R$2:$S$14,2,FALSE),""))</f>
        <v/>
      </c>
      <c r="G887" t="str">
        <f t="shared" si="133"/>
        <v/>
      </c>
      <c r="H887" t="str">
        <f t="shared" si="134"/>
        <v/>
      </c>
      <c r="I887" t="str">
        <f>IF(A887="","",IFERROR(VLOOKUP(LEFT(A887,1),Map!$D$2:$E$20,2,FALSE),""))</f>
        <v/>
      </c>
      <c r="J887" t="str">
        <f>IF(OR(H887="",NOT(OR(LEFT(H887,1)="G",LEFT(H887,1)="R"))),"",IFERROR(VLOOKUP(MID(H887,2,1),Map!$J$2:$M$10,2,FALSE),""))</f>
        <v/>
      </c>
      <c r="K887" t="str">
        <f t="shared" si="135"/>
        <v/>
      </c>
      <c r="L887" t="str">
        <f t="shared" si="136"/>
        <v/>
      </c>
      <c r="M887" t="str">
        <f t="shared" si="137"/>
        <v/>
      </c>
      <c r="N887" t="str">
        <f t="shared" si="138"/>
        <v/>
      </c>
      <c r="O887" t="str">
        <f t="shared" si="139"/>
        <v/>
      </c>
      <c r="P887" t="str">
        <f>IF(OR(H887="",NOT(OR(LEFT(H887,1)="G",LEFT(H887,1)="R"))),"",IFERROR(VLOOKUP(MID(H887,3,1),Map!$G$2:$H$10,2,FALSE),""))</f>
        <v/>
      </c>
      <c r="Q887" t="str">
        <f>IF(A887="","",IFERROR(VLOOKUP(MID(A887,4,1),Map!$O$2:$P$10,2,FALSE),""))</f>
        <v/>
      </c>
    </row>
    <row r="888" spans="2:17" x14ac:dyDescent="0.25">
      <c r="B888" t="str">
        <f t="shared" si="130"/>
        <v/>
      </c>
      <c r="C888" t="str">
        <f t="shared" si="131"/>
        <v>**</v>
      </c>
      <c r="D888" t="str">
        <f t="shared" si="132"/>
        <v/>
      </c>
      <c r="E888" t="str">
        <f>IFERROR(VLOOKUP(MID(A888,7,2),Map!$A$2:$B$20,2,FALSE),"")</f>
        <v/>
      </c>
      <c r="F888" t="str">
        <f>IF(A888="","",IFERROR(VLOOKUP(MID(A888,9,2),Map!$R$2:$S$14,2,FALSE),""))</f>
        <v/>
      </c>
      <c r="G888" t="str">
        <f t="shared" si="133"/>
        <v/>
      </c>
      <c r="H888" t="str">
        <f t="shared" si="134"/>
        <v/>
      </c>
      <c r="I888" t="str">
        <f>IF(A888="","",IFERROR(VLOOKUP(LEFT(A888,1),Map!$D$2:$E$20,2,FALSE),""))</f>
        <v/>
      </c>
      <c r="J888" t="str">
        <f>IF(OR(H888="",NOT(OR(LEFT(H888,1)="G",LEFT(H888,1)="R"))),"",IFERROR(VLOOKUP(MID(H888,2,1),Map!$J$2:$M$10,2,FALSE),""))</f>
        <v/>
      </c>
      <c r="K888" t="str">
        <f t="shared" si="135"/>
        <v/>
      </c>
      <c r="L888" t="str">
        <f t="shared" si="136"/>
        <v/>
      </c>
      <c r="M888" t="str">
        <f t="shared" si="137"/>
        <v/>
      </c>
      <c r="N888" t="str">
        <f t="shared" si="138"/>
        <v/>
      </c>
      <c r="O888" t="str">
        <f t="shared" si="139"/>
        <v/>
      </c>
      <c r="P888" t="str">
        <f>IF(OR(H888="",NOT(OR(LEFT(H888,1)="G",LEFT(H888,1)="R"))),"",IFERROR(VLOOKUP(MID(H888,3,1),Map!$G$2:$H$10,2,FALSE),""))</f>
        <v/>
      </c>
      <c r="Q888" t="str">
        <f>IF(A888="","",IFERROR(VLOOKUP(MID(A888,4,1),Map!$O$2:$P$10,2,FALSE),""))</f>
        <v/>
      </c>
    </row>
    <row r="889" spans="2:17" x14ac:dyDescent="0.25">
      <c r="B889" t="str">
        <f t="shared" si="130"/>
        <v/>
      </c>
      <c r="C889" t="str">
        <f t="shared" si="131"/>
        <v>**</v>
      </c>
      <c r="D889" t="str">
        <f t="shared" si="132"/>
        <v/>
      </c>
      <c r="E889" t="str">
        <f>IFERROR(VLOOKUP(MID(A889,7,2),Map!$A$2:$B$20,2,FALSE),"")</f>
        <v/>
      </c>
      <c r="F889" t="str">
        <f>IF(A889="","",IFERROR(VLOOKUP(MID(A889,9,2),Map!$R$2:$S$14,2,FALSE),""))</f>
        <v/>
      </c>
      <c r="G889" t="str">
        <f t="shared" si="133"/>
        <v/>
      </c>
      <c r="H889" t="str">
        <f t="shared" si="134"/>
        <v/>
      </c>
      <c r="I889" t="str">
        <f>IF(A889="","",IFERROR(VLOOKUP(LEFT(A889,1),Map!$D$2:$E$20,2,FALSE),""))</f>
        <v/>
      </c>
      <c r="J889" t="str">
        <f>IF(OR(H889="",NOT(OR(LEFT(H889,1)="G",LEFT(H889,1)="R"))),"",IFERROR(VLOOKUP(MID(H889,2,1),Map!$J$2:$M$10,2,FALSE),""))</f>
        <v/>
      </c>
      <c r="K889" t="str">
        <f t="shared" si="135"/>
        <v/>
      </c>
      <c r="L889" t="str">
        <f t="shared" si="136"/>
        <v/>
      </c>
      <c r="M889" t="str">
        <f t="shared" si="137"/>
        <v/>
      </c>
      <c r="N889" t="str">
        <f t="shared" si="138"/>
        <v/>
      </c>
      <c r="O889" t="str">
        <f t="shared" si="139"/>
        <v/>
      </c>
      <c r="P889" t="str">
        <f>IF(OR(H889="",NOT(OR(LEFT(H889,1)="G",LEFT(H889,1)="R"))),"",IFERROR(VLOOKUP(MID(H889,3,1),Map!$G$2:$H$10,2,FALSE),""))</f>
        <v/>
      </c>
      <c r="Q889" t="str">
        <f>IF(A889="","",IFERROR(VLOOKUP(MID(A889,4,1),Map!$O$2:$P$10,2,FALSE),""))</f>
        <v/>
      </c>
    </row>
    <row r="890" spans="2:17" x14ac:dyDescent="0.25">
      <c r="B890" t="str">
        <f t="shared" si="130"/>
        <v/>
      </c>
      <c r="C890" t="str">
        <f t="shared" si="131"/>
        <v>**</v>
      </c>
      <c r="D890" t="str">
        <f t="shared" si="132"/>
        <v/>
      </c>
      <c r="E890" t="str">
        <f>IFERROR(VLOOKUP(MID(A890,7,2),Map!$A$2:$B$20,2,FALSE),"")</f>
        <v/>
      </c>
      <c r="F890" t="str">
        <f>IF(A890="","",IFERROR(VLOOKUP(MID(A890,9,2),Map!$R$2:$S$14,2,FALSE),""))</f>
        <v/>
      </c>
      <c r="G890" t="str">
        <f t="shared" si="133"/>
        <v/>
      </c>
      <c r="H890" t="str">
        <f t="shared" si="134"/>
        <v/>
      </c>
      <c r="I890" t="str">
        <f>IF(A890="","",IFERROR(VLOOKUP(LEFT(A890,1),Map!$D$2:$E$20,2,FALSE),""))</f>
        <v/>
      </c>
      <c r="J890" t="str">
        <f>IF(OR(H890="",NOT(OR(LEFT(H890,1)="G",LEFT(H890,1)="R"))),"",IFERROR(VLOOKUP(MID(H890,2,1),Map!$J$2:$M$10,2,FALSE),""))</f>
        <v/>
      </c>
      <c r="K890" t="str">
        <f t="shared" si="135"/>
        <v/>
      </c>
      <c r="L890" t="str">
        <f t="shared" si="136"/>
        <v/>
      </c>
      <c r="M890" t="str">
        <f t="shared" si="137"/>
        <v/>
      </c>
      <c r="N890" t="str">
        <f t="shared" si="138"/>
        <v/>
      </c>
      <c r="O890" t="str">
        <f t="shared" si="139"/>
        <v/>
      </c>
      <c r="P890" t="str">
        <f>IF(OR(H890="",NOT(OR(LEFT(H890,1)="G",LEFT(H890,1)="R"))),"",IFERROR(VLOOKUP(MID(H890,3,1),Map!$G$2:$H$10,2,FALSE),""))</f>
        <v/>
      </c>
      <c r="Q890" t="str">
        <f>IF(A890="","",IFERROR(VLOOKUP(MID(A890,4,1),Map!$O$2:$P$10,2,FALSE),""))</f>
        <v/>
      </c>
    </row>
    <row r="891" spans="2:17" x14ac:dyDescent="0.25">
      <c r="B891" t="str">
        <f t="shared" si="130"/>
        <v/>
      </c>
      <c r="C891" t="str">
        <f t="shared" si="131"/>
        <v>**</v>
      </c>
      <c r="D891" t="str">
        <f t="shared" si="132"/>
        <v/>
      </c>
      <c r="E891" t="str">
        <f>IFERROR(VLOOKUP(MID(A891,7,2),Map!$A$2:$B$20,2,FALSE),"")</f>
        <v/>
      </c>
      <c r="F891" t="str">
        <f>IF(A891="","",IFERROR(VLOOKUP(MID(A891,9,2),Map!$R$2:$S$14,2,FALSE),""))</f>
        <v/>
      </c>
      <c r="G891" t="str">
        <f t="shared" si="133"/>
        <v/>
      </c>
      <c r="H891" t="str">
        <f t="shared" si="134"/>
        <v/>
      </c>
      <c r="I891" t="str">
        <f>IF(A891="","",IFERROR(VLOOKUP(LEFT(A891,1),Map!$D$2:$E$20,2,FALSE),""))</f>
        <v/>
      </c>
      <c r="J891" t="str">
        <f>IF(OR(H891="",NOT(OR(LEFT(H891,1)="G",LEFT(H891,1)="R"))),"",IFERROR(VLOOKUP(MID(H891,2,1),Map!$J$2:$M$10,2,FALSE),""))</f>
        <v/>
      </c>
      <c r="K891" t="str">
        <f t="shared" si="135"/>
        <v/>
      </c>
      <c r="L891" t="str">
        <f t="shared" si="136"/>
        <v/>
      </c>
      <c r="M891" t="str">
        <f t="shared" si="137"/>
        <v/>
      </c>
      <c r="N891" t="str">
        <f t="shared" si="138"/>
        <v/>
      </c>
      <c r="O891" t="str">
        <f t="shared" si="139"/>
        <v/>
      </c>
      <c r="P891" t="str">
        <f>IF(OR(H891="",NOT(OR(LEFT(H891,1)="G",LEFT(H891,1)="R"))),"",IFERROR(VLOOKUP(MID(H891,3,1),Map!$G$2:$H$10,2,FALSE),""))</f>
        <v/>
      </c>
      <c r="Q891" t="str">
        <f>IF(A891="","",IFERROR(VLOOKUP(MID(A891,4,1),Map!$O$2:$P$10,2,FALSE),""))</f>
        <v/>
      </c>
    </row>
    <row r="892" spans="2:17" x14ac:dyDescent="0.25">
      <c r="B892" t="str">
        <f t="shared" si="130"/>
        <v/>
      </c>
      <c r="C892" t="str">
        <f t="shared" si="131"/>
        <v>**</v>
      </c>
      <c r="D892" t="str">
        <f t="shared" si="132"/>
        <v/>
      </c>
      <c r="E892" t="str">
        <f>IFERROR(VLOOKUP(MID(A892,7,2),Map!$A$2:$B$20,2,FALSE),"")</f>
        <v/>
      </c>
      <c r="F892" t="str">
        <f>IF(A892="","",IFERROR(VLOOKUP(MID(A892,9,2),Map!$R$2:$S$14,2,FALSE),""))</f>
        <v/>
      </c>
      <c r="G892" t="str">
        <f t="shared" si="133"/>
        <v/>
      </c>
      <c r="H892" t="str">
        <f t="shared" si="134"/>
        <v/>
      </c>
      <c r="I892" t="str">
        <f>IF(A892="","",IFERROR(VLOOKUP(LEFT(A892,1),Map!$D$2:$E$20,2,FALSE),""))</f>
        <v/>
      </c>
      <c r="J892" t="str">
        <f>IF(OR(H892="",NOT(OR(LEFT(H892,1)="G",LEFT(H892,1)="R"))),"",IFERROR(VLOOKUP(MID(H892,2,1),Map!$J$2:$M$10,2,FALSE),""))</f>
        <v/>
      </c>
      <c r="K892" t="str">
        <f t="shared" si="135"/>
        <v/>
      </c>
      <c r="L892" t="str">
        <f t="shared" si="136"/>
        <v/>
      </c>
      <c r="M892" t="str">
        <f t="shared" si="137"/>
        <v/>
      </c>
      <c r="N892" t="str">
        <f t="shared" si="138"/>
        <v/>
      </c>
      <c r="O892" t="str">
        <f t="shared" si="139"/>
        <v/>
      </c>
      <c r="P892" t="str">
        <f>IF(OR(H892="",NOT(OR(LEFT(H892,1)="G",LEFT(H892,1)="R"))),"",IFERROR(VLOOKUP(MID(H892,3,1),Map!$G$2:$H$10,2,FALSE),""))</f>
        <v/>
      </c>
      <c r="Q892" t="str">
        <f>IF(A892="","",IFERROR(VLOOKUP(MID(A892,4,1),Map!$O$2:$P$10,2,FALSE),""))</f>
        <v/>
      </c>
    </row>
    <row r="893" spans="2:17" x14ac:dyDescent="0.25">
      <c r="B893" t="str">
        <f t="shared" si="130"/>
        <v/>
      </c>
      <c r="C893" t="str">
        <f t="shared" si="131"/>
        <v>**</v>
      </c>
      <c r="D893" t="str">
        <f t="shared" si="132"/>
        <v/>
      </c>
      <c r="E893" t="str">
        <f>IFERROR(VLOOKUP(MID(A893,7,2),Map!$A$2:$B$20,2,FALSE),"")</f>
        <v/>
      </c>
      <c r="F893" t="str">
        <f>IF(A893="","",IFERROR(VLOOKUP(MID(A893,9,2),Map!$R$2:$S$14,2,FALSE),""))</f>
        <v/>
      </c>
      <c r="G893" t="str">
        <f t="shared" si="133"/>
        <v/>
      </c>
      <c r="H893" t="str">
        <f t="shared" si="134"/>
        <v/>
      </c>
      <c r="I893" t="str">
        <f>IF(A893="","",IFERROR(VLOOKUP(LEFT(A893,1),Map!$D$2:$E$20,2,FALSE),""))</f>
        <v/>
      </c>
      <c r="J893" t="str">
        <f>IF(OR(H893="",NOT(OR(LEFT(H893,1)="G",LEFT(H893,1)="R"))),"",IFERROR(VLOOKUP(MID(H893,2,1),Map!$J$2:$M$10,2,FALSE),""))</f>
        <v/>
      </c>
      <c r="K893" t="str">
        <f t="shared" si="135"/>
        <v/>
      </c>
      <c r="L893" t="str">
        <f t="shared" si="136"/>
        <v/>
      </c>
      <c r="M893" t="str">
        <f t="shared" si="137"/>
        <v/>
      </c>
      <c r="N893" t="str">
        <f t="shared" si="138"/>
        <v/>
      </c>
      <c r="O893" t="str">
        <f t="shared" si="139"/>
        <v/>
      </c>
      <c r="P893" t="str">
        <f>IF(OR(H893="",NOT(OR(LEFT(H893,1)="G",LEFT(H893,1)="R"))),"",IFERROR(VLOOKUP(MID(H893,3,1),Map!$G$2:$H$10,2,FALSE),""))</f>
        <v/>
      </c>
      <c r="Q893" t="str">
        <f>IF(A893="","",IFERROR(VLOOKUP(MID(A893,4,1),Map!$O$2:$P$10,2,FALSE),""))</f>
        <v/>
      </c>
    </row>
    <row r="894" spans="2:17" x14ac:dyDescent="0.25">
      <c r="B894" t="str">
        <f t="shared" si="130"/>
        <v/>
      </c>
      <c r="C894" t="str">
        <f t="shared" si="131"/>
        <v>**</v>
      </c>
      <c r="D894" t="str">
        <f t="shared" si="132"/>
        <v/>
      </c>
      <c r="E894" t="str">
        <f>IFERROR(VLOOKUP(MID(A894,7,2),Map!$A$2:$B$20,2,FALSE),"")</f>
        <v/>
      </c>
      <c r="F894" t="str">
        <f>IF(A894="","",IFERROR(VLOOKUP(MID(A894,9,2),Map!$R$2:$S$14,2,FALSE),""))</f>
        <v/>
      </c>
      <c r="G894" t="str">
        <f t="shared" si="133"/>
        <v/>
      </c>
      <c r="H894" t="str">
        <f t="shared" si="134"/>
        <v/>
      </c>
      <c r="I894" t="str">
        <f>IF(A894="","",IFERROR(VLOOKUP(LEFT(A894,1),Map!$D$2:$E$20,2,FALSE),""))</f>
        <v/>
      </c>
      <c r="J894" t="str">
        <f>IF(OR(H894="",NOT(OR(LEFT(H894,1)="G",LEFT(H894,1)="R"))),"",IFERROR(VLOOKUP(MID(H894,2,1),Map!$J$2:$M$10,2,FALSE),""))</f>
        <v/>
      </c>
      <c r="K894" t="str">
        <f t="shared" si="135"/>
        <v/>
      </c>
      <c r="L894" t="str">
        <f t="shared" si="136"/>
        <v/>
      </c>
      <c r="M894" t="str">
        <f t="shared" si="137"/>
        <v/>
      </c>
      <c r="N894" t="str">
        <f t="shared" si="138"/>
        <v/>
      </c>
      <c r="O894" t="str">
        <f t="shared" si="139"/>
        <v/>
      </c>
      <c r="P894" t="str">
        <f>IF(OR(H894="",NOT(OR(LEFT(H894,1)="G",LEFT(H894,1)="R"))),"",IFERROR(VLOOKUP(MID(H894,3,1),Map!$G$2:$H$10,2,FALSE),""))</f>
        <v/>
      </c>
      <c r="Q894" t="str">
        <f>IF(A894="","",IFERROR(VLOOKUP(MID(A894,4,1),Map!$O$2:$P$10,2,FALSE),""))</f>
        <v/>
      </c>
    </row>
    <row r="895" spans="2:17" x14ac:dyDescent="0.25">
      <c r="B895" t="str">
        <f t="shared" si="130"/>
        <v/>
      </c>
      <c r="C895" t="str">
        <f t="shared" si="131"/>
        <v>**</v>
      </c>
      <c r="D895" t="str">
        <f t="shared" si="132"/>
        <v/>
      </c>
      <c r="E895" t="str">
        <f>IFERROR(VLOOKUP(MID(A895,7,2),Map!$A$2:$B$20,2,FALSE),"")</f>
        <v/>
      </c>
      <c r="F895" t="str">
        <f>IF(A895="","",IFERROR(VLOOKUP(MID(A895,9,2),Map!$R$2:$S$14,2,FALSE),""))</f>
        <v/>
      </c>
      <c r="G895" t="str">
        <f t="shared" si="133"/>
        <v/>
      </c>
      <c r="H895" t="str">
        <f t="shared" si="134"/>
        <v/>
      </c>
      <c r="I895" t="str">
        <f>IF(A895="","",IFERROR(VLOOKUP(LEFT(A895,1),Map!$D$2:$E$20,2,FALSE),""))</f>
        <v/>
      </c>
      <c r="J895" t="str">
        <f>IF(OR(H895="",NOT(OR(LEFT(H895,1)="G",LEFT(H895,1)="R"))),"",IFERROR(VLOOKUP(MID(H895,2,1),Map!$J$2:$M$10,2,FALSE),""))</f>
        <v/>
      </c>
      <c r="K895" t="str">
        <f t="shared" si="135"/>
        <v/>
      </c>
      <c r="L895" t="str">
        <f t="shared" si="136"/>
        <v/>
      </c>
      <c r="M895" t="str">
        <f t="shared" si="137"/>
        <v/>
      </c>
      <c r="N895" t="str">
        <f t="shared" si="138"/>
        <v/>
      </c>
      <c r="O895" t="str">
        <f t="shared" si="139"/>
        <v/>
      </c>
      <c r="P895" t="str">
        <f>IF(OR(H895="",NOT(OR(LEFT(H895,1)="G",LEFT(H895,1)="R"))),"",IFERROR(VLOOKUP(MID(H895,3,1),Map!$G$2:$H$10,2,FALSE),""))</f>
        <v/>
      </c>
      <c r="Q895" t="str">
        <f>IF(A895="","",IFERROR(VLOOKUP(MID(A895,4,1),Map!$O$2:$P$10,2,FALSE),""))</f>
        <v/>
      </c>
    </row>
    <row r="896" spans="2:17" x14ac:dyDescent="0.25">
      <c r="B896" t="str">
        <f t="shared" si="130"/>
        <v/>
      </c>
      <c r="C896" t="str">
        <f t="shared" si="131"/>
        <v>**</v>
      </c>
      <c r="D896" t="str">
        <f t="shared" si="132"/>
        <v/>
      </c>
      <c r="E896" t="str">
        <f>IFERROR(VLOOKUP(MID(A896,7,2),Map!$A$2:$B$20,2,FALSE),"")</f>
        <v/>
      </c>
      <c r="F896" t="str">
        <f>IF(A896="","",IFERROR(VLOOKUP(MID(A896,9,2),Map!$R$2:$S$14,2,FALSE),""))</f>
        <v/>
      </c>
      <c r="G896" t="str">
        <f t="shared" si="133"/>
        <v/>
      </c>
      <c r="H896" t="str">
        <f t="shared" si="134"/>
        <v/>
      </c>
      <c r="I896" t="str">
        <f>IF(A896="","",IFERROR(VLOOKUP(LEFT(A896,1),Map!$D$2:$E$20,2,FALSE),""))</f>
        <v/>
      </c>
      <c r="J896" t="str">
        <f>IF(OR(H896="",NOT(OR(LEFT(H896,1)="G",LEFT(H896,1)="R"))),"",IFERROR(VLOOKUP(MID(H896,2,1),Map!$J$2:$M$10,2,FALSE),""))</f>
        <v/>
      </c>
      <c r="K896" t="str">
        <f t="shared" si="135"/>
        <v/>
      </c>
      <c r="L896" t="str">
        <f t="shared" si="136"/>
        <v/>
      </c>
      <c r="M896" t="str">
        <f t="shared" si="137"/>
        <v/>
      </c>
      <c r="N896" t="str">
        <f t="shared" si="138"/>
        <v/>
      </c>
      <c r="O896" t="str">
        <f t="shared" si="139"/>
        <v/>
      </c>
      <c r="P896" t="str">
        <f>IF(OR(H896="",NOT(OR(LEFT(H896,1)="G",LEFT(H896,1)="R"))),"",IFERROR(VLOOKUP(MID(H896,3,1),Map!$G$2:$H$10,2,FALSE),""))</f>
        <v/>
      </c>
      <c r="Q896" t="str">
        <f>IF(A896="","",IFERROR(VLOOKUP(MID(A896,4,1),Map!$O$2:$P$10,2,FALSE),""))</f>
        <v/>
      </c>
    </row>
    <row r="897" spans="2:17" x14ac:dyDescent="0.25">
      <c r="B897" t="str">
        <f t="shared" si="130"/>
        <v/>
      </c>
      <c r="C897" t="str">
        <f t="shared" si="131"/>
        <v>**</v>
      </c>
      <c r="D897" t="str">
        <f t="shared" si="132"/>
        <v/>
      </c>
      <c r="E897" t="str">
        <f>IFERROR(VLOOKUP(MID(A897,7,2),Map!$A$2:$B$20,2,FALSE),"")</f>
        <v/>
      </c>
      <c r="F897" t="str">
        <f>IF(A897="","",IFERROR(VLOOKUP(MID(A897,9,2),Map!$R$2:$S$14,2,FALSE),""))</f>
        <v/>
      </c>
      <c r="G897" t="str">
        <f t="shared" si="133"/>
        <v/>
      </c>
      <c r="H897" t="str">
        <f t="shared" si="134"/>
        <v/>
      </c>
      <c r="I897" t="str">
        <f>IF(A897="","",IFERROR(VLOOKUP(LEFT(A897,1),Map!$D$2:$E$20,2,FALSE),""))</f>
        <v/>
      </c>
      <c r="J897" t="str">
        <f>IF(OR(H897="",NOT(OR(LEFT(H897,1)="G",LEFT(H897,1)="R"))),"",IFERROR(VLOOKUP(MID(H897,2,1),Map!$J$2:$M$10,2,FALSE),""))</f>
        <v/>
      </c>
      <c r="K897" t="str">
        <f t="shared" si="135"/>
        <v/>
      </c>
      <c r="L897" t="str">
        <f t="shared" si="136"/>
        <v/>
      </c>
      <c r="M897" t="str">
        <f t="shared" si="137"/>
        <v/>
      </c>
      <c r="N897" t="str">
        <f t="shared" si="138"/>
        <v/>
      </c>
      <c r="O897" t="str">
        <f t="shared" si="139"/>
        <v/>
      </c>
      <c r="P897" t="str">
        <f>IF(OR(H897="",NOT(OR(LEFT(H897,1)="G",LEFT(H897,1)="R"))),"",IFERROR(VLOOKUP(MID(H897,3,1),Map!$G$2:$H$10,2,FALSE),""))</f>
        <v/>
      </c>
      <c r="Q897" t="str">
        <f>IF(A897="","",IFERROR(VLOOKUP(MID(A897,4,1),Map!$O$2:$P$10,2,FALSE),""))</f>
        <v/>
      </c>
    </row>
    <row r="898" spans="2:17" x14ac:dyDescent="0.25">
      <c r="B898" t="str">
        <f t="shared" ref="B898:B961" si="140">LEFT(A898,4)</f>
        <v/>
      </c>
      <c r="C898" t="str">
        <f t="shared" ref="C898:C961" si="141">LEFT(A898,2)&amp;"**"</f>
        <v>**</v>
      </c>
      <c r="D898" t="str">
        <f t="shared" ref="D898:D961" si="142">MID(A898,5,2)</f>
        <v/>
      </c>
      <c r="E898" t="str">
        <f>IFERROR(VLOOKUP(MID(A898,7,2),Map!$A$2:$B$20,2,FALSE),"")</f>
        <v/>
      </c>
      <c r="F898" t="str">
        <f>IF(A898="","",IFERROR(VLOOKUP(MID(A898,9,2),Map!$R$2:$S$14,2,FALSE),""))</f>
        <v/>
      </c>
      <c r="G898" t="str">
        <f t="shared" ref="G898:G961" si="143">IFERROR(MID(A898,FIND("-",A898)+1,FIND("-",A898,FIND("-",A898)+1)-FIND("-",A898)-1),"")</f>
        <v/>
      </c>
      <c r="H898" t="str">
        <f t="shared" ref="H898:H961" si="144">IFERROR(RIGHT(A898,LEN(A898)-FIND("-",A898,FIND("-",A898)+1)),"")</f>
        <v/>
      </c>
      <c r="I898" t="str">
        <f>IF(A898="","",IFERROR(VLOOKUP(LEFT(A898,1),Map!$D$2:$E$20,2,FALSE),""))</f>
        <v/>
      </c>
      <c r="J898" t="str">
        <f>IF(OR(H898="",NOT(OR(LEFT(H898,1)="G",LEFT(H898,1)="R"))),"",IFERROR(VLOOKUP(MID(H898,2,1),Map!$J$2:$M$10,2,FALSE),""))</f>
        <v/>
      </c>
      <c r="K898" t="str">
        <f t="shared" ref="K898:K961" si="145">IF(OR(H898="",NOT(OR(LEFT(H898,1)="G",LEFT(H898,1)="R")),MID(H898,2,1)&lt;&gt;"A"),"","M")</f>
        <v/>
      </c>
      <c r="L898" t="str">
        <f t="shared" ref="L898:L961" si="146">IF(OR(H898="",NOT(OR(LEFT(H898,1)="G",LEFT(H898,1)="R")),MID(H898,2,1)&lt;&gt;"A"),"","K")</f>
        <v/>
      </c>
      <c r="M898" t="str">
        <f t="shared" ref="M898:M961" si="147">IF(OR(H898="",NOT(OR(LEFT(H898,1)="G",LEFT(H898,1)="R"))),"","")</f>
        <v/>
      </c>
      <c r="N898" t="str">
        <f t="shared" ref="N898:N961" si="148">IF(OR(H898="",NOT(OR(LEFT(H898,1)="G",LEFT(H898,1)="R"))),"","")</f>
        <v/>
      </c>
      <c r="O898" t="str">
        <f t="shared" ref="O898:O961" si="149">IF(OR(H898="",NOT(OR(LEFT(H898,1)="G",LEFT(H898,1)="R"))),"","")</f>
        <v/>
      </c>
      <c r="P898" t="str">
        <f>IF(OR(H898="",NOT(OR(LEFT(H898,1)="G",LEFT(H898,1)="R"))),"",IFERROR(VLOOKUP(MID(H898,3,1),Map!$G$2:$H$10,2,FALSE),""))</f>
        <v/>
      </c>
      <c r="Q898" t="str">
        <f>IF(A898="","",IFERROR(VLOOKUP(MID(A898,4,1),Map!$O$2:$P$10,2,FALSE),""))</f>
        <v/>
      </c>
    </row>
    <row r="899" spans="2:17" x14ac:dyDescent="0.25">
      <c r="B899" t="str">
        <f t="shared" si="140"/>
        <v/>
      </c>
      <c r="C899" t="str">
        <f t="shared" si="141"/>
        <v>**</v>
      </c>
      <c r="D899" t="str">
        <f t="shared" si="142"/>
        <v/>
      </c>
      <c r="E899" t="str">
        <f>IFERROR(VLOOKUP(MID(A899,7,2),Map!$A$2:$B$20,2,FALSE),"")</f>
        <v/>
      </c>
      <c r="F899" t="str">
        <f>IF(A899="","",IFERROR(VLOOKUP(MID(A899,9,2),Map!$R$2:$S$14,2,FALSE),""))</f>
        <v/>
      </c>
      <c r="G899" t="str">
        <f t="shared" si="143"/>
        <v/>
      </c>
      <c r="H899" t="str">
        <f t="shared" si="144"/>
        <v/>
      </c>
      <c r="I899" t="str">
        <f>IF(A899="","",IFERROR(VLOOKUP(LEFT(A899,1),Map!$D$2:$E$20,2,FALSE),""))</f>
        <v/>
      </c>
      <c r="J899" t="str">
        <f>IF(OR(H899="",NOT(OR(LEFT(H899,1)="G",LEFT(H899,1)="R"))),"",IFERROR(VLOOKUP(MID(H899,2,1),Map!$J$2:$M$10,2,FALSE),""))</f>
        <v/>
      </c>
      <c r="K899" t="str">
        <f t="shared" si="145"/>
        <v/>
      </c>
      <c r="L899" t="str">
        <f t="shared" si="146"/>
        <v/>
      </c>
      <c r="M899" t="str">
        <f t="shared" si="147"/>
        <v/>
      </c>
      <c r="N899" t="str">
        <f t="shared" si="148"/>
        <v/>
      </c>
      <c r="O899" t="str">
        <f t="shared" si="149"/>
        <v/>
      </c>
      <c r="P899" t="str">
        <f>IF(OR(H899="",NOT(OR(LEFT(H899,1)="G",LEFT(H899,1)="R"))),"",IFERROR(VLOOKUP(MID(H899,3,1),Map!$G$2:$H$10,2,FALSE),""))</f>
        <v/>
      </c>
      <c r="Q899" t="str">
        <f>IF(A899="","",IFERROR(VLOOKUP(MID(A899,4,1),Map!$O$2:$P$10,2,FALSE),""))</f>
        <v/>
      </c>
    </row>
    <row r="900" spans="2:17" x14ac:dyDescent="0.25">
      <c r="B900" t="str">
        <f t="shared" si="140"/>
        <v/>
      </c>
      <c r="C900" t="str">
        <f t="shared" si="141"/>
        <v>**</v>
      </c>
      <c r="D900" t="str">
        <f t="shared" si="142"/>
        <v/>
      </c>
      <c r="E900" t="str">
        <f>IFERROR(VLOOKUP(MID(A900,7,2),Map!$A$2:$B$20,2,FALSE),"")</f>
        <v/>
      </c>
      <c r="F900" t="str">
        <f>IF(A900="","",IFERROR(VLOOKUP(MID(A900,9,2),Map!$R$2:$S$14,2,FALSE),""))</f>
        <v/>
      </c>
      <c r="G900" t="str">
        <f t="shared" si="143"/>
        <v/>
      </c>
      <c r="H900" t="str">
        <f t="shared" si="144"/>
        <v/>
      </c>
      <c r="I900" t="str">
        <f>IF(A900="","",IFERROR(VLOOKUP(LEFT(A900,1),Map!$D$2:$E$20,2,FALSE),""))</f>
        <v/>
      </c>
      <c r="J900" t="str">
        <f>IF(OR(H900="",NOT(OR(LEFT(H900,1)="G",LEFT(H900,1)="R"))),"",IFERROR(VLOOKUP(MID(H900,2,1),Map!$J$2:$M$10,2,FALSE),""))</f>
        <v/>
      </c>
      <c r="K900" t="str">
        <f t="shared" si="145"/>
        <v/>
      </c>
      <c r="L900" t="str">
        <f t="shared" si="146"/>
        <v/>
      </c>
      <c r="M900" t="str">
        <f t="shared" si="147"/>
        <v/>
      </c>
      <c r="N900" t="str">
        <f t="shared" si="148"/>
        <v/>
      </c>
      <c r="O900" t="str">
        <f t="shared" si="149"/>
        <v/>
      </c>
      <c r="P900" t="str">
        <f>IF(OR(H900="",NOT(OR(LEFT(H900,1)="G",LEFT(H900,1)="R"))),"",IFERROR(VLOOKUP(MID(H900,3,1),Map!$G$2:$H$10,2,FALSE),""))</f>
        <v/>
      </c>
      <c r="Q900" t="str">
        <f>IF(A900="","",IFERROR(VLOOKUP(MID(A900,4,1),Map!$O$2:$P$10,2,FALSE),""))</f>
        <v/>
      </c>
    </row>
    <row r="901" spans="2:17" x14ac:dyDescent="0.25">
      <c r="B901" t="str">
        <f t="shared" si="140"/>
        <v/>
      </c>
      <c r="C901" t="str">
        <f t="shared" si="141"/>
        <v>**</v>
      </c>
      <c r="D901" t="str">
        <f t="shared" si="142"/>
        <v/>
      </c>
      <c r="E901" t="str">
        <f>IFERROR(VLOOKUP(MID(A901,7,2),Map!$A$2:$B$20,2,FALSE),"")</f>
        <v/>
      </c>
      <c r="F901" t="str">
        <f>IF(A901="","",IFERROR(VLOOKUP(MID(A901,9,2),Map!$R$2:$S$14,2,FALSE),""))</f>
        <v/>
      </c>
      <c r="G901" t="str">
        <f t="shared" si="143"/>
        <v/>
      </c>
      <c r="H901" t="str">
        <f t="shared" si="144"/>
        <v/>
      </c>
      <c r="I901" t="str">
        <f>IF(A901="","",IFERROR(VLOOKUP(LEFT(A901,1),Map!$D$2:$E$20,2,FALSE),""))</f>
        <v/>
      </c>
      <c r="J901" t="str">
        <f>IF(OR(H901="",NOT(OR(LEFT(H901,1)="G",LEFT(H901,1)="R"))),"",IFERROR(VLOOKUP(MID(H901,2,1),Map!$J$2:$M$10,2,FALSE),""))</f>
        <v/>
      </c>
      <c r="K901" t="str">
        <f t="shared" si="145"/>
        <v/>
      </c>
      <c r="L901" t="str">
        <f t="shared" si="146"/>
        <v/>
      </c>
      <c r="M901" t="str">
        <f t="shared" si="147"/>
        <v/>
      </c>
      <c r="N901" t="str">
        <f t="shared" si="148"/>
        <v/>
      </c>
      <c r="O901" t="str">
        <f t="shared" si="149"/>
        <v/>
      </c>
      <c r="P901" t="str">
        <f>IF(OR(H901="",NOT(OR(LEFT(H901,1)="G",LEFT(H901,1)="R"))),"",IFERROR(VLOOKUP(MID(H901,3,1),Map!$G$2:$H$10,2,FALSE),""))</f>
        <v/>
      </c>
      <c r="Q901" t="str">
        <f>IF(A901="","",IFERROR(VLOOKUP(MID(A901,4,1),Map!$O$2:$P$10,2,FALSE),""))</f>
        <v/>
      </c>
    </row>
    <row r="902" spans="2:17" x14ac:dyDescent="0.25">
      <c r="B902" t="str">
        <f t="shared" si="140"/>
        <v/>
      </c>
      <c r="C902" t="str">
        <f t="shared" si="141"/>
        <v>**</v>
      </c>
      <c r="D902" t="str">
        <f t="shared" si="142"/>
        <v/>
      </c>
      <c r="E902" t="str">
        <f>IFERROR(VLOOKUP(MID(A902,7,2),Map!$A$2:$B$20,2,FALSE),"")</f>
        <v/>
      </c>
      <c r="F902" t="str">
        <f>IF(A902="","",IFERROR(VLOOKUP(MID(A902,9,2),Map!$R$2:$S$14,2,FALSE),""))</f>
        <v/>
      </c>
      <c r="G902" t="str">
        <f t="shared" si="143"/>
        <v/>
      </c>
      <c r="H902" t="str">
        <f t="shared" si="144"/>
        <v/>
      </c>
      <c r="I902" t="str">
        <f>IF(A902="","",IFERROR(VLOOKUP(LEFT(A902,1),Map!$D$2:$E$20,2,FALSE),""))</f>
        <v/>
      </c>
      <c r="J902" t="str">
        <f>IF(OR(H902="",NOT(OR(LEFT(H902,1)="G",LEFT(H902,1)="R"))),"",IFERROR(VLOOKUP(MID(H902,2,1),Map!$J$2:$M$10,2,FALSE),""))</f>
        <v/>
      </c>
      <c r="K902" t="str">
        <f t="shared" si="145"/>
        <v/>
      </c>
      <c r="L902" t="str">
        <f t="shared" si="146"/>
        <v/>
      </c>
      <c r="M902" t="str">
        <f t="shared" si="147"/>
        <v/>
      </c>
      <c r="N902" t="str">
        <f t="shared" si="148"/>
        <v/>
      </c>
      <c r="O902" t="str">
        <f t="shared" si="149"/>
        <v/>
      </c>
      <c r="P902" t="str">
        <f>IF(OR(H902="",NOT(OR(LEFT(H902,1)="G",LEFT(H902,1)="R"))),"",IFERROR(VLOOKUP(MID(H902,3,1),Map!$G$2:$H$10,2,FALSE),""))</f>
        <v/>
      </c>
      <c r="Q902" t="str">
        <f>IF(A902="","",IFERROR(VLOOKUP(MID(A902,4,1),Map!$O$2:$P$10,2,FALSE),""))</f>
        <v/>
      </c>
    </row>
    <row r="903" spans="2:17" x14ac:dyDescent="0.25">
      <c r="B903" t="str">
        <f t="shared" si="140"/>
        <v/>
      </c>
      <c r="C903" t="str">
        <f t="shared" si="141"/>
        <v>**</v>
      </c>
      <c r="D903" t="str">
        <f t="shared" si="142"/>
        <v/>
      </c>
      <c r="E903" t="str">
        <f>IFERROR(VLOOKUP(MID(A903,7,2),Map!$A$2:$B$20,2,FALSE),"")</f>
        <v/>
      </c>
      <c r="F903" t="str">
        <f>IF(A903="","",IFERROR(VLOOKUP(MID(A903,9,2),Map!$R$2:$S$14,2,FALSE),""))</f>
        <v/>
      </c>
      <c r="G903" t="str">
        <f t="shared" si="143"/>
        <v/>
      </c>
      <c r="H903" t="str">
        <f t="shared" si="144"/>
        <v/>
      </c>
      <c r="I903" t="str">
        <f>IF(A903="","",IFERROR(VLOOKUP(LEFT(A903,1),Map!$D$2:$E$20,2,FALSE),""))</f>
        <v/>
      </c>
      <c r="J903" t="str">
        <f>IF(OR(H903="",NOT(OR(LEFT(H903,1)="G",LEFT(H903,1)="R"))),"",IFERROR(VLOOKUP(MID(H903,2,1),Map!$J$2:$M$10,2,FALSE),""))</f>
        <v/>
      </c>
      <c r="K903" t="str">
        <f t="shared" si="145"/>
        <v/>
      </c>
      <c r="L903" t="str">
        <f t="shared" si="146"/>
        <v/>
      </c>
      <c r="M903" t="str">
        <f t="shared" si="147"/>
        <v/>
      </c>
      <c r="N903" t="str">
        <f t="shared" si="148"/>
        <v/>
      </c>
      <c r="O903" t="str">
        <f t="shared" si="149"/>
        <v/>
      </c>
      <c r="P903" t="str">
        <f>IF(OR(H903="",NOT(OR(LEFT(H903,1)="G",LEFT(H903,1)="R"))),"",IFERROR(VLOOKUP(MID(H903,3,1),Map!$G$2:$H$10,2,FALSE),""))</f>
        <v/>
      </c>
      <c r="Q903" t="str">
        <f>IF(A903="","",IFERROR(VLOOKUP(MID(A903,4,1),Map!$O$2:$P$10,2,FALSE),""))</f>
        <v/>
      </c>
    </row>
    <row r="904" spans="2:17" x14ac:dyDescent="0.25">
      <c r="B904" t="str">
        <f t="shared" si="140"/>
        <v/>
      </c>
      <c r="C904" t="str">
        <f t="shared" si="141"/>
        <v>**</v>
      </c>
      <c r="D904" t="str">
        <f t="shared" si="142"/>
        <v/>
      </c>
      <c r="E904" t="str">
        <f>IFERROR(VLOOKUP(MID(A904,7,2),Map!$A$2:$B$20,2,FALSE),"")</f>
        <v/>
      </c>
      <c r="F904" t="str">
        <f>IF(A904="","",IFERROR(VLOOKUP(MID(A904,9,2),Map!$R$2:$S$14,2,FALSE),""))</f>
        <v/>
      </c>
      <c r="G904" t="str">
        <f t="shared" si="143"/>
        <v/>
      </c>
      <c r="H904" t="str">
        <f t="shared" si="144"/>
        <v/>
      </c>
      <c r="I904" t="str">
        <f>IF(A904="","",IFERROR(VLOOKUP(LEFT(A904,1),Map!$D$2:$E$20,2,FALSE),""))</f>
        <v/>
      </c>
      <c r="J904" t="str">
        <f>IF(OR(H904="",NOT(OR(LEFT(H904,1)="G",LEFT(H904,1)="R"))),"",IFERROR(VLOOKUP(MID(H904,2,1),Map!$J$2:$M$10,2,FALSE),""))</f>
        <v/>
      </c>
      <c r="K904" t="str">
        <f t="shared" si="145"/>
        <v/>
      </c>
      <c r="L904" t="str">
        <f t="shared" si="146"/>
        <v/>
      </c>
      <c r="M904" t="str">
        <f t="shared" si="147"/>
        <v/>
      </c>
      <c r="N904" t="str">
        <f t="shared" si="148"/>
        <v/>
      </c>
      <c r="O904" t="str">
        <f t="shared" si="149"/>
        <v/>
      </c>
      <c r="P904" t="str">
        <f>IF(OR(H904="",NOT(OR(LEFT(H904,1)="G",LEFT(H904,1)="R"))),"",IFERROR(VLOOKUP(MID(H904,3,1),Map!$G$2:$H$10,2,FALSE),""))</f>
        <v/>
      </c>
      <c r="Q904" t="str">
        <f>IF(A904="","",IFERROR(VLOOKUP(MID(A904,4,1),Map!$O$2:$P$10,2,FALSE),""))</f>
        <v/>
      </c>
    </row>
    <row r="905" spans="2:17" x14ac:dyDescent="0.25">
      <c r="B905" t="str">
        <f t="shared" si="140"/>
        <v/>
      </c>
      <c r="C905" t="str">
        <f t="shared" si="141"/>
        <v>**</v>
      </c>
      <c r="D905" t="str">
        <f t="shared" si="142"/>
        <v/>
      </c>
      <c r="E905" t="str">
        <f>IFERROR(VLOOKUP(MID(A905,7,2),Map!$A$2:$B$20,2,FALSE),"")</f>
        <v/>
      </c>
      <c r="F905" t="str">
        <f>IF(A905="","",IFERROR(VLOOKUP(MID(A905,9,2),Map!$R$2:$S$14,2,FALSE),""))</f>
        <v/>
      </c>
      <c r="G905" t="str">
        <f t="shared" si="143"/>
        <v/>
      </c>
      <c r="H905" t="str">
        <f t="shared" si="144"/>
        <v/>
      </c>
      <c r="I905" t="str">
        <f>IF(A905="","",IFERROR(VLOOKUP(LEFT(A905,1),Map!$D$2:$E$20,2,FALSE),""))</f>
        <v/>
      </c>
      <c r="J905" t="str">
        <f>IF(OR(H905="",NOT(OR(LEFT(H905,1)="G",LEFT(H905,1)="R"))),"",IFERROR(VLOOKUP(MID(H905,2,1),Map!$J$2:$M$10,2,FALSE),""))</f>
        <v/>
      </c>
      <c r="K905" t="str">
        <f t="shared" si="145"/>
        <v/>
      </c>
      <c r="L905" t="str">
        <f t="shared" si="146"/>
        <v/>
      </c>
      <c r="M905" t="str">
        <f t="shared" si="147"/>
        <v/>
      </c>
      <c r="N905" t="str">
        <f t="shared" si="148"/>
        <v/>
      </c>
      <c r="O905" t="str">
        <f t="shared" si="149"/>
        <v/>
      </c>
      <c r="P905" t="str">
        <f>IF(OR(H905="",NOT(OR(LEFT(H905,1)="G",LEFT(H905,1)="R"))),"",IFERROR(VLOOKUP(MID(H905,3,1),Map!$G$2:$H$10,2,FALSE),""))</f>
        <v/>
      </c>
      <c r="Q905" t="str">
        <f>IF(A905="","",IFERROR(VLOOKUP(MID(A905,4,1),Map!$O$2:$P$10,2,FALSE),""))</f>
        <v/>
      </c>
    </row>
    <row r="906" spans="2:17" x14ac:dyDescent="0.25">
      <c r="B906" t="str">
        <f t="shared" si="140"/>
        <v/>
      </c>
      <c r="C906" t="str">
        <f t="shared" si="141"/>
        <v>**</v>
      </c>
      <c r="D906" t="str">
        <f t="shared" si="142"/>
        <v/>
      </c>
      <c r="E906" t="str">
        <f>IFERROR(VLOOKUP(MID(A906,7,2),Map!$A$2:$B$20,2,FALSE),"")</f>
        <v/>
      </c>
      <c r="F906" t="str">
        <f>IF(A906="","",IFERROR(VLOOKUP(MID(A906,9,2),Map!$R$2:$S$14,2,FALSE),""))</f>
        <v/>
      </c>
      <c r="G906" t="str">
        <f t="shared" si="143"/>
        <v/>
      </c>
      <c r="H906" t="str">
        <f t="shared" si="144"/>
        <v/>
      </c>
      <c r="I906" t="str">
        <f>IF(A906="","",IFERROR(VLOOKUP(LEFT(A906,1),Map!$D$2:$E$20,2,FALSE),""))</f>
        <v/>
      </c>
      <c r="J906" t="str">
        <f>IF(OR(H906="",NOT(OR(LEFT(H906,1)="G",LEFT(H906,1)="R"))),"",IFERROR(VLOOKUP(MID(H906,2,1),Map!$J$2:$M$10,2,FALSE),""))</f>
        <v/>
      </c>
      <c r="K906" t="str">
        <f t="shared" si="145"/>
        <v/>
      </c>
      <c r="L906" t="str">
        <f t="shared" si="146"/>
        <v/>
      </c>
      <c r="M906" t="str">
        <f t="shared" si="147"/>
        <v/>
      </c>
      <c r="N906" t="str">
        <f t="shared" si="148"/>
        <v/>
      </c>
      <c r="O906" t="str">
        <f t="shared" si="149"/>
        <v/>
      </c>
      <c r="P906" t="str">
        <f>IF(OR(H906="",NOT(OR(LEFT(H906,1)="G",LEFT(H906,1)="R"))),"",IFERROR(VLOOKUP(MID(H906,3,1),Map!$G$2:$H$10,2,FALSE),""))</f>
        <v/>
      </c>
      <c r="Q906" t="str">
        <f>IF(A906="","",IFERROR(VLOOKUP(MID(A906,4,1),Map!$O$2:$P$10,2,FALSE),""))</f>
        <v/>
      </c>
    </row>
    <row r="907" spans="2:17" x14ac:dyDescent="0.25">
      <c r="B907" t="str">
        <f t="shared" si="140"/>
        <v/>
      </c>
      <c r="C907" t="str">
        <f t="shared" si="141"/>
        <v>**</v>
      </c>
      <c r="D907" t="str">
        <f t="shared" si="142"/>
        <v/>
      </c>
      <c r="E907" t="str">
        <f>IFERROR(VLOOKUP(MID(A907,7,2),Map!$A$2:$B$20,2,FALSE),"")</f>
        <v/>
      </c>
      <c r="F907" t="str">
        <f>IF(A907="","",IFERROR(VLOOKUP(MID(A907,9,2),Map!$R$2:$S$14,2,FALSE),""))</f>
        <v/>
      </c>
      <c r="G907" t="str">
        <f t="shared" si="143"/>
        <v/>
      </c>
      <c r="H907" t="str">
        <f t="shared" si="144"/>
        <v/>
      </c>
      <c r="I907" t="str">
        <f>IF(A907="","",IFERROR(VLOOKUP(LEFT(A907,1),Map!$D$2:$E$20,2,FALSE),""))</f>
        <v/>
      </c>
      <c r="J907" t="str">
        <f>IF(OR(H907="",NOT(OR(LEFT(H907,1)="G",LEFT(H907,1)="R"))),"",IFERROR(VLOOKUP(MID(H907,2,1),Map!$J$2:$M$10,2,FALSE),""))</f>
        <v/>
      </c>
      <c r="K907" t="str">
        <f t="shared" si="145"/>
        <v/>
      </c>
      <c r="L907" t="str">
        <f t="shared" si="146"/>
        <v/>
      </c>
      <c r="M907" t="str">
        <f t="shared" si="147"/>
        <v/>
      </c>
      <c r="N907" t="str">
        <f t="shared" si="148"/>
        <v/>
      </c>
      <c r="O907" t="str">
        <f t="shared" si="149"/>
        <v/>
      </c>
      <c r="P907" t="str">
        <f>IF(OR(H907="",NOT(OR(LEFT(H907,1)="G",LEFT(H907,1)="R"))),"",IFERROR(VLOOKUP(MID(H907,3,1),Map!$G$2:$H$10,2,FALSE),""))</f>
        <v/>
      </c>
      <c r="Q907" t="str">
        <f>IF(A907="","",IFERROR(VLOOKUP(MID(A907,4,1),Map!$O$2:$P$10,2,FALSE),""))</f>
        <v/>
      </c>
    </row>
    <row r="908" spans="2:17" x14ac:dyDescent="0.25">
      <c r="B908" t="str">
        <f t="shared" si="140"/>
        <v/>
      </c>
      <c r="C908" t="str">
        <f t="shared" si="141"/>
        <v>**</v>
      </c>
      <c r="D908" t="str">
        <f t="shared" si="142"/>
        <v/>
      </c>
      <c r="E908" t="str">
        <f>IFERROR(VLOOKUP(MID(A908,7,2),Map!$A$2:$B$20,2,FALSE),"")</f>
        <v/>
      </c>
      <c r="F908" t="str">
        <f>IF(A908="","",IFERROR(VLOOKUP(MID(A908,9,2),Map!$R$2:$S$14,2,FALSE),""))</f>
        <v/>
      </c>
      <c r="G908" t="str">
        <f t="shared" si="143"/>
        <v/>
      </c>
      <c r="H908" t="str">
        <f t="shared" si="144"/>
        <v/>
      </c>
      <c r="I908" t="str">
        <f>IF(A908="","",IFERROR(VLOOKUP(LEFT(A908,1),Map!$D$2:$E$20,2,FALSE),""))</f>
        <v/>
      </c>
      <c r="J908" t="str">
        <f>IF(OR(H908="",NOT(OR(LEFT(H908,1)="G",LEFT(H908,1)="R"))),"",IFERROR(VLOOKUP(MID(H908,2,1),Map!$J$2:$M$10,2,FALSE),""))</f>
        <v/>
      </c>
      <c r="K908" t="str">
        <f t="shared" si="145"/>
        <v/>
      </c>
      <c r="L908" t="str">
        <f t="shared" si="146"/>
        <v/>
      </c>
      <c r="M908" t="str">
        <f t="shared" si="147"/>
        <v/>
      </c>
      <c r="N908" t="str">
        <f t="shared" si="148"/>
        <v/>
      </c>
      <c r="O908" t="str">
        <f t="shared" si="149"/>
        <v/>
      </c>
      <c r="P908" t="str">
        <f>IF(OR(H908="",NOT(OR(LEFT(H908,1)="G",LEFT(H908,1)="R"))),"",IFERROR(VLOOKUP(MID(H908,3,1),Map!$G$2:$H$10,2,FALSE),""))</f>
        <v/>
      </c>
      <c r="Q908" t="str">
        <f>IF(A908="","",IFERROR(VLOOKUP(MID(A908,4,1),Map!$O$2:$P$10,2,FALSE),""))</f>
        <v/>
      </c>
    </row>
    <row r="909" spans="2:17" x14ac:dyDescent="0.25">
      <c r="B909" t="str">
        <f t="shared" si="140"/>
        <v/>
      </c>
      <c r="C909" t="str">
        <f t="shared" si="141"/>
        <v>**</v>
      </c>
      <c r="D909" t="str">
        <f t="shared" si="142"/>
        <v/>
      </c>
      <c r="E909" t="str">
        <f>IFERROR(VLOOKUP(MID(A909,7,2),Map!$A$2:$B$20,2,FALSE),"")</f>
        <v/>
      </c>
      <c r="F909" t="str">
        <f>IF(A909="","",IFERROR(VLOOKUP(MID(A909,9,2),Map!$R$2:$S$14,2,FALSE),""))</f>
        <v/>
      </c>
      <c r="G909" t="str">
        <f t="shared" si="143"/>
        <v/>
      </c>
      <c r="H909" t="str">
        <f t="shared" si="144"/>
        <v/>
      </c>
      <c r="I909" t="str">
        <f>IF(A909="","",IFERROR(VLOOKUP(LEFT(A909,1),Map!$D$2:$E$20,2,FALSE),""))</f>
        <v/>
      </c>
      <c r="J909" t="str">
        <f>IF(OR(H909="",NOT(OR(LEFT(H909,1)="G",LEFT(H909,1)="R"))),"",IFERROR(VLOOKUP(MID(H909,2,1),Map!$J$2:$M$10,2,FALSE),""))</f>
        <v/>
      </c>
      <c r="K909" t="str">
        <f t="shared" si="145"/>
        <v/>
      </c>
      <c r="L909" t="str">
        <f t="shared" si="146"/>
        <v/>
      </c>
      <c r="M909" t="str">
        <f t="shared" si="147"/>
        <v/>
      </c>
      <c r="N909" t="str">
        <f t="shared" si="148"/>
        <v/>
      </c>
      <c r="O909" t="str">
        <f t="shared" si="149"/>
        <v/>
      </c>
      <c r="P909" t="str">
        <f>IF(OR(H909="",NOT(OR(LEFT(H909,1)="G",LEFT(H909,1)="R"))),"",IFERROR(VLOOKUP(MID(H909,3,1),Map!$G$2:$H$10,2,FALSE),""))</f>
        <v/>
      </c>
      <c r="Q909" t="str">
        <f>IF(A909="","",IFERROR(VLOOKUP(MID(A909,4,1),Map!$O$2:$P$10,2,FALSE),""))</f>
        <v/>
      </c>
    </row>
    <row r="910" spans="2:17" x14ac:dyDescent="0.25">
      <c r="B910" t="str">
        <f t="shared" si="140"/>
        <v/>
      </c>
      <c r="C910" t="str">
        <f t="shared" si="141"/>
        <v>**</v>
      </c>
      <c r="D910" t="str">
        <f t="shared" si="142"/>
        <v/>
      </c>
      <c r="E910" t="str">
        <f>IFERROR(VLOOKUP(MID(A910,7,2),Map!$A$2:$B$20,2,FALSE),"")</f>
        <v/>
      </c>
      <c r="F910" t="str">
        <f>IF(A910="","",IFERROR(VLOOKUP(MID(A910,9,2),Map!$R$2:$S$14,2,FALSE),""))</f>
        <v/>
      </c>
      <c r="G910" t="str">
        <f t="shared" si="143"/>
        <v/>
      </c>
      <c r="H910" t="str">
        <f t="shared" si="144"/>
        <v/>
      </c>
      <c r="I910" t="str">
        <f>IF(A910="","",IFERROR(VLOOKUP(LEFT(A910,1),Map!$D$2:$E$20,2,FALSE),""))</f>
        <v/>
      </c>
      <c r="J910" t="str">
        <f>IF(OR(H910="",NOT(OR(LEFT(H910,1)="G",LEFT(H910,1)="R"))),"",IFERROR(VLOOKUP(MID(H910,2,1),Map!$J$2:$M$10,2,FALSE),""))</f>
        <v/>
      </c>
      <c r="K910" t="str">
        <f t="shared" si="145"/>
        <v/>
      </c>
      <c r="L910" t="str">
        <f t="shared" si="146"/>
        <v/>
      </c>
      <c r="M910" t="str">
        <f t="shared" si="147"/>
        <v/>
      </c>
      <c r="N910" t="str">
        <f t="shared" si="148"/>
        <v/>
      </c>
      <c r="O910" t="str">
        <f t="shared" si="149"/>
        <v/>
      </c>
      <c r="P910" t="str">
        <f>IF(OR(H910="",NOT(OR(LEFT(H910,1)="G",LEFT(H910,1)="R"))),"",IFERROR(VLOOKUP(MID(H910,3,1),Map!$G$2:$H$10,2,FALSE),""))</f>
        <v/>
      </c>
      <c r="Q910" t="str">
        <f>IF(A910="","",IFERROR(VLOOKUP(MID(A910,4,1),Map!$O$2:$P$10,2,FALSE),""))</f>
        <v/>
      </c>
    </row>
    <row r="911" spans="2:17" x14ac:dyDescent="0.25">
      <c r="B911" t="str">
        <f t="shared" si="140"/>
        <v/>
      </c>
      <c r="C911" t="str">
        <f t="shared" si="141"/>
        <v>**</v>
      </c>
      <c r="D911" t="str">
        <f t="shared" si="142"/>
        <v/>
      </c>
      <c r="E911" t="str">
        <f>IFERROR(VLOOKUP(MID(A911,7,2),Map!$A$2:$B$20,2,FALSE),"")</f>
        <v/>
      </c>
      <c r="F911" t="str">
        <f>IF(A911="","",IFERROR(VLOOKUP(MID(A911,9,2),Map!$R$2:$S$14,2,FALSE),""))</f>
        <v/>
      </c>
      <c r="G911" t="str">
        <f t="shared" si="143"/>
        <v/>
      </c>
      <c r="H911" t="str">
        <f t="shared" si="144"/>
        <v/>
      </c>
      <c r="I911" t="str">
        <f>IF(A911="","",IFERROR(VLOOKUP(LEFT(A911,1),Map!$D$2:$E$20,2,FALSE),""))</f>
        <v/>
      </c>
      <c r="J911" t="str">
        <f>IF(OR(H911="",NOT(OR(LEFT(H911,1)="G",LEFT(H911,1)="R"))),"",IFERROR(VLOOKUP(MID(H911,2,1),Map!$J$2:$M$10,2,FALSE),""))</f>
        <v/>
      </c>
      <c r="K911" t="str">
        <f t="shared" si="145"/>
        <v/>
      </c>
      <c r="L911" t="str">
        <f t="shared" si="146"/>
        <v/>
      </c>
      <c r="M911" t="str">
        <f t="shared" si="147"/>
        <v/>
      </c>
      <c r="N911" t="str">
        <f t="shared" si="148"/>
        <v/>
      </c>
      <c r="O911" t="str">
        <f t="shared" si="149"/>
        <v/>
      </c>
      <c r="P911" t="str">
        <f>IF(OR(H911="",NOT(OR(LEFT(H911,1)="G",LEFT(H911,1)="R"))),"",IFERROR(VLOOKUP(MID(H911,3,1),Map!$G$2:$H$10,2,FALSE),""))</f>
        <v/>
      </c>
      <c r="Q911" t="str">
        <f>IF(A911="","",IFERROR(VLOOKUP(MID(A911,4,1),Map!$O$2:$P$10,2,FALSE),""))</f>
        <v/>
      </c>
    </row>
    <row r="912" spans="2:17" x14ac:dyDescent="0.25">
      <c r="B912" t="str">
        <f t="shared" si="140"/>
        <v/>
      </c>
      <c r="C912" t="str">
        <f t="shared" si="141"/>
        <v>**</v>
      </c>
      <c r="D912" t="str">
        <f t="shared" si="142"/>
        <v/>
      </c>
      <c r="E912" t="str">
        <f>IFERROR(VLOOKUP(MID(A912,7,2),Map!$A$2:$B$20,2,FALSE),"")</f>
        <v/>
      </c>
      <c r="F912" t="str">
        <f>IF(A912="","",IFERROR(VLOOKUP(MID(A912,9,2),Map!$R$2:$S$14,2,FALSE),""))</f>
        <v/>
      </c>
      <c r="G912" t="str">
        <f t="shared" si="143"/>
        <v/>
      </c>
      <c r="H912" t="str">
        <f t="shared" si="144"/>
        <v/>
      </c>
      <c r="I912" t="str">
        <f>IF(A912="","",IFERROR(VLOOKUP(LEFT(A912,1),Map!$D$2:$E$20,2,FALSE),""))</f>
        <v/>
      </c>
      <c r="J912" t="str">
        <f>IF(OR(H912="",NOT(OR(LEFT(H912,1)="G",LEFT(H912,1)="R"))),"",IFERROR(VLOOKUP(MID(H912,2,1),Map!$J$2:$M$10,2,FALSE),""))</f>
        <v/>
      </c>
      <c r="K912" t="str">
        <f t="shared" si="145"/>
        <v/>
      </c>
      <c r="L912" t="str">
        <f t="shared" si="146"/>
        <v/>
      </c>
      <c r="M912" t="str">
        <f t="shared" si="147"/>
        <v/>
      </c>
      <c r="N912" t="str">
        <f t="shared" si="148"/>
        <v/>
      </c>
      <c r="O912" t="str">
        <f t="shared" si="149"/>
        <v/>
      </c>
      <c r="P912" t="str">
        <f>IF(OR(H912="",NOT(OR(LEFT(H912,1)="G",LEFT(H912,1)="R"))),"",IFERROR(VLOOKUP(MID(H912,3,1),Map!$G$2:$H$10,2,FALSE),""))</f>
        <v/>
      </c>
      <c r="Q912" t="str">
        <f>IF(A912="","",IFERROR(VLOOKUP(MID(A912,4,1),Map!$O$2:$P$10,2,FALSE),""))</f>
        <v/>
      </c>
    </row>
    <row r="913" spans="2:17" x14ac:dyDescent="0.25">
      <c r="B913" t="str">
        <f t="shared" si="140"/>
        <v/>
      </c>
      <c r="C913" t="str">
        <f t="shared" si="141"/>
        <v>**</v>
      </c>
      <c r="D913" t="str">
        <f t="shared" si="142"/>
        <v/>
      </c>
      <c r="E913" t="str">
        <f>IFERROR(VLOOKUP(MID(A913,7,2),Map!$A$2:$B$20,2,FALSE),"")</f>
        <v/>
      </c>
      <c r="F913" t="str">
        <f>IF(A913="","",IFERROR(VLOOKUP(MID(A913,9,2),Map!$R$2:$S$14,2,FALSE),""))</f>
        <v/>
      </c>
      <c r="G913" t="str">
        <f t="shared" si="143"/>
        <v/>
      </c>
      <c r="H913" t="str">
        <f t="shared" si="144"/>
        <v/>
      </c>
      <c r="I913" t="str">
        <f>IF(A913="","",IFERROR(VLOOKUP(LEFT(A913,1),Map!$D$2:$E$20,2,FALSE),""))</f>
        <v/>
      </c>
      <c r="J913" t="str">
        <f>IF(OR(H913="",NOT(OR(LEFT(H913,1)="G",LEFT(H913,1)="R"))),"",IFERROR(VLOOKUP(MID(H913,2,1),Map!$J$2:$M$10,2,FALSE),""))</f>
        <v/>
      </c>
      <c r="K913" t="str">
        <f t="shared" si="145"/>
        <v/>
      </c>
      <c r="L913" t="str">
        <f t="shared" si="146"/>
        <v/>
      </c>
      <c r="M913" t="str">
        <f t="shared" si="147"/>
        <v/>
      </c>
      <c r="N913" t="str">
        <f t="shared" si="148"/>
        <v/>
      </c>
      <c r="O913" t="str">
        <f t="shared" si="149"/>
        <v/>
      </c>
      <c r="P913" t="str">
        <f>IF(OR(H913="",NOT(OR(LEFT(H913,1)="G",LEFT(H913,1)="R"))),"",IFERROR(VLOOKUP(MID(H913,3,1),Map!$G$2:$H$10,2,FALSE),""))</f>
        <v/>
      </c>
      <c r="Q913" t="str">
        <f>IF(A913="","",IFERROR(VLOOKUP(MID(A913,4,1),Map!$O$2:$P$10,2,FALSE),""))</f>
        <v/>
      </c>
    </row>
    <row r="914" spans="2:17" x14ac:dyDescent="0.25">
      <c r="B914" t="str">
        <f t="shared" si="140"/>
        <v/>
      </c>
      <c r="C914" t="str">
        <f t="shared" si="141"/>
        <v>**</v>
      </c>
      <c r="D914" t="str">
        <f t="shared" si="142"/>
        <v/>
      </c>
      <c r="E914" t="str">
        <f>IFERROR(VLOOKUP(MID(A914,7,2),Map!$A$2:$B$20,2,FALSE),"")</f>
        <v/>
      </c>
      <c r="F914" t="str">
        <f>IF(A914="","",IFERROR(VLOOKUP(MID(A914,9,2),Map!$R$2:$S$14,2,FALSE),""))</f>
        <v/>
      </c>
      <c r="G914" t="str">
        <f t="shared" si="143"/>
        <v/>
      </c>
      <c r="H914" t="str">
        <f t="shared" si="144"/>
        <v/>
      </c>
      <c r="I914" t="str">
        <f>IF(A914="","",IFERROR(VLOOKUP(LEFT(A914,1),Map!$D$2:$E$20,2,FALSE),""))</f>
        <v/>
      </c>
      <c r="J914" t="str">
        <f>IF(OR(H914="",NOT(OR(LEFT(H914,1)="G",LEFT(H914,1)="R"))),"",IFERROR(VLOOKUP(MID(H914,2,1),Map!$J$2:$M$10,2,FALSE),""))</f>
        <v/>
      </c>
      <c r="K914" t="str">
        <f t="shared" si="145"/>
        <v/>
      </c>
      <c r="L914" t="str">
        <f t="shared" si="146"/>
        <v/>
      </c>
      <c r="M914" t="str">
        <f t="shared" si="147"/>
        <v/>
      </c>
      <c r="N914" t="str">
        <f t="shared" si="148"/>
        <v/>
      </c>
      <c r="O914" t="str">
        <f t="shared" si="149"/>
        <v/>
      </c>
      <c r="P914" t="str">
        <f>IF(OR(H914="",NOT(OR(LEFT(H914,1)="G",LEFT(H914,1)="R"))),"",IFERROR(VLOOKUP(MID(H914,3,1),Map!$G$2:$H$10,2,FALSE),""))</f>
        <v/>
      </c>
      <c r="Q914" t="str">
        <f>IF(A914="","",IFERROR(VLOOKUP(MID(A914,4,1),Map!$O$2:$P$10,2,FALSE),""))</f>
        <v/>
      </c>
    </row>
    <row r="915" spans="2:17" x14ac:dyDescent="0.25">
      <c r="B915" t="str">
        <f t="shared" si="140"/>
        <v/>
      </c>
      <c r="C915" t="str">
        <f t="shared" si="141"/>
        <v>**</v>
      </c>
      <c r="D915" t="str">
        <f t="shared" si="142"/>
        <v/>
      </c>
      <c r="E915" t="str">
        <f>IFERROR(VLOOKUP(MID(A915,7,2),Map!$A$2:$B$20,2,FALSE),"")</f>
        <v/>
      </c>
      <c r="F915" t="str">
        <f>IF(A915="","",IFERROR(VLOOKUP(MID(A915,9,2),Map!$R$2:$S$14,2,FALSE),""))</f>
        <v/>
      </c>
      <c r="G915" t="str">
        <f t="shared" si="143"/>
        <v/>
      </c>
      <c r="H915" t="str">
        <f t="shared" si="144"/>
        <v/>
      </c>
      <c r="I915" t="str">
        <f>IF(A915="","",IFERROR(VLOOKUP(LEFT(A915,1),Map!$D$2:$E$20,2,FALSE),""))</f>
        <v/>
      </c>
      <c r="J915" t="str">
        <f>IF(OR(H915="",NOT(OR(LEFT(H915,1)="G",LEFT(H915,1)="R"))),"",IFERROR(VLOOKUP(MID(H915,2,1),Map!$J$2:$M$10,2,FALSE),""))</f>
        <v/>
      </c>
      <c r="K915" t="str">
        <f t="shared" si="145"/>
        <v/>
      </c>
      <c r="L915" t="str">
        <f t="shared" si="146"/>
        <v/>
      </c>
      <c r="M915" t="str">
        <f t="shared" si="147"/>
        <v/>
      </c>
      <c r="N915" t="str">
        <f t="shared" si="148"/>
        <v/>
      </c>
      <c r="O915" t="str">
        <f t="shared" si="149"/>
        <v/>
      </c>
      <c r="P915" t="str">
        <f>IF(OR(H915="",NOT(OR(LEFT(H915,1)="G",LEFT(H915,1)="R"))),"",IFERROR(VLOOKUP(MID(H915,3,1),Map!$G$2:$H$10,2,FALSE),""))</f>
        <v/>
      </c>
      <c r="Q915" t="str">
        <f>IF(A915="","",IFERROR(VLOOKUP(MID(A915,4,1),Map!$O$2:$P$10,2,FALSE),""))</f>
        <v/>
      </c>
    </row>
    <row r="916" spans="2:17" x14ac:dyDescent="0.25">
      <c r="B916" t="str">
        <f t="shared" si="140"/>
        <v/>
      </c>
      <c r="C916" t="str">
        <f t="shared" si="141"/>
        <v>**</v>
      </c>
      <c r="D916" t="str">
        <f t="shared" si="142"/>
        <v/>
      </c>
      <c r="E916" t="str">
        <f>IFERROR(VLOOKUP(MID(A916,7,2),Map!$A$2:$B$20,2,FALSE),"")</f>
        <v/>
      </c>
      <c r="F916" t="str">
        <f>IF(A916="","",IFERROR(VLOOKUP(MID(A916,9,2),Map!$R$2:$S$14,2,FALSE),""))</f>
        <v/>
      </c>
      <c r="G916" t="str">
        <f t="shared" si="143"/>
        <v/>
      </c>
      <c r="H916" t="str">
        <f t="shared" si="144"/>
        <v/>
      </c>
      <c r="I916" t="str">
        <f>IF(A916="","",IFERROR(VLOOKUP(LEFT(A916,1),Map!$D$2:$E$20,2,FALSE),""))</f>
        <v/>
      </c>
      <c r="J916" t="str">
        <f>IF(OR(H916="",NOT(OR(LEFT(H916,1)="G",LEFT(H916,1)="R"))),"",IFERROR(VLOOKUP(MID(H916,2,1),Map!$J$2:$M$10,2,FALSE),""))</f>
        <v/>
      </c>
      <c r="K916" t="str">
        <f t="shared" si="145"/>
        <v/>
      </c>
      <c r="L916" t="str">
        <f t="shared" si="146"/>
        <v/>
      </c>
      <c r="M916" t="str">
        <f t="shared" si="147"/>
        <v/>
      </c>
      <c r="N916" t="str">
        <f t="shared" si="148"/>
        <v/>
      </c>
      <c r="O916" t="str">
        <f t="shared" si="149"/>
        <v/>
      </c>
      <c r="P916" t="str">
        <f>IF(OR(H916="",NOT(OR(LEFT(H916,1)="G",LEFT(H916,1)="R"))),"",IFERROR(VLOOKUP(MID(H916,3,1),Map!$G$2:$H$10,2,FALSE),""))</f>
        <v/>
      </c>
      <c r="Q916" t="str">
        <f>IF(A916="","",IFERROR(VLOOKUP(MID(A916,4,1),Map!$O$2:$P$10,2,FALSE),""))</f>
        <v/>
      </c>
    </row>
    <row r="917" spans="2:17" x14ac:dyDescent="0.25">
      <c r="B917" t="str">
        <f t="shared" si="140"/>
        <v/>
      </c>
      <c r="C917" t="str">
        <f t="shared" si="141"/>
        <v>**</v>
      </c>
      <c r="D917" t="str">
        <f t="shared" si="142"/>
        <v/>
      </c>
      <c r="E917" t="str">
        <f>IFERROR(VLOOKUP(MID(A917,7,2),Map!$A$2:$B$20,2,FALSE),"")</f>
        <v/>
      </c>
      <c r="F917" t="str">
        <f>IF(A917="","",IFERROR(VLOOKUP(MID(A917,9,2),Map!$R$2:$S$14,2,FALSE),""))</f>
        <v/>
      </c>
      <c r="G917" t="str">
        <f t="shared" si="143"/>
        <v/>
      </c>
      <c r="H917" t="str">
        <f t="shared" si="144"/>
        <v/>
      </c>
      <c r="I917" t="str">
        <f>IF(A917="","",IFERROR(VLOOKUP(LEFT(A917,1),Map!$D$2:$E$20,2,FALSE),""))</f>
        <v/>
      </c>
      <c r="J917" t="str">
        <f>IF(OR(H917="",NOT(OR(LEFT(H917,1)="G",LEFT(H917,1)="R"))),"",IFERROR(VLOOKUP(MID(H917,2,1),Map!$J$2:$M$10,2,FALSE),""))</f>
        <v/>
      </c>
      <c r="K917" t="str">
        <f t="shared" si="145"/>
        <v/>
      </c>
      <c r="L917" t="str">
        <f t="shared" si="146"/>
        <v/>
      </c>
      <c r="M917" t="str">
        <f t="shared" si="147"/>
        <v/>
      </c>
      <c r="N917" t="str">
        <f t="shared" si="148"/>
        <v/>
      </c>
      <c r="O917" t="str">
        <f t="shared" si="149"/>
        <v/>
      </c>
      <c r="P917" t="str">
        <f>IF(OR(H917="",NOT(OR(LEFT(H917,1)="G",LEFT(H917,1)="R"))),"",IFERROR(VLOOKUP(MID(H917,3,1),Map!$G$2:$H$10,2,FALSE),""))</f>
        <v/>
      </c>
      <c r="Q917" t="str">
        <f>IF(A917="","",IFERROR(VLOOKUP(MID(A917,4,1),Map!$O$2:$P$10,2,FALSE),""))</f>
        <v/>
      </c>
    </row>
    <row r="918" spans="2:17" x14ac:dyDescent="0.25">
      <c r="B918" t="str">
        <f t="shared" si="140"/>
        <v/>
      </c>
      <c r="C918" t="str">
        <f t="shared" si="141"/>
        <v>**</v>
      </c>
      <c r="D918" t="str">
        <f t="shared" si="142"/>
        <v/>
      </c>
      <c r="E918" t="str">
        <f>IFERROR(VLOOKUP(MID(A918,7,2),Map!$A$2:$B$20,2,FALSE),"")</f>
        <v/>
      </c>
      <c r="F918" t="str">
        <f>IF(A918="","",IFERROR(VLOOKUP(MID(A918,9,2),Map!$R$2:$S$14,2,FALSE),""))</f>
        <v/>
      </c>
      <c r="G918" t="str">
        <f t="shared" si="143"/>
        <v/>
      </c>
      <c r="H918" t="str">
        <f t="shared" si="144"/>
        <v/>
      </c>
      <c r="I918" t="str">
        <f>IF(A918="","",IFERROR(VLOOKUP(LEFT(A918,1),Map!$D$2:$E$20,2,FALSE),""))</f>
        <v/>
      </c>
      <c r="J918" t="str">
        <f>IF(OR(H918="",NOT(OR(LEFT(H918,1)="G",LEFT(H918,1)="R"))),"",IFERROR(VLOOKUP(MID(H918,2,1),Map!$J$2:$M$10,2,FALSE),""))</f>
        <v/>
      </c>
      <c r="K918" t="str">
        <f t="shared" si="145"/>
        <v/>
      </c>
      <c r="L918" t="str">
        <f t="shared" si="146"/>
        <v/>
      </c>
      <c r="M918" t="str">
        <f t="shared" si="147"/>
        <v/>
      </c>
      <c r="N918" t="str">
        <f t="shared" si="148"/>
        <v/>
      </c>
      <c r="O918" t="str">
        <f t="shared" si="149"/>
        <v/>
      </c>
      <c r="P918" t="str">
        <f>IF(OR(H918="",NOT(OR(LEFT(H918,1)="G",LEFT(H918,1)="R"))),"",IFERROR(VLOOKUP(MID(H918,3,1),Map!$G$2:$H$10,2,FALSE),""))</f>
        <v/>
      </c>
      <c r="Q918" t="str">
        <f>IF(A918="","",IFERROR(VLOOKUP(MID(A918,4,1),Map!$O$2:$P$10,2,FALSE),""))</f>
        <v/>
      </c>
    </row>
    <row r="919" spans="2:17" x14ac:dyDescent="0.25">
      <c r="B919" t="str">
        <f t="shared" si="140"/>
        <v/>
      </c>
      <c r="C919" t="str">
        <f t="shared" si="141"/>
        <v>**</v>
      </c>
      <c r="D919" t="str">
        <f t="shared" si="142"/>
        <v/>
      </c>
      <c r="E919" t="str">
        <f>IFERROR(VLOOKUP(MID(A919,7,2),Map!$A$2:$B$20,2,FALSE),"")</f>
        <v/>
      </c>
      <c r="F919" t="str">
        <f>IF(A919="","",IFERROR(VLOOKUP(MID(A919,9,2),Map!$R$2:$S$14,2,FALSE),""))</f>
        <v/>
      </c>
      <c r="G919" t="str">
        <f t="shared" si="143"/>
        <v/>
      </c>
      <c r="H919" t="str">
        <f t="shared" si="144"/>
        <v/>
      </c>
      <c r="I919" t="str">
        <f>IF(A919="","",IFERROR(VLOOKUP(LEFT(A919,1),Map!$D$2:$E$20,2,FALSE),""))</f>
        <v/>
      </c>
      <c r="J919" t="str">
        <f>IF(OR(H919="",NOT(OR(LEFT(H919,1)="G",LEFT(H919,1)="R"))),"",IFERROR(VLOOKUP(MID(H919,2,1),Map!$J$2:$M$10,2,FALSE),""))</f>
        <v/>
      </c>
      <c r="K919" t="str">
        <f t="shared" si="145"/>
        <v/>
      </c>
      <c r="L919" t="str">
        <f t="shared" si="146"/>
        <v/>
      </c>
      <c r="M919" t="str">
        <f t="shared" si="147"/>
        <v/>
      </c>
      <c r="N919" t="str">
        <f t="shared" si="148"/>
        <v/>
      </c>
      <c r="O919" t="str">
        <f t="shared" si="149"/>
        <v/>
      </c>
      <c r="P919" t="str">
        <f>IF(OR(H919="",NOT(OR(LEFT(H919,1)="G",LEFT(H919,1)="R"))),"",IFERROR(VLOOKUP(MID(H919,3,1),Map!$G$2:$H$10,2,FALSE),""))</f>
        <v/>
      </c>
      <c r="Q919" t="str">
        <f>IF(A919="","",IFERROR(VLOOKUP(MID(A919,4,1),Map!$O$2:$P$10,2,FALSE),""))</f>
        <v/>
      </c>
    </row>
    <row r="920" spans="2:17" x14ac:dyDescent="0.25">
      <c r="B920" t="str">
        <f t="shared" si="140"/>
        <v/>
      </c>
      <c r="C920" t="str">
        <f t="shared" si="141"/>
        <v>**</v>
      </c>
      <c r="D920" t="str">
        <f t="shared" si="142"/>
        <v/>
      </c>
      <c r="E920" t="str">
        <f>IFERROR(VLOOKUP(MID(A920,7,2),Map!$A$2:$B$20,2,FALSE),"")</f>
        <v/>
      </c>
      <c r="F920" t="str">
        <f>IF(A920="","",IFERROR(VLOOKUP(MID(A920,9,2),Map!$R$2:$S$14,2,FALSE),""))</f>
        <v/>
      </c>
      <c r="G920" t="str">
        <f t="shared" si="143"/>
        <v/>
      </c>
      <c r="H920" t="str">
        <f t="shared" si="144"/>
        <v/>
      </c>
      <c r="I920" t="str">
        <f>IF(A920="","",IFERROR(VLOOKUP(LEFT(A920,1),Map!$D$2:$E$20,2,FALSE),""))</f>
        <v/>
      </c>
      <c r="J920" t="str">
        <f>IF(OR(H920="",NOT(OR(LEFT(H920,1)="G",LEFT(H920,1)="R"))),"",IFERROR(VLOOKUP(MID(H920,2,1),Map!$J$2:$M$10,2,FALSE),""))</f>
        <v/>
      </c>
      <c r="K920" t="str">
        <f t="shared" si="145"/>
        <v/>
      </c>
      <c r="L920" t="str">
        <f t="shared" si="146"/>
        <v/>
      </c>
      <c r="M920" t="str">
        <f t="shared" si="147"/>
        <v/>
      </c>
      <c r="N920" t="str">
        <f t="shared" si="148"/>
        <v/>
      </c>
      <c r="O920" t="str">
        <f t="shared" si="149"/>
        <v/>
      </c>
      <c r="P920" t="str">
        <f>IF(OR(H920="",NOT(OR(LEFT(H920,1)="G",LEFT(H920,1)="R"))),"",IFERROR(VLOOKUP(MID(H920,3,1),Map!$G$2:$H$10,2,FALSE),""))</f>
        <v/>
      </c>
      <c r="Q920" t="str">
        <f>IF(A920="","",IFERROR(VLOOKUP(MID(A920,4,1),Map!$O$2:$P$10,2,FALSE),""))</f>
        <v/>
      </c>
    </row>
    <row r="921" spans="2:17" x14ac:dyDescent="0.25">
      <c r="B921" t="str">
        <f t="shared" si="140"/>
        <v/>
      </c>
      <c r="C921" t="str">
        <f t="shared" si="141"/>
        <v>**</v>
      </c>
      <c r="D921" t="str">
        <f t="shared" si="142"/>
        <v/>
      </c>
      <c r="E921" t="str">
        <f>IFERROR(VLOOKUP(MID(A921,7,2),Map!$A$2:$B$20,2,FALSE),"")</f>
        <v/>
      </c>
      <c r="F921" t="str">
        <f>IF(A921="","",IFERROR(VLOOKUP(MID(A921,9,2),Map!$R$2:$S$14,2,FALSE),""))</f>
        <v/>
      </c>
      <c r="G921" t="str">
        <f t="shared" si="143"/>
        <v/>
      </c>
      <c r="H921" t="str">
        <f t="shared" si="144"/>
        <v/>
      </c>
      <c r="I921" t="str">
        <f>IF(A921="","",IFERROR(VLOOKUP(LEFT(A921,1),Map!$D$2:$E$20,2,FALSE),""))</f>
        <v/>
      </c>
      <c r="J921" t="str">
        <f>IF(OR(H921="",NOT(OR(LEFT(H921,1)="G",LEFT(H921,1)="R"))),"",IFERROR(VLOOKUP(MID(H921,2,1),Map!$J$2:$M$10,2,FALSE),""))</f>
        <v/>
      </c>
      <c r="K921" t="str">
        <f t="shared" si="145"/>
        <v/>
      </c>
      <c r="L921" t="str">
        <f t="shared" si="146"/>
        <v/>
      </c>
      <c r="M921" t="str">
        <f t="shared" si="147"/>
        <v/>
      </c>
      <c r="N921" t="str">
        <f t="shared" si="148"/>
        <v/>
      </c>
      <c r="O921" t="str">
        <f t="shared" si="149"/>
        <v/>
      </c>
      <c r="P921" t="str">
        <f>IF(OR(H921="",NOT(OR(LEFT(H921,1)="G",LEFT(H921,1)="R"))),"",IFERROR(VLOOKUP(MID(H921,3,1),Map!$G$2:$H$10,2,FALSE),""))</f>
        <v/>
      </c>
      <c r="Q921" t="str">
        <f>IF(A921="","",IFERROR(VLOOKUP(MID(A921,4,1),Map!$O$2:$P$10,2,FALSE),""))</f>
        <v/>
      </c>
    </row>
    <row r="922" spans="2:17" x14ac:dyDescent="0.25">
      <c r="B922" t="str">
        <f t="shared" si="140"/>
        <v/>
      </c>
      <c r="C922" t="str">
        <f t="shared" si="141"/>
        <v>**</v>
      </c>
      <c r="D922" t="str">
        <f t="shared" si="142"/>
        <v/>
      </c>
      <c r="E922" t="str">
        <f>IFERROR(VLOOKUP(MID(A922,7,2),Map!$A$2:$B$20,2,FALSE),"")</f>
        <v/>
      </c>
      <c r="F922" t="str">
        <f>IF(A922="","",IFERROR(VLOOKUP(MID(A922,9,2),Map!$R$2:$S$14,2,FALSE),""))</f>
        <v/>
      </c>
      <c r="G922" t="str">
        <f t="shared" si="143"/>
        <v/>
      </c>
      <c r="H922" t="str">
        <f t="shared" si="144"/>
        <v/>
      </c>
      <c r="I922" t="str">
        <f>IF(A922="","",IFERROR(VLOOKUP(LEFT(A922,1),Map!$D$2:$E$20,2,FALSE),""))</f>
        <v/>
      </c>
      <c r="J922" t="str">
        <f>IF(OR(H922="",NOT(OR(LEFT(H922,1)="G",LEFT(H922,1)="R"))),"",IFERROR(VLOOKUP(MID(H922,2,1),Map!$J$2:$M$10,2,FALSE),""))</f>
        <v/>
      </c>
      <c r="K922" t="str">
        <f t="shared" si="145"/>
        <v/>
      </c>
      <c r="L922" t="str">
        <f t="shared" si="146"/>
        <v/>
      </c>
      <c r="M922" t="str">
        <f t="shared" si="147"/>
        <v/>
      </c>
      <c r="N922" t="str">
        <f t="shared" si="148"/>
        <v/>
      </c>
      <c r="O922" t="str">
        <f t="shared" si="149"/>
        <v/>
      </c>
      <c r="P922" t="str">
        <f>IF(OR(H922="",NOT(OR(LEFT(H922,1)="G",LEFT(H922,1)="R"))),"",IFERROR(VLOOKUP(MID(H922,3,1),Map!$G$2:$H$10,2,FALSE),""))</f>
        <v/>
      </c>
      <c r="Q922" t="str">
        <f>IF(A922="","",IFERROR(VLOOKUP(MID(A922,4,1),Map!$O$2:$P$10,2,FALSE),""))</f>
        <v/>
      </c>
    </row>
    <row r="923" spans="2:17" x14ac:dyDescent="0.25">
      <c r="B923" t="str">
        <f t="shared" si="140"/>
        <v/>
      </c>
      <c r="C923" t="str">
        <f t="shared" si="141"/>
        <v>**</v>
      </c>
      <c r="D923" t="str">
        <f t="shared" si="142"/>
        <v/>
      </c>
      <c r="E923" t="str">
        <f>IFERROR(VLOOKUP(MID(A923,7,2),Map!$A$2:$B$20,2,FALSE),"")</f>
        <v/>
      </c>
      <c r="F923" t="str">
        <f>IF(A923="","",IFERROR(VLOOKUP(MID(A923,9,2),Map!$R$2:$S$14,2,FALSE),""))</f>
        <v/>
      </c>
      <c r="G923" t="str">
        <f t="shared" si="143"/>
        <v/>
      </c>
      <c r="H923" t="str">
        <f t="shared" si="144"/>
        <v/>
      </c>
      <c r="I923" t="str">
        <f>IF(A923="","",IFERROR(VLOOKUP(LEFT(A923,1),Map!$D$2:$E$20,2,FALSE),""))</f>
        <v/>
      </c>
      <c r="J923" t="str">
        <f>IF(OR(H923="",NOT(OR(LEFT(H923,1)="G",LEFT(H923,1)="R"))),"",IFERROR(VLOOKUP(MID(H923,2,1),Map!$J$2:$M$10,2,FALSE),""))</f>
        <v/>
      </c>
      <c r="K923" t="str">
        <f t="shared" si="145"/>
        <v/>
      </c>
      <c r="L923" t="str">
        <f t="shared" si="146"/>
        <v/>
      </c>
      <c r="M923" t="str">
        <f t="shared" si="147"/>
        <v/>
      </c>
      <c r="N923" t="str">
        <f t="shared" si="148"/>
        <v/>
      </c>
      <c r="O923" t="str">
        <f t="shared" si="149"/>
        <v/>
      </c>
      <c r="P923" t="str">
        <f>IF(OR(H923="",NOT(OR(LEFT(H923,1)="G",LEFT(H923,1)="R"))),"",IFERROR(VLOOKUP(MID(H923,3,1),Map!$G$2:$H$10,2,FALSE),""))</f>
        <v/>
      </c>
      <c r="Q923" t="str">
        <f>IF(A923="","",IFERROR(VLOOKUP(MID(A923,4,1),Map!$O$2:$P$10,2,FALSE),""))</f>
        <v/>
      </c>
    </row>
    <row r="924" spans="2:17" x14ac:dyDescent="0.25">
      <c r="B924" t="str">
        <f t="shared" si="140"/>
        <v/>
      </c>
      <c r="C924" t="str">
        <f t="shared" si="141"/>
        <v>**</v>
      </c>
      <c r="D924" t="str">
        <f t="shared" si="142"/>
        <v/>
      </c>
      <c r="E924" t="str">
        <f>IFERROR(VLOOKUP(MID(A924,7,2),Map!$A$2:$B$20,2,FALSE),"")</f>
        <v/>
      </c>
      <c r="F924" t="str">
        <f>IF(A924="","",IFERROR(VLOOKUP(MID(A924,9,2),Map!$R$2:$S$14,2,FALSE),""))</f>
        <v/>
      </c>
      <c r="G924" t="str">
        <f t="shared" si="143"/>
        <v/>
      </c>
      <c r="H924" t="str">
        <f t="shared" si="144"/>
        <v/>
      </c>
      <c r="I924" t="str">
        <f>IF(A924="","",IFERROR(VLOOKUP(LEFT(A924,1),Map!$D$2:$E$20,2,FALSE),""))</f>
        <v/>
      </c>
      <c r="J924" t="str">
        <f>IF(OR(H924="",NOT(OR(LEFT(H924,1)="G",LEFT(H924,1)="R"))),"",IFERROR(VLOOKUP(MID(H924,2,1),Map!$J$2:$M$10,2,FALSE),""))</f>
        <v/>
      </c>
      <c r="K924" t="str">
        <f t="shared" si="145"/>
        <v/>
      </c>
      <c r="L924" t="str">
        <f t="shared" si="146"/>
        <v/>
      </c>
      <c r="M924" t="str">
        <f t="shared" si="147"/>
        <v/>
      </c>
      <c r="N924" t="str">
        <f t="shared" si="148"/>
        <v/>
      </c>
      <c r="O924" t="str">
        <f t="shared" si="149"/>
        <v/>
      </c>
      <c r="P924" t="str">
        <f>IF(OR(H924="",NOT(OR(LEFT(H924,1)="G",LEFT(H924,1)="R"))),"",IFERROR(VLOOKUP(MID(H924,3,1),Map!$G$2:$H$10,2,FALSE),""))</f>
        <v/>
      </c>
      <c r="Q924" t="str">
        <f>IF(A924="","",IFERROR(VLOOKUP(MID(A924,4,1),Map!$O$2:$P$10,2,FALSE),""))</f>
        <v/>
      </c>
    </row>
    <row r="925" spans="2:17" x14ac:dyDescent="0.25">
      <c r="B925" t="str">
        <f t="shared" si="140"/>
        <v/>
      </c>
      <c r="C925" t="str">
        <f t="shared" si="141"/>
        <v>**</v>
      </c>
      <c r="D925" t="str">
        <f t="shared" si="142"/>
        <v/>
      </c>
      <c r="E925" t="str">
        <f>IFERROR(VLOOKUP(MID(A925,7,2),Map!$A$2:$B$20,2,FALSE),"")</f>
        <v/>
      </c>
      <c r="F925" t="str">
        <f>IF(A925="","",IFERROR(VLOOKUP(MID(A925,9,2),Map!$R$2:$S$14,2,FALSE),""))</f>
        <v/>
      </c>
      <c r="G925" t="str">
        <f t="shared" si="143"/>
        <v/>
      </c>
      <c r="H925" t="str">
        <f t="shared" si="144"/>
        <v/>
      </c>
      <c r="I925" t="str">
        <f>IF(A925="","",IFERROR(VLOOKUP(LEFT(A925,1),Map!$D$2:$E$20,2,FALSE),""))</f>
        <v/>
      </c>
      <c r="J925" t="str">
        <f>IF(OR(H925="",NOT(OR(LEFT(H925,1)="G",LEFT(H925,1)="R"))),"",IFERROR(VLOOKUP(MID(H925,2,1),Map!$J$2:$M$10,2,FALSE),""))</f>
        <v/>
      </c>
      <c r="K925" t="str">
        <f t="shared" si="145"/>
        <v/>
      </c>
      <c r="L925" t="str">
        <f t="shared" si="146"/>
        <v/>
      </c>
      <c r="M925" t="str">
        <f t="shared" si="147"/>
        <v/>
      </c>
      <c r="N925" t="str">
        <f t="shared" si="148"/>
        <v/>
      </c>
      <c r="O925" t="str">
        <f t="shared" si="149"/>
        <v/>
      </c>
      <c r="P925" t="str">
        <f>IF(OR(H925="",NOT(OR(LEFT(H925,1)="G",LEFT(H925,1)="R"))),"",IFERROR(VLOOKUP(MID(H925,3,1),Map!$G$2:$H$10,2,FALSE),""))</f>
        <v/>
      </c>
      <c r="Q925" t="str">
        <f>IF(A925="","",IFERROR(VLOOKUP(MID(A925,4,1),Map!$O$2:$P$10,2,FALSE),""))</f>
        <v/>
      </c>
    </row>
    <row r="926" spans="2:17" x14ac:dyDescent="0.25">
      <c r="B926" t="str">
        <f t="shared" si="140"/>
        <v/>
      </c>
      <c r="C926" t="str">
        <f t="shared" si="141"/>
        <v>**</v>
      </c>
      <c r="D926" t="str">
        <f t="shared" si="142"/>
        <v/>
      </c>
      <c r="E926" t="str">
        <f>IFERROR(VLOOKUP(MID(A926,7,2),Map!$A$2:$B$20,2,FALSE),"")</f>
        <v/>
      </c>
      <c r="F926" t="str">
        <f>IF(A926="","",IFERROR(VLOOKUP(MID(A926,9,2),Map!$R$2:$S$14,2,FALSE),""))</f>
        <v/>
      </c>
      <c r="G926" t="str">
        <f t="shared" si="143"/>
        <v/>
      </c>
      <c r="H926" t="str">
        <f t="shared" si="144"/>
        <v/>
      </c>
      <c r="I926" t="str">
        <f>IF(A926="","",IFERROR(VLOOKUP(LEFT(A926,1),Map!$D$2:$E$20,2,FALSE),""))</f>
        <v/>
      </c>
      <c r="J926" t="str">
        <f>IF(OR(H926="",NOT(OR(LEFT(H926,1)="G",LEFT(H926,1)="R"))),"",IFERROR(VLOOKUP(MID(H926,2,1),Map!$J$2:$M$10,2,FALSE),""))</f>
        <v/>
      </c>
      <c r="K926" t="str">
        <f t="shared" si="145"/>
        <v/>
      </c>
      <c r="L926" t="str">
        <f t="shared" si="146"/>
        <v/>
      </c>
      <c r="M926" t="str">
        <f t="shared" si="147"/>
        <v/>
      </c>
      <c r="N926" t="str">
        <f t="shared" si="148"/>
        <v/>
      </c>
      <c r="O926" t="str">
        <f t="shared" si="149"/>
        <v/>
      </c>
      <c r="P926" t="str">
        <f>IF(OR(H926="",NOT(OR(LEFT(H926,1)="G",LEFT(H926,1)="R"))),"",IFERROR(VLOOKUP(MID(H926,3,1),Map!$G$2:$H$10,2,FALSE),""))</f>
        <v/>
      </c>
      <c r="Q926" t="str">
        <f>IF(A926="","",IFERROR(VLOOKUP(MID(A926,4,1),Map!$O$2:$P$10,2,FALSE),""))</f>
        <v/>
      </c>
    </row>
    <row r="927" spans="2:17" x14ac:dyDescent="0.25">
      <c r="B927" t="str">
        <f t="shared" si="140"/>
        <v/>
      </c>
      <c r="C927" t="str">
        <f t="shared" si="141"/>
        <v>**</v>
      </c>
      <c r="D927" t="str">
        <f t="shared" si="142"/>
        <v/>
      </c>
      <c r="E927" t="str">
        <f>IFERROR(VLOOKUP(MID(A927,7,2),Map!$A$2:$B$20,2,FALSE),"")</f>
        <v/>
      </c>
      <c r="F927" t="str">
        <f>IF(A927="","",IFERROR(VLOOKUP(MID(A927,9,2),Map!$R$2:$S$14,2,FALSE),""))</f>
        <v/>
      </c>
      <c r="G927" t="str">
        <f t="shared" si="143"/>
        <v/>
      </c>
      <c r="H927" t="str">
        <f t="shared" si="144"/>
        <v/>
      </c>
      <c r="I927" t="str">
        <f>IF(A927="","",IFERROR(VLOOKUP(LEFT(A927,1),Map!$D$2:$E$20,2,FALSE),""))</f>
        <v/>
      </c>
      <c r="J927" t="str">
        <f>IF(OR(H927="",NOT(OR(LEFT(H927,1)="G",LEFT(H927,1)="R"))),"",IFERROR(VLOOKUP(MID(H927,2,1),Map!$J$2:$M$10,2,FALSE),""))</f>
        <v/>
      </c>
      <c r="K927" t="str">
        <f t="shared" si="145"/>
        <v/>
      </c>
      <c r="L927" t="str">
        <f t="shared" si="146"/>
        <v/>
      </c>
      <c r="M927" t="str">
        <f t="shared" si="147"/>
        <v/>
      </c>
      <c r="N927" t="str">
        <f t="shared" si="148"/>
        <v/>
      </c>
      <c r="O927" t="str">
        <f t="shared" si="149"/>
        <v/>
      </c>
      <c r="P927" t="str">
        <f>IF(OR(H927="",NOT(OR(LEFT(H927,1)="G",LEFT(H927,1)="R"))),"",IFERROR(VLOOKUP(MID(H927,3,1),Map!$G$2:$H$10,2,FALSE),""))</f>
        <v/>
      </c>
      <c r="Q927" t="str">
        <f>IF(A927="","",IFERROR(VLOOKUP(MID(A927,4,1),Map!$O$2:$P$10,2,FALSE),""))</f>
        <v/>
      </c>
    </row>
    <row r="928" spans="2:17" x14ac:dyDescent="0.25">
      <c r="B928" t="str">
        <f t="shared" si="140"/>
        <v/>
      </c>
      <c r="C928" t="str">
        <f t="shared" si="141"/>
        <v>**</v>
      </c>
      <c r="D928" t="str">
        <f t="shared" si="142"/>
        <v/>
      </c>
      <c r="E928" t="str">
        <f>IFERROR(VLOOKUP(MID(A928,7,2),Map!$A$2:$B$20,2,FALSE),"")</f>
        <v/>
      </c>
      <c r="F928" t="str">
        <f>IF(A928="","",IFERROR(VLOOKUP(MID(A928,9,2),Map!$R$2:$S$14,2,FALSE),""))</f>
        <v/>
      </c>
      <c r="G928" t="str">
        <f t="shared" si="143"/>
        <v/>
      </c>
      <c r="H928" t="str">
        <f t="shared" si="144"/>
        <v/>
      </c>
      <c r="I928" t="str">
        <f>IF(A928="","",IFERROR(VLOOKUP(LEFT(A928,1),Map!$D$2:$E$20,2,FALSE),""))</f>
        <v/>
      </c>
      <c r="J928" t="str">
        <f>IF(OR(H928="",NOT(OR(LEFT(H928,1)="G",LEFT(H928,1)="R"))),"",IFERROR(VLOOKUP(MID(H928,2,1),Map!$J$2:$M$10,2,FALSE),""))</f>
        <v/>
      </c>
      <c r="K928" t="str">
        <f t="shared" si="145"/>
        <v/>
      </c>
      <c r="L928" t="str">
        <f t="shared" si="146"/>
        <v/>
      </c>
      <c r="M928" t="str">
        <f t="shared" si="147"/>
        <v/>
      </c>
      <c r="N928" t="str">
        <f t="shared" si="148"/>
        <v/>
      </c>
      <c r="O928" t="str">
        <f t="shared" si="149"/>
        <v/>
      </c>
      <c r="P928" t="str">
        <f>IF(OR(H928="",NOT(OR(LEFT(H928,1)="G",LEFT(H928,1)="R"))),"",IFERROR(VLOOKUP(MID(H928,3,1),Map!$G$2:$H$10,2,FALSE),""))</f>
        <v/>
      </c>
      <c r="Q928" t="str">
        <f>IF(A928="","",IFERROR(VLOOKUP(MID(A928,4,1),Map!$O$2:$P$10,2,FALSE),""))</f>
        <v/>
      </c>
    </row>
    <row r="929" spans="2:17" x14ac:dyDescent="0.25">
      <c r="B929" t="str">
        <f t="shared" si="140"/>
        <v/>
      </c>
      <c r="C929" t="str">
        <f t="shared" si="141"/>
        <v>**</v>
      </c>
      <c r="D929" t="str">
        <f t="shared" si="142"/>
        <v/>
      </c>
      <c r="E929" t="str">
        <f>IFERROR(VLOOKUP(MID(A929,7,2),Map!$A$2:$B$20,2,FALSE),"")</f>
        <v/>
      </c>
      <c r="F929" t="str">
        <f>IF(A929="","",IFERROR(VLOOKUP(MID(A929,9,2),Map!$R$2:$S$14,2,FALSE),""))</f>
        <v/>
      </c>
      <c r="G929" t="str">
        <f t="shared" si="143"/>
        <v/>
      </c>
      <c r="H929" t="str">
        <f t="shared" si="144"/>
        <v/>
      </c>
      <c r="I929" t="str">
        <f>IF(A929="","",IFERROR(VLOOKUP(LEFT(A929,1),Map!$D$2:$E$20,2,FALSE),""))</f>
        <v/>
      </c>
      <c r="J929" t="str">
        <f>IF(OR(H929="",NOT(OR(LEFT(H929,1)="G",LEFT(H929,1)="R"))),"",IFERROR(VLOOKUP(MID(H929,2,1),Map!$J$2:$M$10,2,FALSE),""))</f>
        <v/>
      </c>
      <c r="K929" t="str">
        <f t="shared" si="145"/>
        <v/>
      </c>
      <c r="L929" t="str">
        <f t="shared" si="146"/>
        <v/>
      </c>
      <c r="M929" t="str">
        <f t="shared" si="147"/>
        <v/>
      </c>
      <c r="N929" t="str">
        <f t="shared" si="148"/>
        <v/>
      </c>
      <c r="O929" t="str">
        <f t="shared" si="149"/>
        <v/>
      </c>
      <c r="P929" t="str">
        <f>IF(OR(H929="",NOT(OR(LEFT(H929,1)="G",LEFT(H929,1)="R"))),"",IFERROR(VLOOKUP(MID(H929,3,1),Map!$G$2:$H$10,2,FALSE),""))</f>
        <v/>
      </c>
      <c r="Q929" t="str">
        <f>IF(A929="","",IFERROR(VLOOKUP(MID(A929,4,1),Map!$O$2:$P$10,2,FALSE),""))</f>
        <v/>
      </c>
    </row>
    <row r="930" spans="2:17" x14ac:dyDescent="0.25">
      <c r="B930" t="str">
        <f t="shared" si="140"/>
        <v/>
      </c>
      <c r="C930" t="str">
        <f t="shared" si="141"/>
        <v>**</v>
      </c>
      <c r="D930" t="str">
        <f t="shared" si="142"/>
        <v/>
      </c>
      <c r="E930" t="str">
        <f>IFERROR(VLOOKUP(MID(A930,7,2),Map!$A$2:$B$20,2,FALSE),"")</f>
        <v/>
      </c>
      <c r="F930" t="str">
        <f>IF(A930="","",IFERROR(VLOOKUP(MID(A930,9,2),Map!$R$2:$S$14,2,FALSE),""))</f>
        <v/>
      </c>
      <c r="G930" t="str">
        <f t="shared" si="143"/>
        <v/>
      </c>
      <c r="H930" t="str">
        <f t="shared" si="144"/>
        <v/>
      </c>
      <c r="I930" t="str">
        <f>IF(A930="","",IFERROR(VLOOKUP(LEFT(A930,1),Map!$D$2:$E$20,2,FALSE),""))</f>
        <v/>
      </c>
      <c r="J930" t="str">
        <f>IF(OR(H930="",NOT(OR(LEFT(H930,1)="G",LEFT(H930,1)="R"))),"",IFERROR(VLOOKUP(MID(H930,2,1),Map!$J$2:$M$10,2,FALSE),""))</f>
        <v/>
      </c>
      <c r="K930" t="str">
        <f t="shared" si="145"/>
        <v/>
      </c>
      <c r="L930" t="str">
        <f t="shared" si="146"/>
        <v/>
      </c>
      <c r="M930" t="str">
        <f t="shared" si="147"/>
        <v/>
      </c>
      <c r="N930" t="str">
        <f t="shared" si="148"/>
        <v/>
      </c>
      <c r="O930" t="str">
        <f t="shared" si="149"/>
        <v/>
      </c>
      <c r="P930" t="str">
        <f>IF(OR(H930="",NOT(OR(LEFT(H930,1)="G",LEFT(H930,1)="R"))),"",IFERROR(VLOOKUP(MID(H930,3,1),Map!$G$2:$H$10,2,FALSE),""))</f>
        <v/>
      </c>
      <c r="Q930" t="str">
        <f>IF(A930="","",IFERROR(VLOOKUP(MID(A930,4,1),Map!$O$2:$P$10,2,FALSE),""))</f>
        <v/>
      </c>
    </row>
    <row r="931" spans="2:17" x14ac:dyDescent="0.25">
      <c r="B931" t="str">
        <f t="shared" si="140"/>
        <v/>
      </c>
      <c r="C931" t="str">
        <f t="shared" si="141"/>
        <v>**</v>
      </c>
      <c r="D931" t="str">
        <f t="shared" si="142"/>
        <v/>
      </c>
      <c r="E931" t="str">
        <f>IFERROR(VLOOKUP(MID(A931,7,2),Map!$A$2:$B$20,2,FALSE),"")</f>
        <v/>
      </c>
      <c r="F931" t="str">
        <f>IF(A931="","",IFERROR(VLOOKUP(MID(A931,9,2),Map!$R$2:$S$14,2,FALSE),""))</f>
        <v/>
      </c>
      <c r="G931" t="str">
        <f t="shared" si="143"/>
        <v/>
      </c>
      <c r="H931" t="str">
        <f t="shared" si="144"/>
        <v/>
      </c>
      <c r="I931" t="str">
        <f>IF(A931="","",IFERROR(VLOOKUP(LEFT(A931,1),Map!$D$2:$E$20,2,FALSE),""))</f>
        <v/>
      </c>
      <c r="J931" t="str">
        <f>IF(OR(H931="",NOT(OR(LEFT(H931,1)="G",LEFT(H931,1)="R"))),"",IFERROR(VLOOKUP(MID(H931,2,1),Map!$J$2:$M$10,2,FALSE),""))</f>
        <v/>
      </c>
      <c r="K931" t="str">
        <f t="shared" si="145"/>
        <v/>
      </c>
      <c r="L931" t="str">
        <f t="shared" si="146"/>
        <v/>
      </c>
      <c r="M931" t="str">
        <f t="shared" si="147"/>
        <v/>
      </c>
      <c r="N931" t="str">
        <f t="shared" si="148"/>
        <v/>
      </c>
      <c r="O931" t="str">
        <f t="shared" si="149"/>
        <v/>
      </c>
      <c r="P931" t="str">
        <f>IF(OR(H931="",NOT(OR(LEFT(H931,1)="G",LEFT(H931,1)="R"))),"",IFERROR(VLOOKUP(MID(H931,3,1),Map!$G$2:$H$10,2,FALSE),""))</f>
        <v/>
      </c>
      <c r="Q931" t="str">
        <f>IF(A931="","",IFERROR(VLOOKUP(MID(A931,4,1),Map!$O$2:$P$10,2,FALSE),""))</f>
        <v/>
      </c>
    </row>
    <row r="932" spans="2:17" x14ac:dyDescent="0.25">
      <c r="B932" t="str">
        <f t="shared" si="140"/>
        <v/>
      </c>
      <c r="C932" t="str">
        <f t="shared" si="141"/>
        <v>**</v>
      </c>
      <c r="D932" t="str">
        <f t="shared" si="142"/>
        <v/>
      </c>
      <c r="E932" t="str">
        <f>IFERROR(VLOOKUP(MID(A932,7,2),Map!$A$2:$B$20,2,FALSE),"")</f>
        <v/>
      </c>
      <c r="F932" t="str">
        <f>IF(A932="","",IFERROR(VLOOKUP(MID(A932,9,2),Map!$R$2:$S$14,2,FALSE),""))</f>
        <v/>
      </c>
      <c r="G932" t="str">
        <f t="shared" si="143"/>
        <v/>
      </c>
      <c r="H932" t="str">
        <f t="shared" si="144"/>
        <v/>
      </c>
      <c r="I932" t="str">
        <f>IF(A932="","",IFERROR(VLOOKUP(LEFT(A932,1),Map!$D$2:$E$20,2,FALSE),""))</f>
        <v/>
      </c>
      <c r="J932" t="str">
        <f>IF(OR(H932="",NOT(OR(LEFT(H932,1)="G",LEFT(H932,1)="R"))),"",IFERROR(VLOOKUP(MID(H932,2,1),Map!$J$2:$M$10,2,FALSE),""))</f>
        <v/>
      </c>
      <c r="K932" t="str">
        <f t="shared" si="145"/>
        <v/>
      </c>
      <c r="L932" t="str">
        <f t="shared" si="146"/>
        <v/>
      </c>
      <c r="M932" t="str">
        <f t="shared" si="147"/>
        <v/>
      </c>
      <c r="N932" t="str">
        <f t="shared" si="148"/>
        <v/>
      </c>
      <c r="O932" t="str">
        <f t="shared" si="149"/>
        <v/>
      </c>
      <c r="P932" t="str">
        <f>IF(OR(H932="",NOT(OR(LEFT(H932,1)="G",LEFT(H932,1)="R"))),"",IFERROR(VLOOKUP(MID(H932,3,1),Map!$G$2:$H$10,2,FALSE),""))</f>
        <v/>
      </c>
      <c r="Q932" t="str">
        <f>IF(A932="","",IFERROR(VLOOKUP(MID(A932,4,1),Map!$O$2:$P$10,2,FALSE),""))</f>
        <v/>
      </c>
    </row>
    <row r="933" spans="2:17" x14ac:dyDescent="0.25">
      <c r="B933" t="str">
        <f t="shared" si="140"/>
        <v/>
      </c>
      <c r="C933" t="str">
        <f t="shared" si="141"/>
        <v>**</v>
      </c>
      <c r="D933" t="str">
        <f t="shared" si="142"/>
        <v/>
      </c>
      <c r="E933" t="str">
        <f>IFERROR(VLOOKUP(MID(A933,7,2),Map!$A$2:$B$20,2,FALSE),"")</f>
        <v/>
      </c>
      <c r="F933" t="str">
        <f>IF(A933="","",IFERROR(VLOOKUP(MID(A933,9,2),Map!$R$2:$S$14,2,FALSE),""))</f>
        <v/>
      </c>
      <c r="G933" t="str">
        <f t="shared" si="143"/>
        <v/>
      </c>
      <c r="H933" t="str">
        <f t="shared" si="144"/>
        <v/>
      </c>
      <c r="I933" t="str">
        <f>IF(A933="","",IFERROR(VLOOKUP(LEFT(A933,1),Map!$D$2:$E$20,2,FALSE),""))</f>
        <v/>
      </c>
      <c r="J933" t="str">
        <f>IF(OR(H933="",NOT(OR(LEFT(H933,1)="G",LEFT(H933,1)="R"))),"",IFERROR(VLOOKUP(MID(H933,2,1),Map!$J$2:$M$10,2,FALSE),""))</f>
        <v/>
      </c>
      <c r="K933" t="str">
        <f t="shared" si="145"/>
        <v/>
      </c>
      <c r="L933" t="str">
        <f t="shared" si="146"/>
        <v/>
      </c>
      <c r="M933" t="str">
        <f t="shared" si="147"/>
        <v/>
      </c>
      <c r="N933" t="str">
        <f t="shared" si="148"/>
        <v/>
      </c>
      <c r="O933" t="str">
        <f t="shared" si="149"/>
        <v/>
      </c>
      <c r="P933" t="str">
        <f>IF(OR(H933="",NOT(OR(LEFT(H933,1)="G",LEFT(H933,1)="R"))),"",IFERROR(VLOOKUP(MID(H933,3,1),Map!$G$2:$H$10,2,FALSE),""))</f>
        <v/>
      </c>
      <c r="Q933" t="str">
        <f>IF(A933="","",IFERROR(VLOOKUP(MID(A933,4,1),Map!$O$2:$P$10,2,FALSE),""))</f>
        <v/>
      </c>
    </row>
    <row r="934" spans="2:17" x14ac:dyDescent="0.25">
      <c r="B934" t="str">
        <f t="shared" si="140"/>
        <v/>
      </c>
      <c r="C934" t="str">
        <f t="shared" si="141"/>
        <v>**</v>
      </c>
      <c r="D934" t="str">
        <f t="shared" si="142"/>
        <v/>
      </c>
      <c r="E934" t="str">
        <f>IFERROR(VLOOKUP(MID(A934,7,2),Map!$A$2:$B$20,2,FALSE),"")</f>
        <v/>
      </c>
      <c r="F934" t="str">
        <f>IF(A934="","",IFERROR(VLOOKUP(MID(A934,9,2),Map!$R$2:$S$14,2,FALSE),""))</f>
        <v/>
      </c>
      <c r="G934" t="str">
        <f t="shared" si="143"/>
        <v/>
      </c>
      <c r="H934" t="str">
        <f t="shared" si="144"/>
        <v/>
      </c>
      <c r="I934" t="str">
        <f>IF(A934="","",IFERROR(VLOOKUP(LEFT(A934,1),Map!$D$2:$E$20,2,FALSE),""))</f>
        <v/>
      </c>
      <c r="J934" t="str">
        <f>IF(OR(H934="",NOT(OR(LEFT(H934,1)="G",LEFT(H934,1)="R"))),"",IFERROR(VLOOKUP(MID(H934,2,1),Map!$J$2:$M$10,2,FALSE),""))</f>
        <v/>
      </c>
      <c r="K934" t="str">
        <f t="shared" si="145"/>
        <v/>
      </c>
      <c r="L934" t="str">
        <f t="shared" si="146"/>
        <v/>
      </c>
      <c r="M934" t="str">
        <f t="shared" si="147"/>
        <v/>
      </c>
      <c r="N934" t="str">
        <f t="shared" si="148"/>
        <v/>
      </c>
      <c r="O934" t="str">
        <f t="shared" si="149"/>
        <v/>
      </c>
      <c r="P934" t="str">
        <f>IF(OR(H934="",NOT(OR(LEFT(H934,1)="G",LEFT(H934,1)="R"))),"",IFERROR(VLOOKUP(MID(H934,3,1),Map!$G$2:$H$10,2,FALSE),""))</f>
        <v/>
      </c>
      <c r="Q934" t="str">
        <f>IF(A934="","",IFERROR(VLOOKUP(MID(A934,4,1),Map!$O$2:$P$10,2,FALSE),""))</f>
        <v/>
      </c>
    </row>
    <row r="935" spans="2:17" x14ac:dyDescent="0.25">
      <c r="B935" t="str">
        <f t="shared" si="140"/>
        <v/>
      </c>
      <c r="C935" t="str">
        <f t="shared" si="141"/>
        <v>**</v>
      </c>
      <c r="D935" t="str">
        <f t="shared" si="142"/>
        <v/>
      </c>
      <c r="E935" t="str">
        <f>IFERROR(VLOOKUP(MID(A935,7,2),Map!$A$2:$B$20,2,FALSE),"")</f>
        <v/>
      </c>
      <c r="F935" t="str">
        <f>IF(A935="","",IFERROR(VLOOKUP(MID(A935,9,2),Map!$R$2:$S$14,2,FALSE),""))</f>
        <v/>
      </c>
      <c r="G935" t="str">
        <f t="shared" si="143"/>
        <v/>
      </c>
      <c r="H935" t="str">
        <f t="shared" si="144"/>
        <v/>
      </c>
      <c r="I935" t="str">
        <f>IF(A935="","",IFERROR(VLOOKUP(LEFT(A935,1),Map!$D$2:$E$20,2,FALSE),""))</f>
        <v/>
      </c>
      <c r="J935" t="str">
        <f>IF(OR(H935="",NOT(OR(LEFT(H935,1)="G",LEFT(H935,1)="R"))),"",IFERROR(VLOOKUP(MID(H935,2,1),Map!$J$2:$M$10,2,FALSE),""))</f>
        <v/>
      </c>
      <c r="K935" t="str">
        <f t="shared" si="145"/>
        <v/>
      </c>
      <c r="L935" t="str">
        <f t="shared" si="146"/>
        <v/>
      </c>
      <c r="M935" t="str">
        <f t="shared" si="147"/>
        <v/>
      </c>
      <c r="N935" t="str">
        <f t="shared" si="148"/>
        <v/>
      </c>
      <c r="O935" t="str">
        <f t="shared" si="149"/>
        <v/>
      </c>
      <c r="P935" t="str">
        <f>IF(OR(H935="",NOT(OR(LEFT(H935,1)="G",LEFT(H935,1)="R"))),"",IFERROR(VLOOKUP(MID(H935,3,1),Map!$G$2:$H$10,2,FALSE),""))</f>
        <v/>
      </c>
      <c r="Q935" t="str">
        <f>IF(A935="","",IFERROR(VLOOKUP(MID(A935,4,1),Map!$O$2:$P$10,2,FALSE),""))</f>
        <v/>
      </c>
    </row>
    <row r="936" spans="2:17" x14ac:dyDescent="0.25">
      <c r="B936" t="str">
        <f t="shared" si="140"/>
        <v/>
      </c>
      <c r="C936" t="str">
        <f t="shared" si="141"/>
        <v>**</v>
      </c>
      <c r="D936" t="str">
        <f t="shared" si="142"/>
        <v/>
      </c>
      <c r="E936" t="str">
        <f>IFERROR(VLOOKUP(MID(A936,7,2),Map!$A$2:$B$20,2,FALSE),"")</f>
        <v/>
      </c>
      <c r="F936" t="str">
        <f>IF(A936="","",IFERROR(VLOOKUP(MID(A936,9,2),Map!$R$2:$S$14,2,FALSE),""))</f>
        <v/>
      </c>
      <c r="G936" t="str">
        <f t="shared" si="143"/>
        <v/>
      </c>
      <c r="H936" t="str">
        <f t="shared" si="144"/>
        <v/>
      </c>
      <c r="I936" t="str">
        <f>IF(A936="","",IFERROR(VLOOKUP(LEFT(A936,1),Map!$D$2:$E$20,2,FALSE),""))</f>
        <v/>
      </c>
      <c r="J936" t="str">
        <f>IF(OR(H936="",NOT(OR(LEFT(H936,1)="G",LEFT(H936,1)="R"))),"",IFERROR(VLOOKUP(MID(H936,2,1),Map!$J$2:$M$10,2,FALSE),""))</f>
        <v/>
      </c>
      <c r="K936" t="str">
        <f t="shared" si="145"/>
        <v/>
      </c>
      <c r="L936" t="str">
        <f t="shared" si="146"/>
        <v/>
      </c>
      <c r="M936" t="str">
        <f t="shared" si="147"/>
        <v/>
      </c>
      <c r="N936" t="str">
        <f t="shared" si="148"/>
        <v/>
      </c>
      <c r="O936" t="str">
        <f t="shared" si="149"/>
        <v/>
      </c>
      <c r="P936" t="str">
        <f>IF(OR(H936="",NOT(OR(LEFT(H936,1)="G",LEFT(H936,1)="R"))),"",IFERROR(VLOOKUP(MID(H936,3,1),Map!$G$2:$H$10,2,FALSE),""))</f>
        <v/>
      </c>
      <c r="Q936" t="str">
        <f>IF(A936="","",IFERROR(VLOOKUP(MID(A936,4,1),Map!$O$2:$P$10,2,FALSE),""))</f>
        <v/>
      </c>
    </row>
    <row r="937" spans="2:17" x14ac:dyDescent="0.25">
      <c r="B937" t="str">
        <f t="shared" si="140"/>
        <v/>
      </c>
      <c r="C937" t="str">
        <f t="shared" si="141"/>
        <v>**</v>
      </c>
      <c r="D937" t="str">
        <f t="shared" si="142"/>
        <v/>
      </c>
      <c r="E937" t="str">
        <f>IFERROR(VLOOKUP(MID(A937,7,2),Map!$A$2:$B$20,2,FALSE),"")</f>
        <v/>
      </c>
      <c r="F937" t="str">
        <f>IF(A937="","",IFERROR(VLOOKUP(MID(A937,9,2),Map!$R$2:$S$14,2,FALSE),""))</f>
        <v/>
      </c>
      <c r="G937" t="str">
        <f t="shared" si="143"/>
        <v/>
      </c>
      <c r="H937" t="str">
        <f t="shared" si="144"/>
        <v/>
      </c>
      <c r="I937" t="str">
        <f>IF(A937="","",IFERROR(VLOOKUP(LEFT(A937,1),Map!$D$2:$E$20,2,FALSE),""))</f>
        <v/>
      </c>
      <c r="J937" t="str">
        <f>IF(OR(H937="",NOT(OR(LEFT(H937,1)="G",LEFT(H937,1)="R"))),"",IFERROR(VLOOKUP(MID(H937,2,1),Map!$J$2:$M$10,2,FALSE),""))</f>
        <v/>
      </c>
      <c r="K937" t="str">
        <f t="shared" si="145"/>
        <v/>
      </c>
      <c r="L937" t="str">
        <f t="shared" si="146"/>
        <v/>
      </c>
      <c r="M937" t="str">
        <f t="shared" si="147"/>
        <v/>
      </c>
      <c r="N937" t="str">
        <f t="shared" si="148"/>
        <v/>
      </c>
      <c r="O937" t="str">
        <f t="shared" si="149"/>
        <v/>
      </c>
      <c r="P937" t="str">
        <f>IF(OR(H937="",NOT(OR(LEFT(H937,1)="G",LEFT(H937,1)="R"))),"",IFERROR(VLOOKUP(MID(H937,3,1),Map!$G$2:$H$10,2,FALSE),""))</f>
        <v/>
      </c>
      <c r="Q937" t="str">
        <f>IF(A937="","",IFERROR(VLOOKUP(MID(A937,4,1),Map!$O$2:$P$10,2,FALSE),""))</f>
        <v/>
      </c>
    </row>
    <row r="938" spans="2:17" x14ac:dyDescent="0.25">
      <c r="B938" t="str">
        <f t="shared" si="140"/>
        <v/>
      </c>
      <c r="C938" t="str">
        <f t="shared" si="141"/>
        <v>**</v>
      </c>
      <c r="D938" t="str">
        <f t="shared" si="142"/>
        <v/>
      </c>
      <c r="E938" t="str">
        <f>IFERROR(VLOOKUP(MID(A938,7,2),Map!$A$2:$B$20,2,FALSE),"")</f>
        <v/>
      </c>
      <c r="F938" t="str">
        <f>IF(A938="","",IFERROR(VLOOKUP(MID(A938,9,2),Map!$R$2:$S$14,2,FALSE),""))</f>
        <v/>
      </c>
      <c r="G938" t="str">
        <f t="shared" si="143"/>
        <v/>
      </c>
      <c r="H938" t="str">
        <f t="shared" si="144"/>
        <v/>
      </c>
      <c r="I938" t="str">
        <f>IF(A938="","",IFERROR(VLOOKUP(LEFT(A938,1),Map!$D$2:$E$20,2,FALSE),""))</f>
        <v/>
      </c>
      <c r="J938" t="str">
        <f>IF(OR(H938="",NOT(OR(LEFT(H938,1)="G",LEFT(H938,1)="R"))),"",IFERROR(VLOOKUP(MID(H938,2,1),Map!$J$2:$M$10,2,FALSE),""))</f>
        <v/>
      </c>
      <c r="K938" t="str">
        <f t="shared" si="145"/>
        <v/>
      </c>
      <c r="L938" t="str">
        <f t="shared" si="146"/>
        <v/>
      </c>
      <c r="M938" t="str">
        <f t="shared" si="147"/>
        <v/>
      </c>
      <c r="N938" t="str">
        <f t="shared" si="148"/>
        <v/>
      </c>
      <c r="O938" t="str">
        <f t="shared" si="149"/>
        <v/>
      </c>
      <c r="P938" t="str">
        <f>IF(OR(H938="",NOT(OR(LEFT(H938,1)="G",LEFT(H938,1)="R"))),"",IFERROR(VLOOKUP(MID(H938,3,1),Map!$G$2:$H$10,2,FALSE),""))</f>
        <v/>
      </c>
      <c r="Q938" t="str">
        <f>IF(A938="","",IFERROR(VLOOKUP(MID(A938,4,1),Map!$O$2:$P$10,2,FALSE),""))</f>
        <v/>
      </c>
    </row>
    <row r="939" spans="2:17" x14ac:dyDescent="0.25">
      <c r="B939" t="str">
        <f t="shared" si="140"/>
        <v/>
      </c>
      <c r="C939" t="str">
        <f t="shared" si="141"/>
        <v>**</v>
      </c>
      <c r="D939" t="str">
        <f t="shared" si="142"/>
        <v/>
      </c>
      <c r="E939" t="str">
        <f>IFERROR(VLOOKUP(MID(A939,7,2),Map!$A$2:$B$20,2,FALSE),"")</f>
        <v/>
      </c>
      <c r="F939" t="str">
        <f>IF(A939="","",IFERROR(VLOOKUP(MID(A939,9,2),Map!$R$2:$S$14,2,FALSE),""))</f>
        <v/>
      </c>
      <c r="G939" t="str">
        <f t="shared" si="143"/>
        <v/>
      </c>
      <c r="H939" t="str">
        <f t="shared" si="144"/>
        <v/>
      </c>
      <c r="I939" t="str">
        <f>IF(A939="","",IFERROR(VLOOKUP(LEFT(A939,1),Map!$D$2:$E$20,2,FALSE),""))</f>
        <v/>
      </c>
      <c r="J939" t="str">
        <f>IF(OR(H939="",NOT(OR(LEFT(H939,1)="G",LEFT(H939,1)="R"))),"",IFERROR(VLOOKUP(MID(H939,2,1),Map!$J$2:$M$10,2,FALSE),""))</f>
        <v/>
      </c>
      <c r="K939" t="str">
        <f t="shared" si="145"/>
        <v/>
      </c>
      <c r="L939" t="str">
        <f t="shared" si="146"/>
        <v/>
      </c>
      <c r="M939" t="str">
        <f t="shared" si="147"/>
        <v/>
      </c>
      <c r="N939" t="str">
        <f t="shared" si="148"/>
        <v/>
      </c>
      <c r="O939" t="str">
        <f t="shared" si="149"/>
        <v/>
      </c>
      <c r="P939" t="str">
        <f>IF(OR(H939="",NOT(OR(LEFT(H939,1)="G",LEFT(H939,1)="R"))),"",IFERROR(VLOOKUP(MID(H939,3,1),Map!$G$2:$H$10,2,FALSE),""))</f>
        <v/>
      </c>
      <c r="Q939" t="str">
        <f>IF(A939="","",IFERROR(VLOOKUP(MID(A939,4,1),Map!$O$2:$P$10,2,FALSE),""))</f>
        <v/>
      </c>
    </row>
    <row r="940" spans="2:17" x14ac:dyDescent="0.25">
      <c r="B940" t="str">
        <f t="shared" si="140"/>
        <v/>
      </c>
      <c r="C940" t="str">
        <f t="shared" si="141"/>
        <v>**</v>
      </c>
      <c r="D940" t="str">
        <f t="shared" si="142"/>
        <v/>
      </c>
      <c r="E940" t="str">
        <f>IFERROR(VLOOKUP(MID(A940,7,2),Map!$A$2:$B$20,2,FALSE),"")</f>
        <v/>
      </c>
      <c r="F940" t="str">
        <f>IF(A940="","",IFERROR(VLOOKUP(MID(A940,9,2),Map!$R$2:$S$14,2,FALSE),""))</f>
        <v/>
      </c>
      <c r="G940" t="str">
        <f t="shared" si="143"/>
        <v/>
      </c>
      <c r="H940" t="str">
        <f t="shared" si="144"/>
        <v/>
      </c>
      <c r="I940" t="str">
        <f>IF(A940="","",IFERROR(VLOOKUP(LEFT(A940,1),Map!$D$2:$E$20,2,FALSE),""))</f>
        <v/>
      </c>
      <c r="J940" t="str">
        <f>IF(OR(H940="",NOT(OR(LEFT(H940,1)="G",LEFT(H940,1)="R"))),"",IFERROR(VLOOKUP(MID(H940,2,1),Map!$J$2:$M$10,2,FALSE),""))</f>
        <v/>
      </c>
      <c r="K940" t="str">
        <f t="shared" si="145"/>
        <v/>
      </c>
      <c r="L940" t="str">
        <f t="shared" si="146"/>
        <v/>
      </c>
      <c r="M940" t="str">
        <f t="shared" si="147"/>
        <v/>
      </c>
      <c r="N940" t="str">
        <f t="shared" si="148"/>
        <v/>
      </c>
      <c r="O940" t="str">
        <f t="shared" si="149"/>
        <v/>
      </c>
      <c r="P940" t="str">
        <f>IF(OR(H940="",NOT(OR(LEFT(H940,1)="G",LEFT(H940,1)="R"))),"",IFERROR(VLOOKUP(MID(H940,3,1),Map!$G$2:$H$10,2,FALSE),""))</f>
        <v/>
      </c>
      <c r="Q940" t="str">
        <f>IF(A940="","",IFERROR(VLOOKUP(MID(A940,4,1),Map!$O$2:$P$10,2,FALSE),""))</f>
        <v/>
      </c>
    </row>
    <row r="941" spans="2:17" x14ac:dyDescent="0.25">
      <c r="B941" t="str">
        <f t="shared" si="140"/>
        <v/>
      </c>
      <c r="C941" t="str">
        <f t="shared" si="141"/>
        <v>**</v>
      </c>
      <c r="D941" t="str">
        <f t="shared" si="142"/>
        <v/>
      </c>
      <c r="E941" t="str">
        <f>IFERROR(VLOOKUP(MID(A941,7,2),Map!$A$2:$B$20,2,FALSE),"")</f>
        <v/>
      </c>
      <c r="F941" t="str">
        <f>IF(A941="","",IFERROR(VLOOKUP(MID(A941,9,2),Map!$R$2:$S$14,2,FALSE),""))</f>
        <v/>
      </c>
      <c r="G941" t="str">
        <f t="shared" si="143"/>
        <v/>
      </c>
      <c r="H941" t="str">
        <f t="shared" si="144"/>
        <v/>
      </c>
      <c r="I941" t="str">
        <f>IF(A941="","",IFERROR(VLOOKUP(LEFT(A941,1),Map!$D$2:$E$20,2,FALSE),""))</f>
        <v/>
      </c>
      <c r="J941" t="str">
        <f>IF(OR(H941="",NOT(OR(LEFT(H941,1)="G",LEFT(H941,1)="R"))),"",IFERROR(VLOOKUP(MID(H941,2,1),Map!$J$2:$M$10,2,FALSE),""))</f>
        <v/>
      </c>
      <c r="K941" t="str">
        <f t="shared" si="145"/>
        <v/>
      </c>
      <c r="L941" t="str">
        <f t="shared" si="146"/>
        <v/>
      </c>
      <c r="M941" t="str">
        <f t="shared" si="147"/>
        <v/>
      </c>
      <c r="N941" t="str">
        <f t="shared" si="148"/>
        <v/>
      </c>
      <c r="O941" t="str">
        <f t="shared" si="149"/>
        <v/>
      </c>
      <c r="P941" t="str">
        <f>IF(OR(H941="",NOT(OR(LEFT(H941,1)="G",LEFT(H941,1)="R"))),"",IFERROR(VLOOKUP(MID(H941,3,1),Map!$G$2:$H$10,2,FALSE),""))</f>
        <v/>
      </c>
      <c r="Q941" t="str">
        <f>IF(A941="","",IFERROR(VLOOKUP(MID(A941,4,1),Map!$O$2:$P$10,2,FALSE),""))</f>
        <v/>
      </c>
    </row>
    <row r="942" spans="2:17" x14ac:dyDescent="0.25">
      <c r="B942" t="str">
        <f t="shared" si="140"/>
        <v/>
      </c>
      <c r="C942" t="str">
        <f t="shared" si="141"/>
        <v>**</v>
      </c>
      <c r="D942" t="str">
        <f t="shared" si="142"/>
        <v/>
      </c>
      <c r="E942" t="str">
        <f>IFERROR(VLOOKUP(MID(A942,7,2),Map!$A$2:$B$20,2,FALSE),"")</f>
        <v/>
      </c>
      <c r="F942" t="str">
        <f>IF(A942="","",IFERROR(VLOOKUP(MID(A942,9,2),Map!$R$2:$S$14,2,FALSE),""))</f>
        <v/>
      </c>
      <c r="G942" t="str">
        <f t="shared" si="143"/>
        <v/>
      </c>
      <c r="H942" t="str">
        <f t="shared" si="144"/>
        <v/>
      </c>
      <c r="I942" t="str">
        <f>IF(A942="","",IFERROR(VLOOKUP(LEFT(A942,1),Map!$D$2:$E$20,2,FALSE),""))</f>
        <v/>
      </c>
      <c r="J942" t="str">
        <f>IF(OR(H942="",NOT(OR(LEFT(H942,1)="G",LEFT(H942,1)="R"))),"",IFERROR(VLOOKUP(MID(H942,2,1),Map!$J$2:$M$10,2,FALSE),""))</f>
        <v/>
      </c>
      <c r="K942" t="str">
        <f t="shared" si="145"/>
        <v/>
      </c>
      <c r="L942" t="str">
        <f t="shared" si="146"/>
        <v/>
      </c>
      <c r="M942" t="str">
        <f t="shared" si="147"/>
        <v/>
      </c>
      <c r="N942" t="str">
        <f t="shared" si="148"/>
        <v/>
      </c>
      <c r="O942" t="str">
        <f t="shared" si="149"/>
        <v/>
      </c>
      <c r="P942" t="str">
        <f>IF(OR(H942="",NOT(OR(LEFT(H942,1)="G",LEFT(H942,1)="R"))),"",IFERROR(VLOOKUP(MID(H942,3,1),Map!$G$2:$H$10,2,FALSE),""))</f>
        <v/>
      </c>
      <c r="Q942" t="str">
        <f>IF(A942="","",IFERROR(VLOOKUP(MID(A942,4,1),Map!$O$2:$P$10,2,FALSE),""))</f>
        <v/>
      </c>
    </row>
    <row r="943" spans="2:17" x14ac:dyDescent="0.25">
      <c r="B943" t="str">
        <f t="shared" si="140"/>
        <v/>
      </c>
      <c r="C943" t="str">
        <f t="shared" si="141"/>
        <v>**</v>
      </c>
      <c r="D943" t="str">
        <f t="shared" si="142"/>
        <v/>
      </c>
      <c r="E943" t="str">
        <f>IFERROR(VLOOKUP(MID(A943,7,2),Map!$A$2:$B$20,2,FALSE),"")</f>
        <v/>
      </c>
      <c r="F943" t="str">
        <f>IF(A943="","",IFERROR(VLOOKUP(MID(A943,9,2),Map!$R$2:$S$14,2,FALSE),""))</f>
        <v/>
      </c>
      <c r="G943" t="str">
        <f t="shared" si="143"/>
        <v/>
      </c>
      <c r="H943" t="str">
        <f t="shared" si="144"/>
        <v/>
      </c>
      <c r="I943" t="str">
        <f>IF(A943="","",IFERROR(VLOOKUP(LEFT(A943,1),Map!$D$2:$E$20,2,FALSE),""))</f>
        <v/>
      </c>
      <c r="J943" t="str">
        <f>IF(OR(H943="",NOT(OR(LEFT(H943,1)="G",LEFT(H943,1)="R"))),"",IFERROR(VLOOKUP(MID(H943,2,1),Map!$J$2:$M$10,2,FALSE),""))</f>
        <v/>
      </c>
      <c r="K943" t="str">
        <f t="shared" si="145"/>
        <v/>
      </c>
      <c r="L943" t="str">
        <f t="shared" si="146"/>
        <v/>
      </c>
      <c r="M943" t="str">
        <f t="shared" si="147"/>
        <v/>
      </c>
      <c r="N943" t="str">
        <f t="shared" si="148"/>
        <v/>
      </c>
      <c r="O943" t="str">
        <f t="shared" si="149"/>
        <v/>
      </c>
      <c r="P943" t="str">
        <f>IF(OR(H943="",NOT(OR(LEFT(H943,1)="G",LEFT(H943,1)="R"))),"",IFERROR(VLOOKUP(MID(H943,3,1),Map!$G$2:$H$10,2,FALSE),""))</f>
        <v/>
      </c>
      <c r="Q943" t="str">
        <f>IF(A943="","",IFERROR(VLOOKUP(MID(A943,4,1),Map!$O$2:$P$10,2,FALSE),""))</f>
        <v/>
      </c>
    </row>
    <row r="944" spans="2:17" x14ac:dyDescent="0.25">
      <c r="B944" t="str">
        <f t="shared" si="140"/>
        <v/>
      </c>
      <c r="C944" t="str">
        <f t="shared" si="141"/>
        <v>**</v>
      </c>
      <c r="D944" t="str">
        <f t="shared" si="142"/>
        <v/>
      </c>
      <c r="E944" t="str">
        <f>IFERROR(VLOOKUP(MID(A944,7,2),Map!$A$2:$B$20,2,FALSE),"")</f>
        <v/>
      </c>
      <c r="F944" t="str">
        <f>IF(A944="","",IFERROR(VLOOKUP(MID(A944,9,2),Map!$R$2:$S$14,2,FALSE),""))</f>
        <v/>
      </c>
      <c r="G944" t="str">
        <f t="shared" si="143"/>
        <v/>
      </c>
      <c r="H944" t="str">
        <f t="shared" si="144"/>
        <v/>
      </c>
      <c r="I944" t="str">
        <f>IF(A944="","",IFERROR(VLOOKUP(LEFT(A944,1),Map!$D$2:$E$20,2,FALSE),""))</f>
        <v/>
      </c>
      <c r="J944" t="str">
        <f>IF(OR(H944="",NOT(OR(LEFT(H944,1)="G",LEFT(H944,1)="R"))),"",IFERROR(VLOOKUP(MID(H944,2,1),Map!$J$2:$M$10,2,FALSE),""))</f>
        <v/>
      </c>
      <c r="K944" t="str">
        <f t="shared" si="145"/>
        <v/>
      </c>
      <c r="L944" t="str">
        <f t="shared" si="146"/>
        <v/>
      </c>
      <c r="M944" t="str">
        <f t="shared" si="147"/>
        <v/>
      </c>
      <c r="N944" t="str">
        <f t="shared" si="148"/>
        <v/>
      </c>
      <c r="O944" t="str">
        <f t="shared" si="149"/>
        <v/>
      </c>
      <c r="P944" t="str">
        <f>IF(OR(H944="",NOT(OR(LEFT(H944,1)="G",LEFT(H944,1)="R"))),"",IFERROR(VLOOKUP(MID(H944,3,1),Map!$G$2:$H$10,2,FALSE),""))</f>
        <v/>
      </c>
      <c r="Q944" t="str">
        <f>IF(A944="","",IFERROR(VLOOKUP(MID(A944,4,1),Map!$O$2:$P$10,2,FALSE),""))</f>
        <v/>
      </c>
    </row>
    <row r="945" spans="2:17" x14ac:dyDescent="0.25">
      <c r="B945" t="str">
        <f t="shared" si="140"/>
        <v/>
      </c>
      <c r="C945" t="str">
        <f t="shared" si="141"/>
        <v>**</v>
      </c>
      <c r="D945" t="str">
        <f t="shared" si="142"/>
        <v/>
      </c>
      <c r="E945" t="str">
        <f>IFERROR(VLOOKUP(MID(A945,7,2),Map!$A$2:$B$20,2,FALSE),"")</f>
        <v/>
      </c>
      <c r="F945" t="str">
        <f>IF(A945="","",IFERROR(VLOOKUP(MID(A945,9,2),Map!$R$2:$S$14,2,FALSE),""))</f>
        <v/>
      </c>
      <c r="G945" t="str">
        <f t="shared" si="143"/>
        <v/>
      </c>
      <c r="H945" t="str">
        <f t="shared" si="144"/>
        <v/>
      </c>
      <c r="I945" t="str">
        <f>IF(A945="","",IFERROR(VLOOKUP(LEFT(A945,1),Map!$D$2:$E$20,2,FALSE),""))</f>
        <v/>
      </c>
      <c r="J945" t="str">
        <f>IF(OR(H945="",NOT(OR(LEFT(H945,1)="G",LEFT(H945,1)="R"))),"",IFERROR(VLOOKUP(MID(H945,2,1),Map!$J$2:$M$10,2,FALSE),""))</f>
        <v/>
      </c>
      <c r="K945" t="str">
        <f t="shared" si="145"/>
        <v/>
      </c>
      <c r="L945" t="str">
        <f t="shared" si="146"/>
        <v/>
      </c>
      <c r="M945" t="str">
        <f t="shared" si="147"/>
        <v/>
      </c>
      <c r="N945" t="str">
        <f t="shared" si="148"/>
        <v/>
      </c>
      <c r="O945" t="str">
        <f t="shared" si="149"/>
        <v/>
      </c>
      <c r="P945" t="str">
        <f>IF(OR(H945="",NOT(OR(LEFT(H945,1)="G",LEFT(H945,1)="R"))),"",IFERROR(VLOOKUP(MID(H945,3,1),Map!$G$2:$H$10,2,FALSE),""))</f>
        <v/>
      </c>
      <c r="Q945" t="str">
        <f>IF(A945="","",IFERROR(VLOOKUP(MID(A945,4,1),Map!$O$2:$P$10,2,FALSE),""))</f>
        <v/>
      </c>
    </row>
    <row r="946" spans="2:17" x14ac:dyDescent="0.25">
      <c r="B946" t="str">
        <f t="shared" si="140"/>
        <v/>
      </c>
      <c r="C946" t="str">
        <f t="shared" si="141"/>
        <v>**</v>
      </c>
      <c r="D946" t="str">
        <f t="shared" si="142"/>
        <v/>
      </c>
      <c r="E946" t="str">
        <f>IFERROR(VLOOKUP(MID(A946,7,2),Map!$A$2:$B$20,2,FALSE),"")</f>
        <v/>
      </c>
      <c r="F946" t="str">
        <f>IF(A946="","",IFERROR(VLOOKUP(MID(A946,9,2),Map!$R$2:$S$14,2,FALSE),""))</f>
        <v/>
      </c>
      <c r="G946" t="str">
        <f t="shared" si="143"/>
        <v/>
      </c>
      <c r="H946" t="str">
        <f t="shared" si="144"/>
        <v/>
      </c>
      <c r="I946" t="str">
        <f>IF(A946="","",IFERROR(VLOOKUP(LEFT(A946,1),Map!$D$2:$E$20,2,FALSE),""))</f>
        <v/>
      </c>
      <c r="J946" t="str">
        <f>IF(OR(H946="",NOT(OR(LEFT(H946,1)="G",LEFT(H946,1)="R"))),"",IFERROR(VLOOKUP(MID(H946,2,1),Map!$J$2:$M$10,2,FALSE),""))</f>
        <v/>
      </c>
      <c r="K946" t="str">
        <f t="shared" si="145"/>
        <v/>
      </c>
      <c r="L946" t="str">
        <f t="shared" si="146"/>
        <v/>
      </c>
      <c r="M946" t="str">
        <f t="shared" si="147"/>
        <v/>
      </c>
      <c r="N946" t="str">
        <f t="shared" si="148"/>
        <v/>
      </c>
      <c r="O946" t="str">
        <f t="shared" si="149"/>
        <v/>
      </c>
      <c r="P946" t="str">
        <f>IF(OR(H946="",NOT(OR(LEFT(H946,1)="G",LEFT(H946,1)="R"))),"",IFERROR(VLOOKUP(MID(H946,3,1),Map!$G$2:$H$10,2,FALSE),""))</f>
        <v/>
      </c>
      <c r="Q946" t="str">
        <f>IF(A946="","",IFERROR(VLOOKUP(MID(A946,4,1),Map!$O$2:$P$10,2,FALSE),""))</f>
        <v/>
      </c>
    </row>
    <row r="947" spans="2:17" x14ac:dyDescent="0.25">
      <c r="B947" t="str">
        <f t="shared" si="140"/>
        <v/>
      </c>
      <c r="C947" t="str">
        <f t="shared" si="141"/>
        <v>**</v>
      </c>
      <c r="D947" t="str">
        <f t="shared" si="142"/>
        <v/>
      </c>
      <c r="E947" t="str">
        <f>IFERROR(VLOOKUP(MID(A947,7,2),Map!$A$2:$B$20,2,FALSE),"")</f>
        <v/>
      </c>
      <c r="F947" t="str">
        <f>IF(A947="","",IFERROR(VLOOKUP(MID(A947,9,2),Map!$R$2:$S$14,2,FALSE),""))</f>
        <v/>
      </c>
      <c r="G947" t="str">
        <f t="shared" si="143"/>
        <v/>
      </c>
      <c r="H947" t="str">
        <f t="shared" si="144"/>
        <v/>
      </c>
      <c r="I947" t="str">
        <f>IF(A947="","",IFERROR(VLOOKUP(LEFT(A947,1),Map!$D$2:$E$20,2,FALSE),""))</f>
        <v/>
      </c>
      <c r="J947" t="str">
        <f>IF(OR(H947="",NOT(OR(LEFT(H947,1)="G",LEFT(H947,1)="R"))),"",IFERROR(VLOOKUP(MID(H947,2,1),Map!$J$2:$M$10,2,FALSE),""))</f>
        <v/>
      </c>
      <c r="K947" t="str">
        <f t="shared" si="145"/>
        <v/>
      </c>
      <c r="L947" t="str">
        <f t="shared" si="146"/>
        <v/>
      </c>
      <c r="M947" t="str">
        <f t="shared" si="147"/>
        <v/>
      </c>
      <c r="N947" t="str">
        <f t="shared" si="148"/>
        <v/>
      </c>
      <c r="O947" t="str">
        <f t="shared" si="149"/>
        <v/>
      </c>
      <c r="P947" t="str">
        <f>IF(OR(H947="",NOT(OR(LEFT(H947,1)="G",LEFT(H947,1)="R"))),"",IFERROR(VLOOKUP(MID(H947,3,1),Map!$G$2:$H$10,2,FALSE),""))</f>
        <v/>
      </c>
      <c r="Q947" t="str">
        <f>IF(A947="","",IFERROR(VLOOKUP(MID(A947,4,1),Map!$O$2:$P$10,2,FALSE),""))</f>
        <v/>
      </c>
    </row>
    <row r="948" spans="2:17" x14ac:dyDescent="0.25">
      <c r="B948" t="str">
        <f t="shared" si="140"/>
        <v/>
      </c>
      <c r="C948" t="str">
        <f t="shared" si="141"/>
        <v>**</v>
      </c>
      <c r="D948" t="str">
        <f t="shared" si="142"/>
        <v/>
      </c>
      <c r="E948" t="str">
        <f>IFERROR(VLOOKUP(MID(A948,7,2),Map!$A$2:$B$20,2,FALSE),"")</f>
        <v/>
      </c>
      <c r="F948" t="str">
        <f>IF(A948="","",IFERROR(VLOOKUP(MID(A948,9,2),Map!$R$2:$S$14,2,FALSE),""))</f>
        <v/>
      </c>
      <c r="G948" t="str">
        <f t="shared" si="143"/>
        <v/>
      </c>
      <c r="H948" t="str">
        <f t="shared" si="144"/>
        <v/>
      </c>
      <c r="I948" t="str">
        <f>IF(A948="","",IFERROR(VLOOKUP(LEFT(A948,1),Map!$D$2:$E$20,2,FALSE),""))</f>
        <v/>
      </c>
      <c r="J948" t="str">
        <f>IF(OR(H948="",NOT(OR(LEFT(H948,1)="G",LEFT(H948,1)="R"))),"",IFERROR(VLOOKUP(MID(H948,2,1),Map!$J$2:$M$10,2,FALSE),""))</f>
        <v/>
      </c>
      <c r="K948" t="str">
        <f t="shared" si="145"/>
        <v/>
      </c>
      <c r="L948" t="str">
        <f t="shared" si="146"/>
        <v/>
      </c>
      <c r="M948" t="str">
        <f t="shared" si="147"/>
        <v/>
      </c>
      <c r="N948" t="str">
        <f t="shared" si="148"/>
        <v/>
      </c>
      <c r="O948" t="str">
        <f t="shared" si="149"/>
        <v/>
      </c>
      <c r="P948" t="str">
        <f>IF(OR(H948="",NOT(OR(LEFT(H948,1)="G",LEFT(H948,1)="R"))),"",IFERROR(VLOOKUP(MID(H948,3,1),Map!$G$2:$H$10,2,FALSE),""))</f>
        <v/>
      </c>
      <c r="Q948" t="str">
        <f>IF(A948="","",IFERROR(VLOOKUP(MID(A948,4,1),Map!$O$2:$P$10,2,FALSE),""))</f>
        <v/>
      </c>
    </row>
    <row r="949" spans="2:17" x14ac:dyDescent="0.25">
      <c r="B949" t="str">
        <f t="shared" si="140"/>
        <v/>
      </c>
      <c r="C949" t="str">
        <f t="shared" si="141"/>
        <v>**</v>
      </c>
      <c r="D949" t="str">
        <f t="shared" si="142"/>
        <v/>
      </c>
      <c r="E949" t="str">
        <f>IFERROR(VLOOKUP(MID(A949,7,2),Map!$A$2:$B$20,2,FALSE),"")</f>
        <v/>
      </c>
      <c r="F949" t="str">
        <f>IF(A949="","",IFERROR(VLOOKUP(MID(A949,9,2),Map!$R$2:$S$14,2,FALSE),""))</f>
        <v/>
      </c>
      <c r="G949" t="str">
        <f t="shared" si="143"/>
        <v/>
      </c>
      <c r="H949" t="str">
        <f t="shared" si="144"/>
        <v/>
      </c>
      <c r="I949" t="str">
        <f>IF(A949="","",IFERROR(VLOOKUP(LEFT(A949,1),Map!$D$2:$E$20,2,FALSE),""))</f>
        <v/>
      </c>
      <c r="J949" t="str">
        <f>IF(OR(H949="",NOT(OR(LEFT(H949,1)="G",LEFT(H949,1)="R"))),"",IFERROR(VLOOKUP(MID(H949,2,1),Map!$J$2:$M$10,2,FALSE),""))</f>
        <v/>
      </c>
      <c r="K949" t="str">
        <f t="shared" si="145"/>
        <v/>
      </c>
      <c r="L949" t="str">
        <f t="shared" si="146"/>
        <v/>
      </c>
      <c r="M949" t="str">
        <f t="shared" si="147"/>
        <v/>
      </c>
      <c r="N949" t="str">
        <f t="shared" si="148"/>
        <v/>
      </c>
      <c r="O949" t="str">
        <f t="shared" si="149"/>
        <v/>
      </c>
      <c r="P949" t="str">
        <f>IF(OR(H949="",NOT(OR(LEFT(H949,1)="G",LEFT(H949,1)="R"))),"",IFERROR(VLOOKUP(MID(H949,3,1),Map!$G$2:$H$10,2,FALSE),""))</f>
        <v/>
      </c>
      <c r="Q949" t="str">
        <f>IF(A949="","",IFERROR(VLOOKUP(MID(A949,4,1),Map!$O$2:$P$10,2,FALSE),""))</f>
        <v/>
      </c>
    </row>
    <row r="950" spans="2:17" x14ac:dyDescent="0.25">
      <c r="B950" t="str">
        <f t="shared" si="140"/>
        <v/>
      </c>
      <c r="C950" t="str">
        <f t="shared" si="141"/>
        <v>**</v>
      </c>
      <c r="D950" t="str">
        <f t="shared" si="142"/>
        <v/>
      </c>
      <c r="E950" t="str">
        <f>IFERROR(VLOOKUP(MID(A950,7,2),Map!$A$2:$B$20,2,FALSE),"")</f>
        <v/>
      </c>
      <c r="F950" t="str">
        <f>IF(A950="","",IFERROR(VLOOKUP(MID(A950,9,2),Map!$R$2:$S$14,2,FALSE),""))</f>
        <v/>
      </c>
      <c r="G950" t="str">
        <f t="shared" si="143"/>
        <v/>
      </c>
      <c r="H950" t="str">
        <f t="shared" si="144"/>
        <v/>
      </c>
      <c r="I950" t="str">
        <f>IF(A950="","",IFERROR(VLOOKUP(LEFT(A950,1),Map!$D$2:$E$20,2,FALSE),""))</f>
        <v/>
      </c>
      <c r="J950" t="str">
        <f>IF(OR(H950="",NOT(OR(LEFT(H950,1)="G",LEFT(H950,1)="R"))),"",IFERROR(VLOOKUP(MID(H950,2,1),Map!$J$2:$M$10,2,FALSE),""))</f>
        <v/>
      </c>
      <c r="K950" t="str">
        <f t="shared" si="145"/>
        <v/>
      </c>
      <c r="L950" t="str">
        <f t="shared" si="146"/>
        <v/>
      </c>
      <c r="M950" t="str">
        <f t="shared" si="147"/>
        <v/>
      </c>
      <c r="N950" t="str">
        <f t="shared" si="148"/>
        <v/>
      </c>
      <c r="O950" t="str">
        <f t="shared" si="149"/>
        <v/>
      </c>
      <c r="P950" t="str">
        <f>IF(OR(H950="",NOT(OR(LEFT(H950,1)="G",LEFT(H950,1)="R"))),"",IFERROR(VLOOKUP(MID(H950,3,1),Map!$G$2:$H$10,2,FALSE),""))</f>
        <v/>
      </c>
      <c r="Q950" t="str">
        <f>IF(A950="","",IFERROR(VLOOKUP(MID(A950,4,1),Map!$O$2:$P$10,2,FALSE),""))</f>
        <v/>
      </c>
    </row>
    <row r="951" spans="2:17" x14ac:dyDescent="0.25">
      <c r="B951" t="str">
        <f t="shared" si="140"/>
        <v/>
      </c>
      <c r="C951" t="str">
        <f t="shared" si="141"/>
        <v>**</v>
      </c>
      <c r="D951" t="str">
        <f t="shared" si="142"/>
        <v/>
      </c>
      <c r="E951" t="str">
        <f>IFERROR(VLOOKUP(MID(A951,7,2),Map!$A$2:$B$20,2,FALSE),"")</f>
        <v/>
      </c>
      <c r="F951" t="str">
        <f>IF(A951="","",IFERROR(VLOOKUP(MID(A951,9,2),Map!$R$2:$S$14,2,FALSE),""))</f>
        <v/>
      </c>
      <c r="G951" t="str">
        <f t="shared" si="143"/>
        <v/>
      </c>
      <c r="H951" t="str">
        <f t="shared" si="144"/>
        <v/>
      </c>
      <c r="I951" t="str">
        <f>IF(A951="","",IFERROR(VLOOKUP(LEFT(A951,1),Map!$D$2:$E$20,2,FALSE),""))</f>
        <v/>
      </c>
      <c r="J951" t="str">
        <f>IF(OR(H951="",NOT(OR(LEFT(H951,1)="G",LEFT(H951,1)="R"))),"",IFERROR(VLOOKUP(MID(H951,2,1),Map!$J$2:$M$10,2,FALSE),""))</f>
        <v/>
      </c>
      <c r="K951" t="str">
        <f t="shared" si="145"/>
        <v/>
      </c>
      <c r="L951" t="str">
        <f t="shared" si="146"/>
        <v/>
      </c>
      <c r="M951" t="str">
        <f t="shared" si="147"/>
        <v/>
      </c>
      <c r="N951" t="str">
        <f t="shared" si="148"/>
        <v/>
      </c>
      <c r="O951" t="str">
        <f t="shared" si="149"/>
        <v/>
      </c>
      <c r="P951" t="str">
        <f>IF(OR(H951="",NOT(OR(LEFT(H951,1)="G",LEFT(H951,1)="R"))),"",IFERROR(VLOOKUP(MID(H951,3,1),Map!$G$2:$H$10,2,FALSE),""))</f>
        <v/>
      </c>
      <c r="Q951" t="str">
        <f>IF(A951="","",IFERROR(VLOOKUP(MID(A951,4,1),Map!$O$2:$P$10,2,FALSE),""))</f>
        <v/>
      </c>
    </row>
    <row r="952" spans="2:17" x14ac:dyDescent="0.25">
      <c r="B952" t="str">
        <f t="shared" si="140"/>
        <v/>
      </c>
      <c r="C952" t="str">
        <f t="shared" si="141"/>
        <v>**</v>
      </c>
      <c r="D952" t="str">
        <f t="shared" si="142"/>
        <v/>
      </c>
      <c r="E952" t="str">
        <f>IFERROR(VLOOKUP(MID(A952,7,2),Map!$A$2:$B$20,2,FALSE),"")</f>
        <v/>
      </c>
      <c r="F952" t="str">
        <f>IF(A952="","",IFERROR(VLOOKUP(MID(A952,9,2),Map!$R$2:$S$14,2,FALSE),""))</f>
        <v/>
      </c>
      <c r="G952" t="str">
        <f t="shared" si="143"/>
        <v/>
      </c>
      <c r="H952" t="str">
        <f t="shared" si="144"/>
        <v/>
      </c>
      <c r="I952" t="str">
        <f>IF(A952="","",IFERROR(VLOOKUP(LEFT(A952,1),Map!$D$2:$E$20,2,FALSE),""))</f>
        <v/>
      </c>
      <c r="J952" t="str">
        <f>IF(OR(H952="",NOT(OR(LEFT(H952,1)="G",LEFT(H952,1)="R"))),"",IFERROR(VLOOKUP(MID(H952,2,1),Map!$J$2:$M$10,2,FALSE),""))</f>
        <v/>
      </c>
      <c r="K952" t="str">
        <f t="shared" si="145"/>
        <v/>
      </c>
      <c r="L952" t="str">
        <f t="shared" si="146"/>
        <v/>
      </c>
      <c r="M952" t="str">
        <f t="shared" si="147"/>
        <v/>
      </c>
      <c r="N952" t="str">
        <f t="shared" si="148"/>
        <v/>
      </c>
      <c r="O952" t="str">
        <f t="shared" si="149"/>
        <v/>
      </c>
      <c r="P952" t="str">
        <f>IF(OR(H952="",NOT(OR(LEFT(H952,1)="G",LEFT(H952,1)="R"))),"",IFERROR(VLOOKUP(MID(H952,3,1),Map!$G$2:$H$10,2,FALSE),""))</f>
        <v/>
      </c>
      <c r="Q952" t="str">
        <f>IF(A952="","",IFERROR(VLOOKUP(MID(A952,4,1),Map!$O$2:$P$10,2,FALSE),""))</f>
        <v/>
      </c>
    </row>
    <row r="953" spans="2:17" x14ac:dyDescent="0.25">
      <c r="B953" t="str">
        <f t="shared" si="140"/>
        <v/>
      </c>
      <c r="C953" t="str">
        <f t="shared" si="141"/>
        <v>**</v>
      </c>
      <c r="D953" t="str">
        <f t="shared" si="142"/>
        <v/>
      </c>
      <c r="E953" t="str">
        <f>IFERROR(VLOOKUP(MID(A953,7,2),Map!$A$2:$B$20,2,FALSE),"")</f>
        <v/>
      </c>
      <c r="F953" t="str">
        <f>IF(A953="","",IFERROR(VLOOKUP(MID(A953,9,2),Map!$R$2:$S$14,2,FALSE),""))</f>
        <v/>
      </c>
      <c r="G953" t="str">
        <f t="shared" si="143"/>
        <v/>
      </c>
      <c r="H953" t="str">
        <f t="shared" si="144"/>
        <v/>
      </c>
      <c r="I953" t="str">
        <f>IF(A953="","",IFERROR(VLOOKUP(LEFT(A953,1),Map!$D$2:$E$20,2,FALSE),""))</f>
        <v/>
      </c>
      <c r="J953" t="str">
        <f>IF(OR(H953="",NOT(OR(LEFT(H953,1)="G",LEFT(H953,1)="R"))),"",IFERROR(VLOOKUP(MID(H953,2,1),Map!$J$2:$M$10,2,FALSE),""))</f>
        <v/>
      </c>
      <c r="K953" t="str">
        <f t="shared" si="145"/>
        <v/>
      </c>
      <c r="L953" t="str">
        <f t="shared" si="146"/>
        <v/>
      </c>
      <c r="M953" t="str">
        <f t="shared" si="147"/>
        <v/>
      </c>
      <c r="N953" t="str">
        <f t="shared" si="148"/>
        <v/>
      </c>
      <c r="O953" t="str">
        <f t="shared" si="149"/>
        <v/>
      </c>
      <c r="P953" t="str">
        <f>IF(OR(H953="",NOT(OR(LEFT(H953,1)="G",LEFT(H953,1)="R"))),"",IFERROR(VLOOKUP(MID(H953,3,1),Map!$G$2:$H$10,2,FALSE),""))</f>
        <v/>
      </c>
      <c r="Q953" t="str">
        <f>IF(A953="","",IFERROR(VLOOKUP(MID(A953,4,1),Map!$O$2:$P$10,2,FALSE),""))</f>
        <v/>
      </c>
    </row>
    <row r="954" spans="2:17" x14ac:dyDescent="0.25">
      <c r="B954" t="str">
        <f t="shared" si="140"/>
        <v/>
      </c>
      <c r="C954" t="str">
        <f t="shared" si="141"/>
        <v>**</v>
      </c>
      <c r="D954" t="str">
        <f t="shared" si="142"/>
        <v/>
      </c>
      <c r="E954" t="str">
        <f>IFERROR(VLOOKUP(MID(A954,7,2),Map!$A$2:$B$20,2,FALSE),"")</f>
        <v/>
      </c>
      <c r="F954" t="str">
        <f>IF(A954="","",IFERROR(VLOOKUP(MID(A954,9,2),Map!$R$2:$S$14,2,FALSE),""))</f>
        <v/>
      </c>
      <c r="G954" t="str">
        <f t="shared" si="143"/>
        <v/>
      </c>
      <c r="H954" t="str">
        <f t="shared" si="144"/>
        <v/>
      </c>
      <c r="I954" t="str">
        <f>IF(A954="","",IFERROR(VLOOKUP(LEFT(A954,1),Map!$D$2:$E$20,2,FALSE),""))</f>
        <v/>
      </c>
      <c r="J954" t="str">
        <f>IF(OR(H954="",NOT(OR(LEFT(H954,1)="G",LEFT(H954,1)="R"))),"",IFERROR(VLOOKUP(MID(H954,2,1),Map!$J$2:$M$10,2,FALSE),""))</f>
        <v/>
      </c>
      <c r="K954" t="str">
        <f t="shared" si="145"/>
        <v/>
      </c>
      <c r="L954" t="str">
        <f t="shared" si="146"/>
        <v/>
      </c>
      <c r="M954" t="str">
        <f t="shared" si="147"/>
        <v/>
      </c>
      <c r="N954" t="str">
        <f t="shared" si="148"/>
        <v/>
      </c>
      <c r="O954" t="str">
        <f t="shared" si="149"/>
        <v/>
      </c>
      <c r="P954" t="str">
        <f>IF(OR(H954="",NOT(OR(LEFT(H954,1)="G",LEFT(H954,1)="R"))),"",IFERROR(VLOOKUP(MID(H954,3,1),Map!$G$2:$H$10,2,FALSE),""))</f>
        <v/>
      </c>
      <c r="Q954" t="str">
        <f>IF(A954="","",IFERROR(VLOOKUP(MID(A954,4,1),Map!$O$2:$P$10,2,FALSE),""))</f>
        <v/>
      </c>
    </row>
    <row r="955" spans="2:17" x14ac:dyDescent="0.25">
      <c r="B955" t="str">
        <f t="shared" si="140"/>
        <v/>
      </c>
      <c r="C955" t="str">
        <f t="shared" si="141"/>
        <v>**</v>
      </c>
      <c r="D955" t="str">
        <f t="shared" si="142"/>
        <v/>
      </c>
      <c r="E955" t="str">
        <f>IFERROR(VLOOKUP(MID(A955,7,2),Map!$A$2:$B$20,2,FALSE),"")</f>
        <v/>
      </c>
      <c r="F955" t="str">
        <f>IF(A955="","",IFERROR(VLOOKUP(MID(A955,9,2),Map!$R$2:$S$14,2,FALSE),""))</f>
        <v/>
      </c>
      <c r="G955" t="str">
        <f t="shared" si="143"/>
        <v/>
      </c>
      <c r="H955" t="str">
        <f t="shared" si="144"/>
        <v/>
      </c>
      <c r="I955" t="str">
        <f>IF(A955="","",IFERROR(VLOOKUP(LEFT(A955,1),Map!$D$2:$E$20,2,FALSE),""))</f>
        <v/>
      </c>
      <c r="J955" t="str">
        <f>IF(OR(H955="",NOT(OR(LEFT(H955,1)="G",LEFT(H955,1)="R"))),"",IFERROR(VLOOKUP(MID(H955,2,1),Map!$J$2:$M$10,2,FALSE),""))</f>
        <v/>
      </c>
      <c r="K955" t="str">
        <f t="shared" si="145"/>
        <v/>
      </c>
      <c r="L955" t="str">
        <f t="shared" si="146"/>
        <v/>
      </c>
      <c r="M955" t="str">
        <f t="shared" si="147"/>
        <v/>
      </c>
      <c r="N955" t="str">
        <f t="shared" si="148"/>
        <v/>
      </c>
      <c r="O955" t="str">
        <f t="shared" si="149"/>
        <v/>
      </c>
      <c r="P955" t="str">
        <f>IF(OR(H955="",NOT(OR(LEFT(H955,1)="G",LEFT(H955,1)="R"))),"",IFERROR(VLOOKUP(MID(H955,3,1),Map!$G$2:$H$10,2,FALSE),""))</f>
        <v/>
      </c>
      <c r="Q955" t="str">
        <f>IF(A955="","",IFERROR(VLOOKUP(MID(A955,4,1),Map!$O$2:$P$10,2,FALSE),""))</f>
        <v/>
      </c>
    </row>
    <row r="956" spans="2:17" x14ac:dyDescent="0.25">
      <c r="B956" t="str">
        <f t="shared" si="140"/>
        <v/>
      </c>
      <c r="C956" t="str">
        <f t="shared" si="141"/>
        <v>**</v>
      </c>
      <c r="D956" t="str">
        <f t="shared" si="142"/>
        <v/>
      </c>
      <c r="E956" t="str">
        <f>IFERROR(VLOOKUP(MID(A956,7,2),Map!$A$2:$B$20,2,FALSE),"")</f>
        <v/>
      </c>
      <c r="F956" t="str">
        <f>IF(A956="","",IFERROR(VLOOKUP(MID(A956,9,2),Map!$R$2:$S$14,2,FALSE),""))</f>
        <v/>
      </c>
      <c r="G956" t="str">
        <f t="shared" si="143"/>
        <v/>
      </c>
      <c r="H956" t="str">
        <f t="shared" si="144"/>
        <v/>
      </c>
      <c r="I956" t="str">
        <f>IF(A956="","",IFERROR(VLOOKUP(LEFT(A956,1),Map!$D$2:$E$20,2,FALSE),""))</f>
        <v/>
      </c>
      <c r="J956" t="str">
        <f>IF(OR(H956="",NOT(OR(LEFT(H956,1)="G",LEFT(H956,1)="R"))),"",IFERROR(VLOOKUP(MID(H956,2,1),Map!$J$2:$M$10,2,FALSE),""))</f>
        <v/>
      </c>
      <c r="K956" t="str">
        <f t="shared" si="145"/>
        <v/>
      </c>
      <c r="L956" t="str">
        <f t="shared" si="146"/>
        <v/>
      </c>
      <c r="M956" t="str">
        <f t="shared" si="147"/>
        <v/>
      </c>
      <c r="N956" t="str">
        <f t="shared" si="148"/>
        <v/>
      </c>
      <c r="O956" t="str">
        <f t="shared" si="149"/>
        <v/>
      </c>
      <c r="P956" t="str">
        <f>IF(OR(H956="",NOT(OR(LEFT(H956,1)="G",LEFT(H956,1)="R"))),"",IFERROR(VLOOKUP(MID(H956,3,1),Map!$G$2:$H$10,2,FALSE),""))</f>
        <v/>
      </c>
      <c r="Q956" t="str">
        <f>IF(A956="","",IFERROR(VLOOKUP(MID(A956,4,1),Map!$O$2:$P$10,2,FALSE),""))</f>
        <v/>
      </c>
    </row>
    <row r="957" spans="2:17" x14ac:dyDescent="0.25">
      <c r="B957" t="str">
        <f t="shared" si="140"/>
        <v/>
      </c>
      <c r="C957" t="str">
        <f t="shared" si="141"/>
        <v>**</v>
      </c>
      <c r="D957" t="str">
        <f t="shared" si="142"/>
        <v/>
      </c>
      <c r="E957" t="str">
        <f>IFERROR(VLOOKUP(MID(A957,7,2),Map!$A$2:$B$20,2,FALSE),"")</f>
        <v/>
      </c>
      <c r="F957" t="str">
        <f>IF(A957="","",IFERROR(VLOOKUP(MID(A957,9,2),Map!$R$2:$S$14,2,FALSE),""))</f>
        <v/>
      </c>
      <c r="G957" t="str">
        <f t="shared" si="143"/>
        <v/>
      </c>
      <c r="H957" t="str">
        <f t="shared" si="144"/>
        <v/>
      </c>
      <c r="I957" t="str">
        <f>IF(A957="","",IFERROR(VLOOKUP(LEFT(A957,1),Map!$D$2:$E$20,2,FALSE),""))</f>
        <v/>
      </c>
      <c r="J957" t="str">
        <f>IF(OR(H957="",NOT(OR(LEFT(H957,1)="G",LEFT(H957,1)="R"))),"",IFERROR(VLOOKUP(MID(H957,2,1),Map!$J$2:$M$10,2,FALSE),""))</f>
        <v/>
      </c>
      <c r="K957" t="str">
        <f t="shared" si="145"/>
        <v/>
      </c>
      <c r="L957" t="str">
        <f t="shared" si="146"/>
        <v/>
      </c>
      <c r="M957" t="str">
        <f t="shared" si="147"/>
        <v/>
      </c>
      <c r="N957" t="str">
        <f t="shared" si="148"/>
        <v/>
      </c>
      <c r="O957" t="str">
        <f t="shared" si="149"/>
        <v/>
      </c>
      <c r="P957" t="str">
        <f>IF(OR(H957="",NOT(OR(LEFT(H957,1)="G",LEFT(H957,1)="R"))),"",IFERROR(VLOOKUP(MID(H957,3,1),Map!$G$2:$H$10,2,FALSE),""))</f>
        <v/>
      </c>
      <c r="Q957" t="str">
        <f>IF(A957="","",IFERROR(VLOOKUP(MID(A957,4,1),Map!$O$2:$P$10,2,FALSE),""))</f>
        <v/>
      </c>
    </row>
    <row r="958" spans="2:17" x14ac:dyDescent="0.25">
      <c r="B958" t="str">
        <f t="shared" si="140"/>
        <v/>
      </c>
      <c r="C958" t="str">
        <f t="shared" si="141"/>
        <v>**</v>
      </c>
      <c r="D958" t="str">
        <f t="shared" si="142"/>
        <v/>
      </c>
      <c r="E958" t="str">
        <f>IFERROR(VLOOKUP(MID(A958,7,2),Map!$A$2:$B$20,2,FALSE),"")</f>
        <v/>
      </c>
      <c r="F958" t="str">
        <f>IF(A958="","",IFERROR(VLOOKUP(MID(A958,9,2),Map!$R$2:$S$14,2,FALSE),""))</f>
        <v/>
      </c>
      <c r="G958" t="str">
        <f t="shared" si="143"/>
        <v/>
      </c>
      <c r="H958" t="str">
        <f t="shared" si="144"/>
        <v/>
      </c>
      <c r="I958" t="str">
        <f>IF(A958="","",IFERROR(VLOOKUP(LEFT(A958,1),Map!$D$2:$E$20,2,FALSE),""))</f>
        <v/>
      </c>
      <c r="J958" t="str">
        <f>IF(OR(H958="",NOT(OR(LEFT(H958,1)="G",LEFT(H958,1)="R"))),"",IFERROR(VLOOKUP(MID(H958,2,1),Map!$J$2:$M$10,2,FALSE),""))</f>
        <v/>
      </c>
      <c r="K958" t="str">
        <f t="shared" si="145"/>
        <v/>
      </c>
      <c r="L958" t="str">
        <f t="shared" si="146"/>
        <v/>
      </c>
      <c r="M958" t="str">
        <f t="shared" si="147"/>
        <v/>
      </c>
      <c r="N958" t="str">
        <f t="shared" si="148"/>
        <v/>
      </c>
      <c r="O958" t="str">
        <f t="shared" si="149"/>
        <v/>
      </c>
      <c r="P958" t="str">
        <f>IF(OR(H958="",NOT(OR(LEFT(H958,1)="G",LEFT(H958,1)="R"))),"",IFERROR(VLOOKUP(MID(H958,3,1),Map!$G$2:$H$10,2,FALSE),""))</f>
        <v/>
      </c>
      <c r="Q958" t="str">
        <f>IF(A958="","",IFERROR(VLOOKUP(MID(A958,4,1),Map!$O$2:$P$10,2,FALSE),""))</f>
        <v/>
      </c>
    </row>
    <row r="959" spans="2:17" x14ac:dyDescent="0.25">
      <c r="B959" t="str">
        <f t="shared" si="140"/>
        <v/>
      </c>
      <c r="C959" t="str">
        <f t="shared" si="141"/>
        <v>**</v>
      </c>
      <c r="D959" t="str">
        <f t="shared" si="142"/>
        <v/>
      </c>
      <c r="E959" t="str">
        <f>IFERROR(VLOOKUP(MID(A959,7,2),Map!$A$2:$B$20,2,FALSE),"")</f>
        <v/>
      </c>
      <c r="F959" t="str">
        <f>IF(A959="","",IFERROR(VLOOKUP(MID(A959,9,2),Map!$R$2:$S$14,2,FALSE),""))</f>
        <v/>
      </c>
      <c r="G959" t="str">
        <f t="shared" si="143"/>
        <v/>
      </c>
      <c r="H959" t="str">
        <f t="shared" si="144"/>
        <v/>
      </c>
      <c r="I959" t="str">
        <f>IF(A959="","",IFERROR(VLOOKUP(LEFT(A959,1),Map!$D$2:$E$20,2,FALSE),""))</f>
        <v/>
      </c>
      <c r="J959" t="str">
        <f>IF(OR(H959="",NOT(OR(LEFT(H959,1)="G",LEFT(H959,1)="R"))),"",IFERROR(VLOOKUP(MID(H959,2,1),Map!$J$2:$M$10,2,FALSE),""))</f>
        <v/>
      </c>
      <c r="K959" t="str">
        <f t="shared" si="145"/>
        <v/>
      </c>
      <c r="L959" t="str">
        <f t="shared" si="146"/>
        <v/>
      </c>
      <c r="M959" t="str">
        <f t="shared" si="147"/>
        <v/>
      </c>
      <c r="N959" t="str">
        <f t="shared" si="148"/>
        <v/>
      </c>
      <c r="O959" t="str">
        <f t="shared" si="149"/>
        <v/>
      </c>
      <c r="P959" t="str">
        <f>IF(OR(H959="",NOT(OR(LEFT(H959,1)="G",LEFT(H959,1)="R"))),"",IFERROR(VLOOKUP(MID(H959,3,1),Map!$G$2:$H$10,2,FALSE),""))</f>
        <v/>
      </c>
      <c r="Q959" t="str">
        <f>IF(A959="","",IFERROR(VLOOKUP(MID(A959,4,1),Map!$O$2:$P$10,2,FALSE),""))</f>
        <v/>
      </c>
    </row>
    <row r="960" spans="2:17" x14ac:dyDescent="0.25">
      <c r="B960" t="str">
        <f t="shared" si="140"/>
        <v/>
      </c>
      <c r="C960" t="str">
        <f t="shared" si="141"/>
        <v>**</v>
      </c>
      <c r="D960" t="str">
        <f t="shared" si="142"/>
        <v/>
      </c>
      <c r="E960" t="str">
        <f>IFERROR(VLOOKUP(MID(A960,7,2),Map!$A$2:$B$20,2,FALSE),"")</f>
        <v/>
      </c>
      <c r="F960" t="str">
        <f>IF(A960="","",IFERROR(VLOOKUP(MID(A960,9,2),Map!$R$2:$S$14,2,FALSE),""))</f>
        <v/>
      </c>
      <c r="G960" t="str">
        <f t="shared" si="143"/>
        <v/>
      </c>
      <c r="H960" t="str">
        <f t="shared" si="144"/>
        <v/>
      </c>
      <c r="I960" t="str">
        <f>IF(A960="","",IFERROR(VLOOKUP(LEFT(A960,1),Map!$D$2:$E$20,2,FALSE),""))</f>
        <v/>
      </c>
      <c r="J960" t="str">
        <f>IF(OR(H960="",NOT(OR(LEFT(H960,1)="G",LEFT(H960,1)="R"))),"",IFERROR(VLOOKUP(MID(H960,2,1),Map!$J$2:$M$10,2,FALSE),""))</f>
        <v/>
      </c>
      <c r="K960" t="str">
        <f t="shared" si="145"/>
        <v/>
      </c>
      <c r="L960" t="str">
        <f t="shared" si="146"/>
        <v/>
      </c>
      <c r="M960" t="str">
        <f t="shared" si="147"/>
        <v/>
      </c>
      <c r="N960" t="str">
        <f t="shared" si="148"/>
        <v/>
      </c>
      <c r="O960" t="str">
        <f t="shared" si="149"/>
        <v/>
      </c>
      <c r="P960" t="str">
        <f>IF(OR(H960="",NOT(OR(LEFT(H960,1)="G",LEFT(H960,1)="R"))),"",IFERROR(VLOOKUP(MID(H960,3,1),Map!$G$2:$H$10,2,FALSE),""))</f>
        <v/>
      </c>
      <c r="Q960" t="str">
        <f>IF(A960="","",IFERROR(VLOOKUP(MID(A960,4,1),Map!$O$2:$P$10,2,FALSE),""))</f>
        <v/>
      </c>
    </row>
    <row r="961" spans="2:17" x14ac:dyDescent="0.25">
      <c r="B961" t="str">
        <f t="shared" si="140"/>
        <v/>
      </c>
      <c r="C961" t="str">
        <f t="shared" si="141"/>
        <v>**</v>
      </c>
      <c r="D961" t="str">
        <f t="shared" si="142"/>
        <v/>
      </c>
      <c r="E961" t="str">
        <f>IFERROR(VLOOKUP(MID(A961,7,2),Map!$A$2:$B$20,2,FALSE),"")</f>
        <v/>
      </c>
      <c r="F961" t="str">
        <f>IF(A961="","",IFERROR(VLOOKUP(MID(A961,9,2),Map!$R$2:$S$14,2,FALSE),""))</f>
        <v/>
      </c>
      <c r="G961" t="str">
        <f t="shared" si="143"/>
        <v/>
      </c>
      <c r="H961" t="str">
        <f t="shared" si="144"/>
        <v/>
      </c>
      <c r="I961" t="str">
        <f>IF(A961="","",IFERROR(VLOOKUP(LEFT(A961,1),Map!$D$2:$E$20,2,FALSE),""))</f>
        <v/>
      </c>
      <c r="J961" t="str">
        <f>IF(OR(H961="",NOT(OR(LEFT(H961,1)="G",LEFT(H961,1)="R"))),"",IFERROR(VLOOKUP(MID(H961,2,1),Map!$J$2:$M$10,2,FALSE),""))</f>
        <v/>
      </c>
      <c r="K961" t="str">
        <f t="shared" si="145"/>
        <v/>
      </c>
      <c r="L961" t="str">
        <f t="shared" si="146"/>
        <v/>
      </c>
      <c r="M961" t="str">
        <f t="shared" si="147"/>
        <v/>
      </c>
      <c r="N961" t="str">
        <f t="shared" si="148"/>
        <v/>
      </c>
      <c r="O961" t="str">
        <f t="shared" si="149"/>
        <v/>
      </c>
      <c r="P961" t="str">
        <f>IF(OR(H961="",NOT(OR(LEFT(H961,1)="G",LEFT(H961,1)="R"))),"",IFERROR(VLOOKUP(MID(H961,3,1),Map!$G$2:$H$10,2,FALSE),""))</f>
        <v/>
      </c>
      <c r="Q961" t="str">
        <f>IF(A961="","",IFERROR(VLOOKUP(MID(A961,4,1),Map!$O$2:$P$10,2,FALSE),""))</f>
        <v/>
      </c>
    </row>
    <row r="962" spans="2:17" x14ac:dyDescent="0.25">
      <c r="B962" t="str">
        <f t="shared" ref="B962:B1001" si="150">LEFT(A962,4)</f>
        <v/>
      </c>
      <c r="C962" t="str">
        <f t="shared" ref="C962:C1001" si="151">LEFT(A962,2)&amp;"**"</f>
        <v>**</v>
      </c>
      <c r="D962" t="str">
        <f t="shared" ref="D962:D1001" si="152">MID(A962,5,2)</f>
        <v/>
      </c>
      <c r="E962" t="str">
        <f>IFERROR(VLOOKUP(MID(A962,7,2),Map!$A$2:$B$20,2,FALSE),"")</f>
        <v/>
      </c>
      <c r="F962" t="str">
        <f>IF(A962="","",IFERROR(VLOOKUP(MID(A962,9,2),Map!$R$2:$S$14,2,FALSE),""))</f>
        <v/>
      </c>
      <c r="G962" t="str">
        <f t="shared" ref="G962:G1001" si="153">IFERROR(MID(A962,FIND("-",A962)+1,FIND("-",A962,FIND("-",A962)+1)-FIND("-",A962)-1),"")</f>
        <v/>
      </c>
      <c r="H962" t="str">
        <f t="shared" ref="H962:H1001" si="154">IFERROR(RIGHT(A962,LEN(A962)-FIND("-",A962,FIND("-",A962)+1)),"")</f>
        <v/>
      </c>
      <c r="I962" t="str">
        <f>IF(A962="","",IFERROR(VLOOKUP(LEFT(A962,1),Map!$D$2:$E$20,2,FALSE),""))</f>
        <v/>
      </c>
      <c r="J962" t="str">
        <f>IF(OR(H962="",NOT(OR(LEFT(H962,1)="G",LEFT(H962,1)="R"))),"",IFERROR(VLOOKUP(MID(H962,2,1),Map!$J$2:$M$10,2,FALSE),""))</f>
        <v/>
      </c>
      <c r="K962" t="str">
        <f t="shared" ref="K962:K1001" si="155">IF(OR(H962="",NOT(OR(LEFT(H962,1)="G",LEFT(H962,1)="R")),MID(H962,2,1)&lt;&gt;"A"),"","M")</f>
        <v/>
      </c>
      <c r="L962" t="str">
        <f t="shared" ref="L962:L1001" si="156">IF(OR(H962="",NOT(OR(LEFT(H962,1)="G",LEFT(H962,1)="R")),MID(H962,2,1)&lt;&gt;"A"),"","K")</f>
        <v/>
      </c>
      <c r="M962" t="str">
        <f t="shared" ref="M962:M1001" si="157">IF(OR(H962="",NOT(OR(LEFT(H962,1)="G",LEFT(H962,1)="R"))),"","")</f>
        <v/>
      </c>
      <c r="N962" t="str">
        <f t="shared" ref="N962:N1001" si="158">IF(OR(H962="",NOT(OR(LEFT(H962,1)="G",LEFT(H962,1)="R"))),"","")</f>
        <v/>
      </c>
      <c r="O962" t="str">
        <f t="shared" ref="O962:O1001" si="159">IF(OR(H962="",NOT(OR(LEFT(H962,1)="G",LEFT(H962,1)="R"))),"","")</f>
        <v/>
      </c>
      <c r="P962" t="str">
        <f>IF(OR(H962="",NOT(OR(LEFT(H962,1)="G",LEFT(H962,1)="R"))),"",IFERROR(VLOOKUP(MID(H962,3,1),Map!$G$2:$H$10,2,FALSE),""))</f>
        <v/>
      </c>
      <c r="Q962" t="str">
        <f>IF(A962="","",IFERROR(VLOOKUP(MID(A962,4,1),Map!$O$2:$P$10,2,FALSE),""))</f>
        <v/>
      </c>
    </row>
    <row r="963" spans="2:17" x14ac:dyDescent="0.25">
      <c r="B963" t="str">
        <f t="shared" si="150"/>
        <v/>
      </c>
      <c r="C963" t="str">
        <f t="shared" si="151"/>
        <v>**</v>
      </c>
      <c r="D963" t="str">
        <f t="shared" si="152"/>
        <v/>
      </c>
      <c r="E963" t="str">
        <f>IFERROR(VLOOKUP(MID(A963,7,2),Map!$A$2:$B$20,2,FALSE),"")</f>
        <v/>
      </c>
      <c r="F963" t="str">
        <f>IF(A963="","",IFERROR(VLOOKUP(MID(A963,9,2),Map!$R$2:$S$14,2,FALSE),""))</f>
        <v/>
      </c>
      <c r="G963" t="str">
        <f t="shared" si="153"/>
        <v/>
      </c>
      <c r="H963" t="str">
        <f t="shared" si="154"/>
        <v/>
      </c>
      <c r="I963" t="str">
        <f>IF(A963="","",IFERROR(VLOOKUP(LEFT(A963,1),Map!$D$2:$E$20,2,FALSE),""))</f>
        <v/>
      </c>
      <c r="J963" t="str">
        <f>IF(OR(H963="",NOT(OR(LEFT(H963,1)="G",LEFT(H963,1)="R"))),"",IFERROR(VLOOKUP(MID(H963,2,1),Map!$J$2:$M$10,2,FALSE),""))</f>
        <v/>
      </c>
      <c r="K963" t="str">
        <f t="shared" si="155"/>
        <v/>
      </c>
      <c r="L963" t="str">
        <f t="shared" si="156"/>
        <v/>
      </c>
      <c r="M963" t="str">
        <f t="shared" si="157"/>
        <v/>
      </c>
      <c r="N963" t="str">
        <f t="shared" si="158"/>
        <v/>
      </c>
      <c r="O963" t="str">
        <f t="shared" si="159"/>
        <v/>
      </c>
      <c r="P963" t="str">
        <f>IF(OR(H963="",NOT(OR(LEFT(H963,1)="G",LEFT(H963,1)="R"))),"",IFERROR(VLOOKUP(MID(H963,3,1),Map!$G$2:$H$10,2,FALSE),""))</f>
        <v/>
      </c>
      <c r="Q963" t="str">
        <f>IF(A963="","",IFERROR(VLOOKUP(MID(A963,4,1),Map!$O$2:$P$10,2,FALSE),""))</f>
        <v/>
      </c>
    </row>
    <row r="964" spans="2:17" x14ac:dyDescent="0.25">
      <c r="B964" t="str">
        <f t="shared" si="150"/>
        <v/>
      </c>
      <c r="C964" t="str">
        <f t="shared" si="151"/>
        <v>**</v>
      </c>
      <c r="D964" t="str">
        <f t="shared" si="152"/>
        <v/>
      </c>
      <c r="E964" t="str">
        <f>IFERROR(VLOOKUP(MID(A964,7,2),Map!$A$2:$B$20,2,FALSE),"")</f>
        <v/>
      </c>
      <c r="F964" t="str">
        <f>IF(A964="","",IFERROR(VLOOKUP(MID(A964,9,2),Map!$R$2:$S$14,2,FALSE),""))</f>
        <v/>
      </c>
      <c r="G964" t="str">
        <f t="shared" si="153"/>
        <v/>
      </c>
      <c r="H964" t="str">
        <f t="shared" si="154"/>
        <v/>
      </c>
      <c r="I964" t="str">
        <f>IF(A964="","",IFERROR(VLOOKUP(LEFT(A964,1),Map!$D$2:$E$20,2,FALSE),""))</f>
        <v/>
      </c>
      <c r="J964" t="str">
        <f>IF(OR(H964="",NOT(OR(LEFT(H964,1)="G",LEFT(H964,1)="R"))),"",IFERROR(VLOOKUP(MID(H964,2,1),Map!$J$2:$M$10,2,FALSE),""))</f>
        <v/>
      </c>
      <c r="K964" t="str">
        <f t="shared" si="155"/>
        <v/>
      </c>
      <c r="L964" t="str">
        <f t="shared" si="156"/>
        <v/>
      </c>
      <c r="M964" t="str">
        <f t="shared" si="157"/>
        <v/>
      </c>
      <c r="N964" t="str">
        <f t="shared" si="158"/>
        <v/>
      </c>
      <c r="O964" t="str">
        <f t="shared" si="159"/>
        <v/>
      </c>
      <c r="P964" t="str">
        <f>IF(OR(H964="",NOT(OR(LEFT(H964,1)="G",LEFT(H964,1)="R"))),"",IFERROR(VLOOKUP(MID(H964,3,1),Map!$G$2:$H$10,2,FALSE),""))</f>
        <v/>
      </c>
      <c r="Q964" t="str">
        <f>IF(A964="","",IFERROR(VLOOKUP(MID(A964,4,1),Map!$O$2:$P$10,2,FALSE),""))</f>
        <v/>
      </c>
    </row>
    <row r="965" spans="2:17" x14ac:dyDescent="0.25">
      <c r="B965" t="str">
        <f t="shared" si="150"/>
        <v/>
      </c>
      <c r="C965" t="str">
        <f t="shared" si="151"/>
        <v>**</v>
      </c>
      <c r="D965" t="str">
        <f t="shared" si="152"/>
        <v/>
      </c>
      <c r="E965" t="str">
        <f>IFERROR(VLOOKUP(MID(A965,7,2),Map!$A$2:$B$20,2,FALSE),"")</f>
        <v/>
      </c>
      <c r="F965" t="str">
        <f>IF(A965="","",IFERROR(VLOOKUP(MID(A965,9,2),Map!$R$2:$S$14,2,FALSE),""))</f>
        <v/>
      </c>
      <c r="G965" t="str">
        <f t="shared" si="153"/>
        <v/>
      </c>
      <c r="H965" t="str">
        <f t="shared" si="154"/>
        <v/>
      </c>
      <c r="I965" t="str">
        <f>IF(A965="","",IFERROR(VLOOKUP(LEFT(A965,1),Map!$D$2:$E$20,2,FALSE),""))</f>
        <v/>
      </c>
      <c r="J965" t="str">
        <f>IF(OR(H965="",NOT(OR(LEFT(H965,1)="G",LEFT(H965,1)="R"))),"",IFERROR(VLOOKUP(MID(H965,2,1),Map!$J$2:$M$10,2,FALSE),""))</f>
        <v/>
      </c>
      <c r="K965" t="str">
        <f t="shared" si="155"/>
        <v/>
      </c>
      <c r="L965" t="str">
        <f t="shared" si="156"/>
        <v/>
      </c>
      <c r="M965" t="str">
        <f t="shared" si="157"/>
        <v/>
      </c>
      <c r="N965" t="str">
        <f t="shared" si="158"/>
        <v/>
      </c>
      <c r="O965" t="str">
        <f t="shared" si="159"/>
        <v/>
      </c>
      <c r="P965" t="str">
        <f>IF(OR(H965="",NOT(OR(LEFT(H965,1)="G",LEFT(H965,1)="R"))),"",IFERROR(VLOOKUP(MID(H965,3,1),Map!$G$2:$H$10,2,FALSE),""))</f>
        <v/>
      </c>
      <c r="Q965" t="str">
        <f>IF(A965="","",IFERROR(VLOOKUP(MID(A965,4,1),Map!$O$2:$P$10,2,FALSE),""))</f>
        <v/>
      </c>
    </row>
    <row r="966" spans="2:17" x14ac:dyDescent="0.25">
      <c r="B966" t="str">
        <f t="shared" si="150"/>
        <v/>
      </c>
      <c r="C966" t="str">
        <f t="shared" si="151"/>
        <v>**</v>
      </c>
      <c r="D966" t="str">
        <f t="shared" si="152"/>
        <v/>
      </c>
      <c r="E966" t="str">
        <f>IFERROR(VLOOKUP(MID(A966,7,2),Map!$A$2:$B$20,2,FALSE),"")</f>
        <v/>
      </c>
      <c r="F966" t="str">
        <f>IF(A966="","",IFERROR(VLOOKUP(MID(A966,9,2),Map!$R$2:$S$14,2,FALSE),""))</f>
        <v/>
      </c>
      <c r="G966" t="str">
        <f t="shared" si="153"/>
        <v/>
      </c>
      <c r="H966" t="str">
        <f t="shared" si="154"/>
        <v/>
      </c>
      <c r="I966" t="str">
        <f>IF(A966="","",IFERROR(VLOOKUP(LEFT(A966,1),Map!$D$2:$E$20,2,FALSE),""))</f>
        <v/>
      </c>
      <c r="J966" t="str">
        <f>IF(OR(H966="",NOT(OR(LEFT(H966,1)="G",LEFT(H966,1)="R"))),"",IFERROR(VLOOKUP(MID(H966,2,1),Map!$J$2:$M$10,2,FALSE),""))</f>
        <v/>
      </c>
      <c r="K966" t="str">
        <f t="shared" si="155"/>
        <v/>
      </c>
      <c r="L966" t="str">
        <f t="shared" si="156"/>
        <v/>
      </c>
      <c r="M966" t="str">
        <f t="shared" si="157"/>
        <v/>
      </c>
      <c r="N966" t="str">
        <f t="shared" si="158"/>
        <v/>
      </c>
      <c r="O966" t="str">
        <f t="shared" si="159"/>
        <v/>
      </c>
      <c r="P966" t="str">
        <f>IF(OR(H966="",NOT(OR(LEFT(H966,1)="G",LEFT(H966,1)="R"))),"",IFERROR(VLOOKUP(MID(H966,3,1),Map!$G$2:$H$10,2,FALSE),""))</f>
        <v/>
      </c>
      <c r="Q966" t="str">
        <f>IF(A966="","",IFERROR(VLOOKUP(MID(A966,4,1),Map!$O$2:$P$10,2,FALSE),""))</f>
        <v/>
      </c>
    </row>
    <row r="967" spans="2:17" x14ac:dyDescent="0.25">
      <c r="B967" t="str">
        <f t="shared" si="150"/>
        <v/>
      </c>
      <c r="C967" t="str">
        <f t="shared" si="151"/>
        <v>**</v>
      </c>
      <c r="D967" t="str">
        <f t="shared" si="152"/>
        <v/>
      </c>
      <c r="E967" t="str">
        <f>IFERROR(VLOOKUP(MID(A967,7,2),Map!$A$2:$B$20,2,FALSE),"")</f>
        <v/>
      </c>
      <c r="F967" t="str">
        <f>IF(A967="","",IFERROR(VLOOKUP(MID(A967,9,2),Map!$R$2:$S$14,2,FALSE),""))</f>
        <v/>
      </c>
      <c r="G967" t="str">
        <f t="shared" si="153"/>
        <v/>
      </c>
      <c r="H967" t="str">
        <f t="shared" si="154"/>
        <v/>
      </c>
      <c r="I967" t="str">
        <f>IF(A967="","",IFERROR(VLOOKUP(LEFT(A967,1),Map!$D$2:$E$20,2,FALSE),""))</f>
        <v/>
      </c>
      <c r="J967" t="str">
        <f>IF(OR(H967="",NOT(OR(LEFT(H967,1)="G",LEFT(H967,1)="R"))),"",IFERROR(VLOOKUP(MID(H967,2,1),Map!$J$2:$M$10,2,FALSE),""))</f>
        <v/>
      </c>
      <c r="K967" t="str">
        <f t="shared" si="155"/>
        <v/>
      </c>
      <c r="L967" t="str">
        <f t="shared" si="156"/>
        <v/>
      </c>
      <c r="M967" t="str">
        <f t="shared" si="157"/>
        <v/>
      </c>
      <c r="N967" t="str">
        <f t="shared" si="158"/>
        <v/>
      </c>
      <c r="O967" t="str">
        <f t="shared" si="159"/>
        <v/>
      </c>
      <c r="P967" t="str">
        <f>IF(OR(H967="",NOT(OR(LEFT(H967,1)="G",LEFT(H967,1)="R"))),"",IFERROR(VLOOKUP(MID(H967,3,1),Map!$G$2:$H$10,2,FALSE),""))</f>
        <v/>
      </c>
      <c r="Q967" t="str">
        <f>IF(A967="","",IFERROR(VLOOKUP(MID(A967,4,1),Map!$O$2:$P$10,2,FALSE),""))</f>
        <v/>
      </c>
    </row>
    <row r="968" spans="2:17" x14ac:dyDescent="0.25">
      <c r="B968" t="str">
        <f t="shared" si="150"/>
        <v/>
      </c>
      <c r="C968" t="str">
        <f t="shared" si="151"/>
        <v>**</v>
      </c>
      <c r="D968" t="str">
        <f t="shared" si="152"/>
        <v/>
      </c>
      <c r="E968" t="str">
        <f>IFERROR(VLOOKUP(MID(A968,7,2),Map!$A$2:$B$20,2,FALSE),"")</f>
        <v/>
      </c>
      <c r="F968" t="str">
        <f>IF(A968="","",IFERROR(VLOOKUP(MID(A968,9,2),Map!$R$2:$S$14,2,FALSE),""))</f>
        <v/>
      </c>
      <c r="G968" t="str">
        <f t="shared" si="153"/>
        <v/>
      </c>
      <c r="H968" t="str">
        <f t="shared" si="154"/>
        <v/>
      </c>
      <c r="I968" t="str">
        <f>IF(A968="","",IFERROR(VLOOKUP(LEFT(A968,1),Map!$D$2:$E$20,2,FALSE),""))</f>
        <v/>
      </c>
      <c r="J968" t="str">
        <f>IF(OR(H968="",NOT(OR(LEFT(H968,1)="G",LEFT(H968,1)="R"))),"",IFERROR(VLOOKUP(MID(H968,2,1),Map!$J$2:$M$10,2,FALSE),""))</f>
        <v/>
      </c>
      <c r="K968" t="str">
        <f t="shared" si="155"/>
        <v/>
      </c>
      <c r="L968" t="str">
        <f t="shared" si="156"/>
        <v/>
      </c>
      <c r="M968" t="str">
        <f t="shared" si="157"/>
        <v/>
      </c>
      <c r="N968" t="str">
        <f t="shared" si="158"/>
        <v/>
      </c>
      <c r="O968" t="str">
        <f t="shared" si="159"/>
        <v/>
      </c>
      <c r="P968" t="str">
        <f>IF(OR(H968="",NOT(OR(LEFT(H968,1)="G",LEFT(H968,1)="R"))),"",IFERROR(VLOOKUP(MID(H968,3,1),Map!$G$2:$H$10,2,FALSE),""))</f>
        <v/>
      </c>
      <c r="Q968" t="str">
        <f>IF(A968="","",IFERROR(VLOOKUP(MID(A968,4,1),Map!$O$2:$P$10,2,FALSE),""))</f>
        <v/>
      </c>
    </row>
    <row r="969" spans="2:17" x14ac:dyDescent="0.25">
      <c r="B969" t="str">
        <f t="shared" si="150"/>
        <v/>
      </c>
      <c r="C969" t="str">
        <f t="shared" si="151"/>
        <v>**</v>
      </c>
      <c r="D969" t="str">
        <f t="shared" si="152"/>
        <v/>
      </c>
      <c r="E969" t="str">
        <f>IFERROR(VLOOKUP(MID(A969,7,2),Map!$A$2:$B$20,2,FALSE),"")</f>
        <v/>
      </c>
      <c r="F969" t="str">
        <f>IF(A969="","",IFERROR(VLOOKUP(MID(A969,9,2),Map!$R$2:$S$14,2,FALSE),""))</f>
        <v/>
      </c>
      <c r="G969" t="str">
        <f t="shared" si="153"/>
        <v/>
      </c>
      <c r="H969" t="str">
        <f t="shared" si="154"/>
        <v/>
      </c>
      <c r="I969" t="str">
        <f>IF(A969="","",IFERROR(VLOOKUP(LEFT(A969,1),Map!$D$2:$E$20,2,FALSE),""))</f>
        <v/>
      </c>
      <c r="J969" t="str">
        <f>IF(OR(H969="",NOT(OR(LEFT(H969,1)="G",LEFT(H969,1)="R"))),"",IFERROR(VLOOKUP(MID(H969,2,1),Map!$J$2:$M$10,2,FALSE),""))</f>
        <v/>
      </c>
      <c r="K969" t="str">
        <f t="shared" si="155"/>
        <v/>
      </c>
      <c r="L969" t="str">
        <f t="shared" si="156"/>
        <v/>
      </c>
      <c r="M969" t="str">
        <f t="shared" si="157"/>
        <v/>
      </c>
      <c r="N969" t="str">
        <f t="shared" si="158"/>
        <v/>
      </c>
      <c r="O969" t="str">
        <f t="shared" si="159"/>
        <v/>
      </c>
      <c r="P969" t="str">
        <f>IF(OR(H969="",NOT(OR(LEFT(H969,1)="G",LEFT(H969,1)="R"))),"",IFERROR(VLOOKUP(MID(H969,3,1),Map!$G$2:$H$10,2,FALSE),""))</f>
        <v/>
      </c>
      <c r="Q969" t="str">
        <f>IF(A969="","",IFERROR(VLOOKUP(MID(A969,4,1),Map!$O$2:$P$10,2,FALSE),""))</f>
        <v/>
      </c>
    </row>
    <row r="970" spans="2:17" x14ac:dyDescent="0.25">
      <c r="B970" t="str">
        <f t="shared" si="150"/>
        <v/>
      </c>
      <c r="C970" t="str">
        <f t="shared" si="151"/>
        <v>**</v>
      </c>
      <c r="D970" t="str">
        <f t="shared" si="152"/>
        <v/>
      </c>
      <c r="E970" t="str">
        <f>IFERROR(VLOOKUP(MID(A970,7,2),Map!$A$2:$B$20,2,FALSE),"")</f>
        <v/>
      </c>
      <c r="F970" t="str">
        <f>IF(A970="","",IFERROR(VLOOKUP(MID(A970,9,2),Map!$R$2:$S$14,2,FALSE),""))</f>
        <v/>
      </c>
      <c r="G970" t="str">
        <f t="shared" si="153"/>
        <v/>
      </c>
      <c r="H970" t="str">
        <f t="shared" si="154"/>
        <v/>
      </c>
      <c r="I970" t="str">
        <f>IF(A970="","",IFERROR(VLOOKUP(LEFT(A970,1),Map!$D$2:$E$20,2,FALSE),""))</f>
        <v/>
      </c>
      <c r="J970" t="str">
        <f>IF(OR(H970="",NOT(OR(LEFT(H970,1)="G",LEFT(H970,1)="R"))),"",IFERROR(VLOOKUP(MID(H970,2,1),Map!$J$2:$M$10,2,FALSE),""))</f>
        <v/>
      </c>
      <c r="K970" t="str">
        <f t="shared" si="155"/>
        <v/>
      </c>
      <c r="L970" t="str">
        <f t="shared" si="156"/>
        <v/>
      </c>
      <c r="M970" t="str">
        <f t="shared" si="157"/>
        <v/>
      </c>
      <c r="N970" t="str">
        <f t="shared" si="158"/>
        <v/>
      </c>
      <c r="O970" t="str">
        <f t="shared" si="159"/>
        <v/>
      </c>
      <c r="P970" t="str">
        <f>IF(OR(H970="",NOT(OR(LEFT(H970,1)="G",LEFT(H970,1)="R"))),"",IFERROR(VLOOKUP(MID(H970,3,1),Map!$G$2:$H$10,2,FALSE),""))</f>
        <v/>
      </c>
      <c r="Q970" t="str">
        <f>IF(A970="","",IFERROR(VLOOKUP(MID(A970,4,1),Map!$O$2:$P$10,2,FALSE),""))</f>
        <v/>
      </c>
    </row>
    <row r="971" spans="2:17" x14ac:dyDescent="0.25">
      <c r="B971" t="str">
        <f t="shared" si="150"/>
        <v/>
      </c>
      <c r="C971" t="str">
        <f t="shared" si="151"/>
        <v>**</v>
      </c>
      <c r="D971" t="str">
        <f t="shared" si="152"/>
        <v/>
      </c>
      <c r="E971" t="str">
        <f>IFERROR(VLOOKUP(MID(A971,7,2),Map!$A$2:$B$20,2,FALSE),"")</f>
        <v/>
      </c>
      <c r="F971" t="str">
        <f>IF(A971="","",IFERROR(VLOOKUP(MID(A971,9,2),Map!$R$2:$S$14,2,FALSE),""))</f>
        <v/>
      </c>
      <c r="G971" t="str">
        <f t="shared" si="153"/>
        <v/>
      </c>
      <c r="H971" t="str">
        <f t="shared" si="154"/>
        <v/>
      </c>
      <c r="I971" t="str">
        <f>IF(A971="","",IFERROR(VLOOKUP(LEFT(A971,1),Map!$D$2:$E$20,2,FALSE),""))</f>
        <v/>
      </c>
      <c r="J971" t="str">
        <f>IF(OR(H971="",NOT(OR(LEFT(H971,1)="G",LEFT(H971,1)="R"))),"",IFERROR(VLOOKUP(MID(H971,2,1),Map!$J$2:$M$10,2,FALSE),""))</f>
        <v/>
      </c>
      <c r="K971" t="str">
        <f t="shared" si="155"/>
        <v/>
      </c>
      <c r="L971" t="str">
        <f t="shared" si="156"/>
        <v/>
      </c>
      <c r="M971" t="str">
        <f t="shared" si="157"/>
        <v/>
      </c>
      <c r="N971" t="str">
        <f t="shared" si="158"/>
        <v/>
      </c>
      <c r="O971" t="str">
        <f t="shared" si="159"/>
        <v/>
      </c>
      <c r="P971" t="str">
        <f>IF(OR(H971="",NOT(OR(LEFT(H971,1)="G",LEFT(H971,1)="R"))),"",IFERROR(VLOOKUP(MID(H971,3,1),Map!$G$2:$H$10,2,FALSE),""))</f>
        <v/>
      </c>
      <c r="Q971" t="str">
        <f>IF(A971="","",IFERROR(VLOOKUP(MID(A971,4,1),Map!$O$2:$P$10,2,FALSE),""))</f>
        <v/>
      </c>
    </row>
    <row r="972" spans="2:17" x14ac:dyDescent="0.25">
      <c r="B972" t="str">
        <f t="shared" si="150"/>
        <v/>
      </c>
      <c r="C972" t="str">
        <f t="shared" si="151"/>
        <v>**</v>
      </c>
      <c r="D972" t="str">
        <f t="shared" si="152"/>
        <v/>
      </c>
      <c r="E972" t="str">
        <f>IFERROR(VLOOKUP(MID(A972,7,2),Map!$A$2:$B$20,2,FALSE),"")</f>
        <v/>
      </c>
      <c r="F972" t="str">
        <f>IF(A972="","",IFERROR(VLOOKUP(MID(A972,9,2),Map!$R$2:$S$14,2,FALSE),""))</f>
        <v/>
      </c>
      <c r="G972" t="str">
        <f t="shared" si="153"/>
        <v/>
      </c>
      <c r="H972" t="str">
        <f t="shared" si="154"/>
        <v/>
      </c>
      <c r="I972" t="str">
        <f>IF(A972="","",IFERROR(VLOOKUP(LEFT(A972,1),Map!$D$2:$E$20,2,FALSE),""))</f>
        <v/>
      </c>
      <c r="J972" t="str">
        <f>IF(OR(H972="",NOT(OR(LEFT(H972,1)="G",LEFT(H972,1)="R"))),"",IFERROR(VLOOKUP(MID(H972,2,1),Map!$J$2:$M$10,2,FALSE),""))</f>
        <v/>
      </c>
      <c r="K972" t="str">
        <f t="shared" si="155"/>
        <v/>
      </c>
      <c r="L972" t="str">
        <f t="shared" si="156"/>
        <v/>
      </c>
      <c r="M972" t="str">
        <f t="shared" si="157"/>
        <v/>
      </c>
      <c r="N972" t="str">
        <f t="shared" si="158"/>
        <v/>
      </c>
      <c r="O972" t="str">
        <f t="shared" si="159"/>
        <v/>
      </c>
      <c r="P972" t="str">
        <f>IF(OR(H972="",NOT(OR(LEFT(H972,1)="G",LEFT(H972,1)="R"))),"",IFERROR(VLOOKUP(MID(H972,3,1),Map!$G$2:$H$10,2,FALSE),""))</f>
        <v/>
      </c>
      <c r="Q972" t="str">
        <f>IF(A972="","",IFERROR(VLOOKUP(MID(A972,4,1),Map!$O$2:$P$10,2,FALSE),""))</f>
        <v/>
      </c>
    </row>
    <row r="973" spans="2:17" x14ac:dyDescent="0.25">
      <c r="B973" t="str">
        <f t="shared" si="150"/>
        <v/>
      </c>
      <c r="C973" t="str">
        <f t="shared" si="151"/>
        <v>**</v>
      </c>
      <c r="D973" t="str">
        <f t="shared" si="152"/>
        <v/>
      </c>
      <c r="E973" t="str">
        <f>IFERROR(VLOOKUP(MID(A973,7,2),Map!$A$2:$B$20,2,FALSE),"")</f>
        <v/>
      </c>
      <c r="F973" t="str">
        <f>IF(A973="","",IFERROR(VLOOKUP(MID(A973,9,2),Map!$R$2:$S$14,2,FALSE),""))</f>
        <v/>
      </c>
      <c r="G973" t="str">
        <f t="shared" si="153"/>
        <v/>
      </c>
      <c r="H973" t="str">
        <f t="shared" si="154"/>
        <v/>
      </c>
      <c r="I973" t="str">
        <f>IF(A973="","",IFERROR(VLOOKUP(LEFT(A973,1),Map!$D$2:$E$20,2,FALSE),""))</f>
        <v/>
      </c>
      <c r="J973" t="str">
        <f>IF(OR(H973="",NOT(OR(LEFT(H973,1)="G",LEFT(H973,1)="R"))),"",IFERROR(VLOOKUP(MID(H973,2,1),Map!$J$2:$M$10,2,FALSE),""))</f>
        <v/>
      </c>
      <c r="K973" t="str">
        <f t="shared" si="155"/>
        <v/>
      </c>
      <c r="L973" t="str">
        <f t="shared" si="156"/>
        <v/>
      </c>
      <c r="M973" t="str">
        <f t="shared" si="157"/>
        <v/>
      </c>
      <c r="N973" t="str">
        <f t="shared" si="158"/>
        <v/>
      </c>
      <c r="O973" t="str">
        <f t="shared" si="159"/>
        <v/>
      </c>
      <c r="P973" t="str">
        <f>IF(OR(H973="",NOT(OR(LEFT(H973,1)="G",LEFT(H973,1)="R"))),"",IFERROR(VLOOKUP(MID(H973,3,1),Map!$G$2:$H$10,2,FALSE),""))</f>
        <v/>
      </c>
      <c r="Q973" t="str">
        <f>IF(A973="","",IFERROR(VLOOKUP(MID(A973,4,1),Map!$O$2:$P$10,2,FALSE),""))</f>
        <v/>
      </c>
    </row>
    <row r="974" spans="2:17" x14ac:dyDescent="0.25">
      <c r="B974" t="str">
        <f t="shared" si="150"/>
        <v/>
      </c>
      <c r="C974" t="str">
        <f t="shared" si="151"/>
        <v>**</v>
      </c>
      <c r="D974" t="str">
        <f t="shared" si="152"/>
        <v/>
      </c>
      <c r="E974" t="str">
        <f>IFERROR(VLOOKUP(MID(A974,7,2),Map!$A$2:$B$20,2,FALSE),"")</f>
        <v/>
      </c>
      <c r="F974" t="str">
        <f>IF(A974="","",IFERROR(VLOOKUP(MID(A974,9,2),Map!$R$2:$S$14,2,FALSE),""))</f>
        <v/>
      </c>
      <c r="G974" t="str">
        <f t="shared" si="153"/>
        <v/>
      </c>
      <c r="H974" t="str">
        <f t="shared" si="154"/>
        <v/>
      </c>
      <c r="I974" t="str">
        <f>IF(A974="","",IFERROR(VLOOKUP(LEFT(A974,1),Map!$D$2:$E$20,2,FALSE),""))</f>
        <v/>
      </c>
      <c r="J974" t="str">
        <f>IF(OR(H974="",NOT(OR(LEFT(H974,1)="G",LEFT(H974,1)="R"))),"",IFERROR(VLOOKUP(MID(H974,2,1),Map!$J$2:$M$10,2,FALSE),""))</f>
        <v/>
      </c>
      <c r="K974" t="str">
        <f t="shared" si="155"/>
        <v/>
      </c>
      <c r="L974" t="str">
        <f t="shared" si="156"/>
        <v/>
      </c>
      <c r="M974" t="str">
        <f t="shared" si="157"/>
        <v/>
      </c>
      <c r="N974" t="str">
        <f t="shared" si="158"/>
        <v/>
      </c>
      <c r="O974" t="str">
        <f t="shared" si="159"/>
        <v/>
      </c>
      <c r="P974" t="str">
        <f>IF(OR(H974="",NOT(OR(LEFT(H974,1)="G",LEFT(H974,1)="R"))),"",IFERROR(VLOOKUP(MID(H974,3,1),Map!$G$2:$H$10,2,FALSE),""))</f>
        <v/>
      </c>
      <c r="Q974" t="str">
        <f>IF(A974="","",IFERROR(VLOOKUP(MID(A974,4,1),Map!$O$2:$P$10,2,FALSE),""))</f>
        <v/>
      </c>
    </row>
    <row r="975" spans="2:17" x14ac:dyDescent="0.25">
      <c r="B975" t="str">
        <f t="shared" si="150"/>
        <v/>
      </c>
      <c r="C975" t="str">
        <f t="shared" si="151"/>
        <v>**</v>
      </c>
      <c r="D975" t="str">
        <f t="shared" si="152"/>
        <v/>
      </c>
      <c r="E975" t="str">
        <f>IFERROR(VLOOKUP(MID(A975,7,2),Map!$A$2:$B$20,2,FALSE),"")</f>
        <v/>
      </c>
      <c r="F975" t="str">
        <f>IF(A975="","",IFERROR(VLOOKUP(MID(A975,9,2),Map!$R$2:$S$14,2,FALSE),""))</f>
        <v/>
      </c>
      <c r="G975" t="str">
        <f t="shared" si="153"/>
        <v/>
      </c>
      <c r="H975" t="str">
        <f t="shared" si="154"/>
        <v/>
      </c>
      <c r="I975" t="str">
        <f>IF(A975="","",IFERROR(VLOOKUP(LEFT(A975,1),Map!$D$2:$E$20,2,FALSE),""))</f>
        <v/>
      </c>
      <c r="J975" t="str">
        <f>IF(OR(H975="",NOT(OR(LEFT(H975,1)="G",LEFT(H975,1)="R"))),"",IFERROR(VLOOKUP(MID(H975,2,1),Map!$J$2:$M$10,2,FALSE),""))</f>
        <v/>
      </c>
      <c r="K975" t="str">
        <f t="shared" si="155"/>
        <v/>
      </c>
      <c r="L975" t="str">
        <f t="shared" si="156"/>
        <v/>
      </c>
      <c r="M975" t="str">
        <f t="shared" si="157"/>
        <v/>
      </c>
      <c r="N975" t="str">
        <f t="shared" si="158"/>
        <v/>
      </c>
      <c r="O975" t="str">
        <f t="shared" si="159"/>
        <v/>
      </c>
      <c r="P975" t="str">
        <f>IF(OR(H975="",NOT(OR(LEFT(H975,1)="G",LEFT(H975,1)="R"))),"",IFERROR(VLOOKUP(MID(H975,3,1),Map!$G$2:$H$10,2,FALSE),""))</f>
        <v/>
      </c>
      <c r="Q975" t="str">
        <f>IF(A975="","",IFERROR(VLOOKUP(MID(A975,4,1),Map!$O$2:$P$10,2,FALSE),""))</f>
        <v/>
      </c>
    </row>
    <row r="976" spans="2:17" x14ac:dyDescent="0.25">
      <c r="B976" t="str">
        <f t="shared" si="150"/>
        <v/>
      </c>
      <c r="C976" t="str">
        <f t="shared" si="151"/>
        <v>**</v>
      </c>
      <c r="D976" t="str">
        <f t="shared" si="152"/>
        <v/>
      </c>
      <c r="E976" t="str">
        <f>IFERROR(VLOOKUP(MID(A976,7,2),Map!$A$2:$B$20,2,FALSE),"")</f>
        <v/>
      </c>
      <c r="F976" t="str">
        <f>IF(A976="","",IFERROR(VLOOKUP(MID(A976,9,2),Map!$R$2:$S$14,2,FALSE),""))</f>
        <v/>
      </c>
      <c r="G976" t="str">
        <f t="shared" si="153"/>
        <v/>
      </c>
      <c r="H976" t="str">
        <f t="shared" si="154"/>
        <v/>
      </c>
      <c r="I976" t="str">
        <f>IF(A976="","",IFERROR(VLOOKUP(LEFT(A976,1),Map!$D$2:$E$20,2,FALSE),""))</f>
        <v/>
      </c>
      <c r="J976" t="str">
        <f>IF(OR(H976="",NOT(OR(LEFT(H976,1)="G",LEFT(H976,1)="R"))),"",IFERROR(VLOOKUP(MID(H976,2,1),Map!$J$2:$M$10,2,FALSE),""))</f>
        <v/>
      </c>
      <c r="K976" t="str">
        <f t="shared" si="155"/>
        <v/>
      </c>
      <c r="L976" t="str">
        <f t="shared" si="156"/>
        <v/>
      </c>
      <c r="M976" t="str">
        <f t="shared" si="157"/>
        <v/>
      </c>
      <c r="N976" t="str">
        <f t="shared" si="158"/>
        <v/>
      </c>
      <c r="O976" t="str">
        <f t="shared" si="159"/>
        <v/>
      </c>
      <c r="P976" t="str">
        <f>IF(OR(H976="",NOT(OR(LEFT(H976,1)="G",LEFT(H976,1)="R"))),"",IFERROR(VLOOKUP(MID(H976,3,1),Map!$G$2:$H$10,2,FALSE),""))</f>
        <v/>
      </c>
      <c r="Q976" t="str">
        <f>IF(A976="","",IFERROR(VLOOKUP(MID(A976,4,1),Map!$O$2:$P$10,2,FALSE),""))</f>
        <v/>
      </c>
    </row>
    <row r="977" spans="2:17" x14ac:dyDescent="0.25">
      <c r="B977" t="str">
        <f t="shared" si="150"/>
        <v/>
      </c>
      <c r="C977" t="str">
        <f t="shared" si="151"/>
        <v>**</v>
      </c>
      <c r="D977" t="str">
        <f t="shared" si="152"/>
        <v/>
      </c>
      <c r="E977" t="str">
        <f>IFERROR(VLOOKUP(MID(A977,7,2),Map!$A$2:$B$20,2,FALSE),"")</f>
        <v/>
      </c>
      <c r="F977" t="str">
        <f>IF(A977="","",IFERROR(VLOOKUP(MID(A977,9,2),Map!$R$2:$S$14,2,FALSE),""))</f>
        <v/>
      </c>
      <c r="G977" t="str">
        <f t="shared" si="153"/>
        <v/>
      </c>
      <c r="H977" t="str">
        <f t="shared" si="154"/>
        <v/>
      </c>
      <c r="I977" t="str">
        <f>IF(A977="","",IFERROR(VLOOKUP(LEFT(A977,1),Map!$D$2:$E$20,2,FALSE),""))</f>
        <v/>
      </c>
      <c r="J977" t="str">
        <f>IF(OR(H977="",NOT(OR(LEFT(H977,1)="G",LEFT(H977,1)="R"))),"",IFERROR(VLOOKUP(MID(H977,2,1),Map!$J$2:$M$10,2,FALSE),""))</f>
        <v/>
      </c>
      <c r="K977" t="str">
        <f t="shared" si="155"/>
        <v/>
      </c>
      <c r="L977" t="str">
        <f t="shared" si="156"/>
        <v/>
      </c>
      <c r="M977" t="str">
        <f t="shared" si="157"/>
        <v/>
      </c>
      <c r="N977" t="str">
        <f t="shared" si="158"/>
        <v/>
      </c>
      <c r="O977" t="str">
        <f t="shared" si="159"/>
        <v/>
      </c>
      <c r="P977" t="str">
        <f>IF(OR(H977="",NOT(OR(LEFT(H977,1)="G",LEFT(H977,1)="R"))),"",IFERROR(VLOOKUP(MID(H977,3,1),Map!$G$2:$H$10,2,FALSE),""))</f>
        <v/>
      </c>
      <c r="Q977" t="str">
        <f>IF(A977="","",IFERROR(VLOOKUP(MID(A977,4,1),Map!$O$2:$P$10,2,FALSE),""))</f>
        <v/>
      </c>
    </row>
    <row r="978" spans="2:17" x14ac:dyDescent="0.25">
      <c r="B978" t="str">
        <f t="shared" si="150"/>
        <v/>
      </c>
      <c r="C978" t="str">
        <f t="shared" si="151"/>
        <v>**</v>
      </c>
      <c r="D978" t="str">
        <f t="shared" si="152"/>
        <v/>
      </c>
      <c r="E978" t="str">
        <f>IFERROR(VLOOKUP(MID(A978,7,2),Map!$A$2:$B$20,2,FALSE),"")</f>
        <v/>
      </c>
      <c r="F978" t="str">
        <f>IF(A978="","",IFERROR(VLOOKUP(MID(A978,9,2),Map!$R$2:$S$14,2,FALSE),""))</f>
        <v/>
      </c>
      <c r="G978" t="str">
        <f t="shared" si="153"/>
        <v/>
      </c>
      <c r="H978" t="str">
        <f t="shared" si="154"/>
        <v/>
      </c>
      <c r="I978" t="str">
        <f>IF(A978="","",IFERROR(VLOOKUP(LEFT(A978,1),Map!$D$2:$E$20,2,FALSE),""))</f>
        <v/>
      </c>
      <c r="J978" t="str">
        <f>IF(OR(H978="",NOT(OR(LEFT(H978,1)="G",LEFT(H978,1)="R"))),"",IFERROR(VLOOKUP(MID(H978,2,1),Map!$J$2:$M$10,2,FALSE),""))</f>
        <v/>
      </c>
      <c r="K978" t="str">
        <f t="shared" si="155"/>
        <v/>
      </c>
      <c r="L978" t="str">
        <f t="shared" si="156"/>
        <v/>
      </c>
      <c r="M978" t="str">
        <f t="shared" si="157"/>
        <v/>
      </c>
      <c r="N978" t="str">
        <f t="shared" si="158"/>
        <v/>
      </c>
      <c r="O978" t="str">
        <f t="shared" si="159"/>
        <v/>
      </c>
      <c r="P978" t="str">
        <f>IF(OR(H978="",NOT(OR(LEFT(H978,1)="G",LEFT(H978,1)="R"))),"",IFERROR(VLOOKUP(MID(H978,3,1),Map!$G$2:$H$10,2,FALSE),""))</f>
        <v/>
      </c>
      <c r="Q978" t="str">
        <f>IF(A978="","",IFERROR(VLOOKUP(MID(A978,4,1),Map!$O$2:$P$10,2,FALSE),""))</f>
        <v/>
      </c>
    </row>
    <row r="979" spans="2:17" x14ac:dyDescent="0.25">
      <c r="B979" t="str">
        <f t="shared" si="150"/>
        <v/>
      </c>
      <c r="C979" t="str">
        <f t="shared" si="151"/>
        <v>**</v>
      </c>
      <c r="D979" t="str">
        <f t="shared" si="152"/>
        <v/>
      </c>
      <c r="E979" t="str">
        <f>IFERROR(VLOOKUP(MID(A979,7,2),Map!$A$2:$B$20,2,FALSE),"")</f>
        <v/>
      </c>
      <c r="F979" t="str">
        <f>IF(A979="","",IFERROR(VLOOKUP(MID(A979,9,2),Map!$R$2:$S$14,2,FALSE),""))</f>
        <v/>
      </c>
      <c r="G979" t="str">
        <f t="shared" si="153"/>
        <v/>
      </c>
      <c r="H979" t="str">
        <f t="shared" si="154"/>
        <v/>
      </c>
      <c r="I979" t="str">
        <f>IF(A979="","",IFERROR(VLOOKUP(LEFT(A979,1),Map!$D$2:$E$20,2,FALSE),""))</f>
        <v/>
      </c>
      <c r="J979" t="str">
        <f>IF(OR(H979="",NOT(OR(LEFT(H979,1)="G",LEFT(H979,1)="R"))),"",IFERROR(VLOOKUP(MID(H979,2,1),Map!$J$2:$M$10,2,FALSE),""))</f>
        <v/>
      </c>
      <c r="K979" t="str">
        <f t="shared" si="155"/>
        <v/>
      </c>
      <c r="L979" t="str">
        <f t="shared" si="156"/>
        <v/>
      </c>
      <c r="M979" t="str">
        <f t="shared" si="157"/>
        <v/>
      </c>
      <c r="N979" t="str">
        <f t="shared" si="158"/>
        <v/>
      </c>
      <c r="O979" t="str">
        <f t="shared" si="159"/>
        <v/>
      </c>
      <c r="P979" t="str">
        <f>IF(OR(H979="",NOT(OR(LEFT(H979,1)="G",LEFT(H979,1)="R"))),"",IFERROR(VLOOKUP(MID(H979,3,1),Map!$G$2:$H$10,2,FALSE),""))</f>
        <v/>
      </c>
      <c r="Q979" t="str">
        <f>IF(A979="","",IFERROR(VLOOKUP(MID(A979,4,1),Map!$O$2:$P$10,2,FALSE),""))</f>
        <v/>
      </c>
    </row>
    <row r="980" spans="2:17" x14ac:dyDescent="0.25">
      <c r="B980" t="str">
        <f t="shared" si="150"/>
        <v/>
      </c>
      <c r="C980" t="str">
        <f t="shared" si="151"/>
        <v>**</v>
      </c>
      <c r="D980" t="str">
        <f t="shared" si="152"/>
        <v/>
      </c>
      <c r="E980" t="str">
        <f>IFERROR(VLOOKUP(MID(A980,7,2),Map!$A$2:$B$20,2,FALSE),"")</f>
        <v/>
      </c>
      <c r="F980" t="str">
        <f>IF(A980="","",IFERROR(VLOOKUP(MID(A980,9,2),Map!$R$2:$S$14,2,FALSE),""))</f>
        <v/>
      </c>
      <c r="G980" t="str">
        <f t="shared" si="153"/>
        <v/>
      </c>
      <c r="H980" t="str">
        <f t="shared" si="154"/>
        <v/>
      </c>
      <c r="I980" t="str">
        <f>IF(A980="","",IFERROR(VLOOKUP(LEFT(A980,1),Map!$D$2:$E$20,2,FALSE),""))</f>
        <v/>
      </c>
      <c r="J980" t="str">
        <f>IF(OR(H980="",NOT(OR(LEFT(H980,1)="G",LEFT(H980,1)="R"))),"",IFERROR(VLOOKUP(MID(H980,2,1),Map!$J$2:$M$10,2,FALSE),""))</f>
        <v/>
      </c>
      <c r="K980" t="str">
        <f t="shared" si="155"/>
        <v/>
      </c>
      <c r="L980" t="str">
        <f t="shared" si="156"/>
        <v/>
      </c>
      <c r="M980" t="str">
        <f t="shared" si="157"/>
        <v/>
      </c>
      <c r="N980" t="str">
        <f t="shared" si="158"/>
        <v/>
      </c>
      <c r="O980" t="str">
        <f t="shared" si="159"/>
        <v/>
      </c>
      <c r="P980" t="str">
        <f>IF(OR(H980="",NOT(OR(LEFT(H980,1)="G",LEFT(H980,1)="R"))),"",IFERROR(VLOOKUP(MID(H980,3,1),Map!$G$2:$H$10,2,FALSE),""))</f>
        <v/>
      </c>
      <c r="Q980" t="str">
        <f>IF(A980="","",IFERROR(VLOOKUP(MID(A980,4,1),Map!$O$2:$P$10,2,FALSE),""))</f>
        <v/>
      </c>
    </row>
    <row r="981" spans="2:17" x14ac:dyDescent="0.25">
      <c r="B981" t="str">
        <f t="shared" si="150"/>
        <v/>
      </c>
      <c r="C981" t="str">
        <f t="shared" si="151"/>
        <v>**</v>
      </c>
      <c r="D981" t="str">
        <f t="shared" si="152"/>
        <v/>
      </c>
      <c r="E981" t="str">
        <f>IFERROR(VLOOKUP(MID(A981,7,2),Map!$A$2:$B$20,2,FALSE),"")</f>
        <v/>
      </c>
      <c r="F981" t="str">
        <f>IF(A981="","",IFERROR(VLOOKUP(MID(A981,9,2),Map!$R$2:$S$14,2,FALSE),""))</f>
        <v/>
      </c>
      <c r="G981" t="str">
        <f t="shared" si="153"/>
        <v/>
      </c>
      <c r="H981" t="str">
        <f t="shared" si="154"/>
        <v/>
      </c>
      <c r="I981" t="str">
        <f>IF(A981="","",IFERROR(VLOOKUP(LEFT(A981,1),Map!$D$2:$E$20,2,FALSE),""))</f>
        <v/>
      </c>
      <c r="J981" t="str">
        <f>IF(OR(H981="",NOT(OR(LEFT(H981,1)="G",LEFT(H981,1)="R"))),"",IFERROR(VLOOKUP(MID(H981,2,1),Map!$J$2:$M$10,2,FALSE),""))</f>
        <v/>
      </c>
      <c r="K981" t="str">
        <f t="shared" si="155"/>
        <v/>
      </c>
      <c r="L981" t="str">
        <f t="shared" si="156"/>
        <v/>
      </c>
      <c r="M981" t="str">
        <f t="shared" si="157"/>
        <v/>
      </c>
      <c r="N981" t="str">
        <f t="shared" si="158"/>
        <v/>
      </c>
      <c r="O981" t="str">
        <f t="shared" si="159"/>
        <v/>
      </c>
      <c r="P981" t="str">
        <f>IF(OR(H981="",NOT(OR(LEFT(H981,1)="G",LEFT(H981,1)="R"))),"",IFERROR(VLOOKUP(MID(H981,3,1),Map!$G$2:$H$10,2,FALSE),""))</f>
        <v/>
      </c>
      <c r="Q981" t="str">
        <f>IF(A981="","",IFERROR(VLOOKUP(MID(A981,4,1),Map!$O$2:$P$10,2,FALSE),""))</f>
        <v/>
      </c>
    </row>
    <row r="982" spans="2:17" x14ac:dyDescent="0.25">
      <c r="B982" t="str">
        <f t="shared" si="150"/>
        <v/>
      </c>
      <c r="C982" t="str">
        <f t="shared" si="151"/>
        <v>**</v>
      </c>
      <c r="D982" t="str">
        <f t="shared" si="152"/>
        <v/>
      </c>
      <c r="E982" t="str">
        <f>IFERROR(VLOOKUP(MID(A982,7,2),Map!$A$2:$B$20,2,FALSE),"")</f>
        <v/>
      </c>
      <c r="F982" t="str">
        <f>IF(A982="","",IFERROR(VLOOKUP(MID(A982,9,2),Map!$R$2:$S$14,2,FALSE),""))</f>
        <v/>
      </c>
      <c r="G982" t="str">
        <f t="shared" si="153"/>
        <v/>
      </c>
      <c r="H982" t="str">
        <f t="shared" si="154"/>
        <v/>
      </c>
      <c r="I982" t="str">
        <f>IF(A982="","",IFERROR(VLOOKUP(LEFT(A982,1),Map!$D$2:$E$20,2,FALSE),""))</f>
        <v/>
      </c>
      <c r="J982" t="str">
        <f>IF(OR(H982="",NOT(OR(LEFT(H982,1)="G",LEFT(H982,1)="R"))),"",IFERROR(VLOOKUP(MID(H982,2,1),Map!$J$2:$M$10,2,FALSE),""))</f>
        <v/>
      </c>
      <c r="K982" t="str">
        <f t="shared" si="155"/>
        <v/>
      </c>
      <c r="L982" t="str">
        <f t="shared" si="156"/>
        <v/>
      </c>
      <c r="M982" t="str">
        <f t="shared" si="157"/>
        <v/>
      </c>
      <c r="N982" t="str">
        <f t="shared" si="158"/>
        <v/>
      </c>
      <c r="O982" t="str">
        <f t="shared" si="159"/>
        <v/>
      </c>
      <c r="P982" t="str">
        <f>IF(OR(H982="",NOT(OR(LEFT(H982,1)="G",LEFT(H982,1)="R"))),"",IFERROR(VLOOKUP(MID(H982,3,1),Map!$G$2:$H$10,2,FALSE),""))</f>
        <v/>
      </c>
      <c r="Q982" t="str">
        <f>IF(A982="","",IFERROR(VLOOKUP(MID(A982,4,1),Map!$O$2:$P$10,2,FALSE),""))</f>
        <v/>
      </c>
    </row>
    <row r="983" spans="2:17" x14ac:dyDescent="0.25">
      <c r="B983" t="str">
        <f t="shared" si="150"/>
        <v/>
      </c>
      <c r="C983" t="str">
        <f t="shared" si="151"/>
        <v>**</v>
      </c>
      <c r="D983" t="str">
        <f t="shared" si="152"/>
        <v/>
      </c>
      <c r="E983" t="str">
        <f>IFERROR(VLOOKUP(MID(A983,7,2),Map!$A$2:$B$20,2,FALSE),"")</f>
        <v/>
      </c>
      <c r="F983" t="str">
        <f>IF(A983="","",IFERROR(VLOOKUP(MID(A983,9,2),Map!$R$2:$S$14,2,FALSE),""))</f>
        <v/>
      </c>
      <c r="G983" t="str">
        <f t="shared" si="153"/>
        <v/>
      </c>
      <c r="H983" t="str">
        <f t="shared" si="154"/>
        <v/>
      </c>
      <c r="I983" t="str">
        <f>IF(A983="","",IFERROR(VLOOKUP(LEFT(A983,1),Map!$D$2:$E$20,2,FALSE),""))</f>
        <v/>
      </c>
      <c r="J983" t="str">
        <f>IF(OR(H983="",NOT(OR(LEFT(H983,1)="G",LEFT(H983,1)="R"))),"",IFERROR(VLOOKUP(MID(H983,2,1),Map!$J$2:$M$10,2,FALSE),""))</f>
        <v/>
      </c>
      <c r="K983" t="str">
        <f t="shared" si="155"/>
        <v/>
      </c>
      <c r="L983" t="str">
        <f t="shared" si="156"/>
        <v/>
      </c>
      <c r="M983" t="str">
        <f t="shared" si="157"/>
        <v/>
      </c>
      <c r="N983" t="str">
        <f t="shared" si="158"/>
        <v/>
      </c>
      <c r="O983" t="str">
        <f t="shared" si="159"/>
        <v/>
      </c>
      <c r="P983" t="str">
        <f>IF(OR(H983="",NOT(OR(LEFT(H983,1)="G",LEFT(H983,1)="R"))),"",IFERROR(VLOOKUP(MID(H983,3,1),Map!$G$2:$H$10,2,FALSE),""))</f>
        <v/>
      </c>
      <c r="Q983" t="str">
        <f>IF(A983="","",IFERROR(VLOOKUP(MID(A983,4,1),Map!$O$2:$P$10,2,FALSE),""))</f>
        <v/>
      </c>
    </row>
    <row r="984" spans="2:17" x14ac:dyDescent="0.25">
      <c r="B984" t="str">
        <f t="shared" si="150"/>
        <v/>
      </c>
      <c r="C984" t="str">
        <f t="shared" si="151"/>
        <v>**</v>
      </c>
      <c r="D984" t="str">
        <f t="shared" si="152"/>
        <v/>
      </c>
      <c r="E984" t="str">
        <f>IFERROR(VLOOKUP(MID(A984,7,2),Map!$A$2:$B$20,2,FALSE),"")</f>
        <v/>
      </c>
      <c r="F984" t="str">
        <f>IF(A984="","",IFERROR(VLOOKUP(MID(A984,9,2),Map!$R$2:$S$14,2,FALSE),""))</f>
        <v/>
      </c>
      <c r="G984" t="str">
        <f t="shared" si="153"/>
        <v/>
      </c>
      <c r="H984" t="str">
        <f t="shared" si="154"/>
        <v/>
      </c>
      <c r="I984" t="str">
        <f>IF(A984="","",IFERROR(VLOOKUP(LEFT(A984,1),Map!$D$2:$E$20,2,FALSE),""))</f>
        <v/>
      </c>
      <c r="J984" t="str">
        <f>IF(OR(H984="",NOT(OR(LEFT(H984,1)="G",LEFT(H984,1)="R"))),"",IFERROR(VLOOKUP(MID(H984,2,1),Map!$J$2:$M$10,2,FALSE),""))</f>
        <v/>
      </c>
      <c r="K984" t="str">
        <f t="shared" si="155"/>
        <v/>
      </c>
      <c r="L984" t="str">
        <f t="shared" si="156"/>
        <v/>
      </c>
      <c r="M984" t="str">
        <f t="shared" si="157"/>
        <v/>
      </c>
      <c r="N984" t="str">
        <f t="shared" si="158"/>
        <v/>
      </c>
      <c r="O984" t="str">
        <f t="shared" si="159"/>
        <v/>
      </c>
      <c r="P984" t="str">
        <f>IF(OR(H984="",NOT(OR(LEFT(H984,1)="G",LEFT(H984,1)="R"))),"",IFERROR(VLOOKUP(MID(H984,3,1),Map!$G$2:$H$10,2,FALSE),""))</f>
        <v/>
      </c>
      <c r="Q984" t="str">
        <f>IF(A984="","",IFERROR(VLOOKUP(MID(A984,4,1),Map!$O$2:$P$10,2,FALSE),""))</f>
        <v/>
      </c>
    </row>
    <row r="985" spans="2:17" x14ac:dyDescent="0.25">
      <c r="B985" t="str">
        <f t="shared" si="150"/>
        <v/>
      </c>
      <c r="C985" t="str">
        <f t="shared" si="151"/>
        <v>**</v>
      </c>
      <c r="D985" t="str">
        <f t="shared" si="152"/>
        <v/>
      </c>
      <c r="E985" t="str">
        <f>IFERROR(VLOOKUP(MID(A985,7,2),Map!$A$2:$B$20,2,FALSE),"")</f>
        <v/>
      </c>
      <c r="F985" t="str">
        <f>IF(A985="","",IFERROR(VLOOKUP(MID(A985,9,2),Map!$R$2:$S$14,2,FALSE),""))</f>
        <v/>
      </c>
      <c r="G985" t="str">
        <f t="shared" si="153"/>
        <v/>
      </c>
      <c r="H985" t="str">
        <f t="shared" si="154"/>
        <v/>
      </c>
      <c r="I985" t="str">
        <f>IF(A985="","",IFERROR(VLOOKUP(LEFT(A985,1),Map!$D$2:$E$20,2,FALSE),""))</f>
        <v/>
      </c>
      <c r="J985" t="str">
        <f>IF(OR(H985="",NOT(OR(LEFT(H985,1)="G",LEFT(H985,1)="R"))),"",IFERROR(VLOOKUP(MID(H985,2,1),Map!$J$2:$M$10,2,FALSE),""))</f>
        <v/>
      </c>
      <c r="K985" t="str">
        <f t="shared" si="155"/>
        <v/>
      </c>
      <c r="L985" t="str">
        <f t="shared" si="156"/>
        <v/>
      </c>
      <c r="M985" t="str">
        <f t="shared" si="157"/>
        <v/>
      </c>
      <c r="N985" t="str">
        <f t="shared" si="158"/>
        <v/>
      </c>
      <c r="O985" t="str">
        <f t="shared" si="159"/>
        <v/>
      </c>
      <c r="P985" t="str">
        <f>IF(OR(H985="",NOT(OR(LEFT(H985,1)="G",LEFT(H985,1)="R"))),"",IFERROR(VLOOKUP(MID(H985,3,1),Map!$G$2:$H$10,2,FALSE),""))</f>
        <v/>
      </c>
      <c r="Q985" t="str">
        <f>IF(A985="","",IFERROR(VLOOKUP(MID(A985,4,1),Map!$O$2:$P$10,2,FALSE),""))</f>
        <v/>
      </c>
    </row>
    <row r="986" spans="2:17" x14ac:dyDescent="0.25">
      <c r="B986" t="str">
        <f t="shared" si="150"/>
        <v/>
      </c>
      <c r="C986" t="str">
        <f t="shared" si="151"/>
        <v>**</v>
      </c>
      <c r="D986" t="str">
        <f t="shared" si="152"/>
        <v/>
      </c>
      <c r="E986" t="str">
        <f>IFERROR(VLOOKUP(MID(A986,7,2),Map!$A$2:$B$20,2,FALSE),"")</f>
        <v/>
      </c>
      <c r="F986" t="str">
        <f>IF(A986="","",IFERROR(VLOOKUP(MID(A986,9,2),Map!$R$2:$S$14,2,FALSE),""))</f>
        <v/>
      </c>
      <c r="G986" t="str">
        <f t="shared" si="153"/>
        <v/>
      </c>
      <c r="H986" t="str">
        <f t="shared" si="154"/>
        <v/>
      </c>
      <c r="I986" t="str">
        <f>IF(A986="","",IFERROR(VLOOKUP(LEFT(A986,1),Map!$D$2:$E$20,2,FALSE),""))</f>
        <v/>
      </c>
      <c r="J986" t="str">
        <f>IF(OR(H986="",NOT(OR(LEFT(H986,1)="G",LEFT(H986,1)="R"))),"",IFERROR(VLOOKUP(MID(H986,2,1),Map!$J$2:$M$10,2,FALSE),""))</f>
        <v/>
      </c>
      <c r="K986" t="str">
        <f t="shared" si="155"/>
        <v/>
      </c>
      <c r="L986" t="str">
        <f t="shared" si="156"/>
        <v/>
      </c>
      <c r="M986" t="str">
        <f t="shared" si="157"/>
        <v/>
      </c>
      <c r="N986" t="str">
        <f t="shared" si="158"/>
        <v/>
      </c>
      <c r="O986" t="str">
        <f t="shared" si="159"/>
        <v/>
      </c>
      <c r="P986" t="str">
        <f>IF(OR(H986="",NOT(OR(LEFT(H986,1)="G",LEFT(H986,1)="R"))),"",IFERROR(VLOOKUP(MID(H986,3,1),Map!$G$2:$H$10,2,FALSE),""))</f>
        <v/>
      </c>
      <c r="Q986" t="str">
        <f>IF(A986="","",IFERROR(VLOOKUP(MID(A986,4,1),Map!$O$2:$P$10,2,FALSE),""))</f>
        <v/>
      </c>
    </row>
    <row r="987" spans="2:17" x14ac:dyDescent="0.25">
      <c r="B987" t="str">
        <f t="shared" si="150"/>
        <v/>
      </c>
      <c r="C987" t="str">
        <f t="shared" si="151"/>
        <v>**</v>
      </c>
      <c r="D987" t="str">
        <f t="shared" si="152"/>
        <v/>
      </c>
      <c r="E987" t="str">
        <f>IFERROR(VLOOKUP(MID(A987,7,2),Map!$A$2:$B$20,2,FALSE),"")</f>
        <v/>
      </c>
      <c r="F987" t="str">
        <f>IF(A987="","",IFERROR(VLOOKUP(MID(A987,9,2),Map!$R$2:$S$14,2,FALSE),""))</f>
        <v/>
      </c>
      <c r="G987" t="str">
        <f t="shared" si="153"/>
        <v/>
      </c>
      <c r="H987" t="str">
        <f t="shared" si="154"/>
        <v/>
      </c>
      <c r="I987" t="str">
        <f>IF(A987="","",IFERROR(VLOOKUP(LEFT(A987,1),Map!$D$2:$E$20,2,FALSE),""))</f>
        <v/>
      </c>
      <c r="J987" t="str">
        <f>IF(OR(H987="",NOT(OR(LEFT(H987,1)="G",LEFT(H987,1)="R"))),"",IFERROR(VLOOKUP(MID(H987,2,1),Map!$J$2:$M$10,2,FALSE),""))</f>
        <v/>
      </c>
      <c r="K987" t="str">
        <f t="shared" si="155"/>
        <v/>
      </c>
      <c r="L987" t="str">
        <f t="shared" si="156"/>
        <v/>
      </c>
      <c r="M987" t="str">
        <f t="shared" si="157"/>
        <v/>
      </c>
      <c r="N987" t="str">
        <f t="shared" si="158"/>
        <v/>
      </c>
      <c r="O987" t="str">
        <f t="shared" si="159"/>
        <v/>
      </c>
      <c r="P987" t="str">
        <f>IF(OR(H987="",NOT(OR(LEFT(H987,1)="G",LEFT(H987,1)="R"))),"",IFERROR(VLOOKUP(MID(H987,3,1),Map!$G$2:$H$10,2,FALSE),""))</f>
        <v/>
      </c>
      <c r="Q987" t="str">
        <f>IF(A987="","",IFERROR(VLOOKUP(MID(A987,4,1),Map!$O$2:$P$10,2,FALSE),""))</f>
        <v/>
      </c>
    </row>
    <row r="988" spans="2:17" x14ac:dyDescent="0.25">
      <c r="B988" t="str">
        <f t="shared" si="150"/>
        <v/>
      </c>
      <c r="C988" t="str">
        <f t="shared" si="151"/>
        <v>**</v>
      </c>
      <c r="D988" t="str">
        <f t="shared" si="152"/>
        <v/>
      </c>
      <c r="E988" t="str">
        <f>IFERROR(VLOOKUP(MID(A988,7,2),Map!$A$2:$B$20,2,FALSE),"")</f>
        <v/>
      </c>
      <c r="F988" t="str">
        <f>IF(A988="","",IFERROR(VLOOKUP(MID(A988,9,2),Map!$R$2:$S$14,2,FALSE),""))</f>
        <v/>
      </c>
      <c r="G988" t="str">
        <f t="shared" si="153"/>
        <v/>
      </c>
      <c r="H988" t="str">
        <f t="shared" si="154"/>
        <v/>
      </c>
      <c r="I988" t="str">
        <f>IF(A988="","",IFERROR(VLOOKUP(LEFT(A988,1),Map!$D$2:$E$20,2,FALSE),""))</f>
        <v/>
      </c>
      <c r="J988" t="str">
        <f>IF(OR(H988="",NOT(OR(LEFT(H988,1)="G",LEFT(H988,1)="R"))),"",IFERROR(VLOOKUP(MID(H988,2,1),Map!$J$2:$M$10,2,FALSE),""))</f>
        <v/>
      </c>
      <c r="K988" t="str">
        <f t="shared" si="155"/>
        <v/>
      </c>
      <c r="L988" t="str">
        <f t="shared" si="156"/>
        <v/>
      </c>
      <c r="M988" t="str">
        <f t="shared" si="157"/>
        <v/>
      </c>
      <c r="N988" t="str">
        <f t="shared" si="158"/>
        <v/>
      </c>
      <c r="O988" t="str">
        <f t="shared" si="159"/>
        <v/>
      </c>
      <c r="P988" t="str">
        <f>IF(OR(H988="",NOT(OR(LEFT(H988,1)="G",LEFT(H988,1)="R"))),"",IFERROR(VLOOKUP(MID(H988,3,1),Map!$G$2:$H$10,2,FALSE),""))</f>
        <v/>
      </c>
      <c r="Q988" t="str">
        <f>IF(A988="","",IFERROR(VLOOKUP(MID(A988,4,1),Map!$O$2:$P$10,2,FALSE),""))</f>
        <v/>
      </c>
    </row>
    <row r="989" spans="2:17" x14ac:dyDescent="0.25">
      <c r="B989" t="str">
        <f t="shared" si="150"/>
        <v/>
      </c>
      <c r="C989" t="str">
        <f t="shared" si="151"/>
        <v>**</v>
      </c>
      <c r="D989" t="str">
        <f t="shared" si="152"/>
        <v/>
      </c>
      <c r="E989" t="str">
        <f>IFERROR(VLOOKUP(MID(A989,7,2),Map!$A$2:$B$20,2,FALSE),"")</f>
        <v/>
      </c>
      <c r="F989" t="str">
        <f>IF(A989="","",IFERROR(VLOOKUP(MID(A989,9,2),Map!$R$2:$S$14,2,FALSE),""))</f>
        <v/>
      </c>
      <c r="G989" t="str">
        <f t="shared" si="153"/>
        <v/>
      </c>
      <c r="H989" t="str">
        <f t="shared" si="154"/>
        <v/>
      </c>
      <c r="I989" t="str">
        <f>IF(A989="","",IFERROR(VLOOKUP(LEFT(A989,1),Map!$D$2:$E$20,2,FALSE),""))</f>
        <v/>
      </c>
      <c r="J989" t="str">
        <f>IF(OR(H989="",NOT(OR(LEFT(H989,1)="G",LEFT(H989,1)="R"))),"",IFERROR(VLOOKUP(MID(H989,2,1),Map!$J$2:$M$10,2,FALSE),""))</f>
        <v/>
      </c>
      <c r="K989" t="str">
        <f t="shared" si="155"/>
        <v/>
      </c>
      <c r="L989" t="str">
        <f t="shared" si="156"/>
        <v/>
      </c>
      <c r="M989" t="str">
        <f t="shared" si="157"/>
        <v/>
      </c>
      <c r="N989" t="str">
        <f t="shared" si="158"/>
        <v/>
      </c>
      <c r="O989" t="str">
        <f t="shared" si="159"/>
        <v/>
      </c>
      <c r="P989" t="str">
        <f>IF(OR(H989="",NOT(OR(LEFT(H989,1)="G",LEFT(H989,1)="R"))),"",IFERROR(VLOOKUP(MID(H989,3,1),Map!$G$2:$H$10,2,FALSE),""))</f>
        <v/>
      </c>
      <c r="Q989" t="str">
        <f>IF(A989="","",IFERROR(VLOOKUP(MID(A989,4,1),Map!$O$2:$P$10,2,FALSE),""))</f>
        <v/>
      </c>
    </row>
    <row r="990" spans="2:17" x14ac:dyDescent="0.25">
      <c r="B990" t="str">
        <f t="shared" si="150"/>
        <v/>
      </c>
      <c r="C990" t="str">
        <f t="shared" si="151"/>
        <v>**</v>
      </c>
      <c r="D990" t="str">
        <f t="shared" si="152"/>
        <v/>
      </c>
      <c r="E990" t="str">
        <f>IFERROR(VLOOKUP(MID(A990,7,2),Map!$A$2:$B$20,2,FALSE),"")</f>
        <v/>
      </c>
      <c r="F990" t="str">
        <f>IF(A990="","",IFERROR(VLOOKUP(MID(A990,9,2),Map!$R$2:$S$14,2,FALSE),""))</f>
        <v/>
      </c>
      <c r="G990" t="str">
        <f t="shared" si="153"/>
        <v/>
      </c>
      <c r="H990" t="str">
        <f t="shared" si="154"/>
        <v/>
      </c>
      <c r="I990" t="str">
        <f>IF(A990="","",IFERROR(VLOOKUP(LEFT(A990,1),Map!$D$2:$E$20,2,FALSE),""))</f>
        <v/>
      </c>
      <c r="J990" t="str">
        <f>IF(OR(H990="",NOT(OR(LEFT(H990,1)="G",LEFT(H990,1)="R"))),"",IFERROR(VLOOKUP(MID(H990,2,1),Map!$J$2:$M$10,2,FALSE),""))</f>
        <v/>
      </c>
      <c r="K990" t="str">
        <f t="shared" si="155"/>
        <v/>
      </c>
      <c r="L990" t="str">
        <f t="shared" si="156"/>
        <v/>
      </c>
      <c r="M990" t="str">
        <f t="shared" si="157"/>
        <v/>
      </c>
      <c r="N990" t="str">
        <f t="shared" si="158"/>
        <v/>
      </c>
      <c r="O990" t="str">
        <f t="shared" si="159"/>
        <v/>
      </c>
      <c r="P990" t="str">
        <f>IF(OR(H990="",NOT(OR(LEFT(H990,1)="G",LEFT(H990,1)="R"))),"",IFERROR(VLOOKUP(MID(H990,3,1),Map!$G$2:$H$10,2,FALSE),""))</f>
        <v/>
      </c>
      <c r="Q990" t="str">
        <f>IF(A990="","",IFERROR(VLOOKUP(MID(A990,4,1),Map!$O$2:$P$10,2,FALSE),""))</f>
        <v/>
      </c>
    </row>
    <row r="991" spans="2:17" x14ac:dyDescent="0.25">
      <c r="B991" t="str">
        <f t="shared" si="150"/>
        <v/>
      </c>
      <c r="C991" t="str">
        <f t="shared" si="151"/>
        <v>**</v>
      </c>
      <c r="D991" t="str">
        <f t="shared" si="152"/>
        <v/>
      </c>
      <c r="E991" t="str">
        <f>IFERROR(VLOOKUP(MID(A991,7,2),Map!$A$2:$B$20,2,FALSE),"")</f>
        <v/>
      </c>
      <c r="F991" t="str">
        <f>IF(A991="","",IFERROR(VLOOKUP(MID(A991,9,2),Map!$R$2:$S$14,2,FALSE),""))</f>
        <v/>
      </c>
      <c r="G991" t="str">
        <f t="shared" si="153"/>
        <v/>
      </c>
      <c r="H991" t="str">
        <f t="shared" si="154"/>
        <v/>
      </c>
      <c r="I991" t="str">
        <f>IF(A991="","",IFERROR(VLOOKUP(LEFT(A991,1),Map!$D$2:$E$20,2,FALSE),""))</f>
        <v/>
      </c>
      <c r="J991" t="str">
        <f>IF(OR(H991="",NOT(OR(LEFT(H991,1)="G",LEFT(H991,1)="R"))),"",IFERROR(VLOOKUP(MID(H991,2,1),Map!$J$2:$M$10,2,FALSE),""))</f>
        <v/>
      </c>
      <c r="K991" t="str">
        <f t="shared" si="155"/>
        <v/>
      </c>
      <c r="L991" t="str">
        <f t="shared" si="156"/>
        <v/>
      </c>
      <c r="M991" t="str">
        <f t="shared" si="157"/>
        <v/>
      </c>
      <c r="N991" t="str">
        <f t="shared" si="158"/>
        <v/>
      </c>
      <c r="O991" t="str">
        <f t="shared" si="159"/>
        <v/>
      </c>
      <c r="P991" t="str">
        <f>IF(OR(H991="",NOT(OR(LEFT(H991,1)="G",LEFT(H991,1)="R"))),"",IFERROR(VLOOKUP(MID(H991,3,1),Map!$G$2:$H$10,2,FALSE),""))</f>
        <v/>
      </c>
      <c r="Q991" t="str">
        <f>IF(A991="","",IFERROR(VLOOKUP(MID(A991,4,1),Map!$O$2:$P$10,2,FALSE),""))</f>
        <v/>
      </c>
    </row>
    <row r="992" spans="2:17" x14ac:dyDescent="0.25">
      <c r="B992" t="str">
        <f t="shared" si="150"/>
        <v/>
      </c>
      <c r="C992" t="str">
        <f t="shared" si="151"/>
        <v>**</v>
      </c>
      <c r="D992" t="str">
        <f t="shared" si="152"/>
        <v/>
      </c>
      <c r="E992" t="str">
        <f>IFERROR(VLOOKUP(MID(A992,7,2),Map!$A$2:$B$20,2,FALSE),"")</f>
        <v/>
      </c>
      <c r="F992" t="str">
        <f>IF(A992="","",IFERROR(VLOOKUP(MID(A992,9,2),Map!$R$2:$S$14,2,FALSE),""))</f>
        <v/>
      </c>
      <c r="G992" t="str">
        <f t="shared" si="153"/>
        <v/>
      </c>
      <c r="H992" t="str">
        <f t="shared" si="154"/>
        <v/>
      </c>
      <c r="I992" t="str">
        <f>IF(A992="","",IFERROR(VLOOKUP(LEFT(A992,1),Map!$D$2:$E$20,2,FALSE),""))</f>
        <v/>
      </c>
      <c r="J992" t="str">
        <f>IF(OR(H992="",NOT(OR(LEFT(H992,1)="G",LEFT(H992,1)="R"))),"",IFERROR(VLOOKUP(MID(H992,2,1),Map!$J$2:$M$10,2,FALSE),""))</f>
        <v/>
      </c>
      <c r="K992" t="str">
        <f t="shared" si="155"/>
        <v/>
      </c>
      <c r="L992" t="str">
        <f t="shared" si="156"/>
        <v/>
      </c>
      <c r="M992" t="str">
        <f t="shared" si="157"/>
        <v/>
      </c>
      <c r="N992" t="str">
        <f t="shared" si="158"/>
        <v/>
      </c>
      <c r="O992" t="str">
        <f t="shared" si="159"/>
        <v/>
      </c>
      <c r="P992" t="str">
        <f>IF(OR(H992="",NOT(OR(LEFT(H992,1)="G",LEFT(H992,1)="R"))),"",IFERROR(VLOOKUP(MID(H992,3,1),Map!$G$2:$H$10,2,FALSE),""))</f>
        <v/>
      </c>
      <c r="Q992" t="str">
        <f>IF(A992="","",IFERROR(VLOOKUP(MID(A992,4,1),Map!$O$2:$P$10,2,FALSE),""))</f>
        <v/>
      </c>
    </row>
    <row r="993" spans="2:17" x14ac:dyDescent="0.25">
      <c r="B993" t="str">
        <f t="shared" si="150"/>
        <v/>
      </c>
      <c r="C993" t="str">
        <f t="shared" si="151"/>
        <v>**</v>
      </c>
      <c r="D993" t="str">
        <f t="shared" si="152"/>
        <v/>
      </c>
      <c r="E993" t="str">
        <f>IFERROR(VLOOKUP(MID(A993,7,2),Map!$A$2:$B$20,2,FALSE),"")</f>
        <v/>
      </c>
      <c r="F993" t="str">
        <f>IF(A993="","",IFERROR(VLOOKUP(MID(A993,9,2),Map!$R$2:$S$14,2,FALSE),""))</f>
        <v/>
      </c>
      <c r="G993" t="str">
        <f t="shared" si="153"/>
        <v/>
      </c>
      <c r="H993" t="str">
        <f t="shared" si="154"/>
        <v/>
      </c>
      <c r="I993" t="str">
        <f>IF(A993="","",IFERROR(VLOOKUP(LEFT(A993,1),Map!$D$2:$E$20,2,FALSE),""))</f>
        <v/>
      </c>
      <c r="J993" t="str">
        <f>IF(OR(H993="",NOT(OR(LEFT(H993,1)="G",LEFT(H993,1)="R"))),"",IFERROR(VLOOKUP(MID(H993,2,1),Map!$J$2:$M$10,2,FALSE),""))</f>
        <v/>
      </c>
      <c r="K993" t="str">
        <f t="shared" si="155"/>
        <v/>
      </c>
      <c r="L993" t="str">
        <f t="shared" si="156"/>
        <v/>
      </c>
      <c r="M993" t="str">
        <f t="shared" si="157"/>
        <v/>
      </c>
      <c r="N993" t="str">
        <f t="shared" si="158"/>
        <v/>
      </c>
      <c r="O993" t="str">
        <f t="shared" si="159"/>
        <v/>
      </c>
      <c r="P993" t="str">
        <f>IF(OR(H993="",NOT(OR(LEFT(H993,1)="G",LEFT(H993,1)="R"))),"",IFERROR(VLOOKUP(MID(H993,3,1),Map!$G$2:$H$10,2,FALSE),""))</f>
        <v/>
      </c>
      <c r="Q993" t="str">
        <f>IF(A993="","",IFERROR(VLOOKUP(MID(A993,4,1),Map!$O$2:$P$10,2,FALSE),""))</f>
        <v/>
      </c>
    </row>
    <row r="994" spans="2:17" x14ac:dyDescent="0.25">
      <c r="B994" t="str">
        <f t="shared" si="150"/>
        <v/>
      </c>
      <c r="C994" t="str">
        <f t="shared" si="151"/>
        <v>**</v>
      </c>
      <c r="D994" t="str">
        <f t="shared" si="152"/>
        <v/>
      </c>
      <c r="E994" t="str">
        <f>IFERROR(VLOOKUP(MID(A994,7,2),Map!$A$2:$B$20,2,FALSE),"")</f>
        <v/>
      </c>
      <c r="F994" t="str">
        <f>IF(A994="","",IFERROR(VLOOKUP(MID(A994,9,2),Map!$R$2:$S$14,2,FALSE),""))</f>
        <v/>
      </c>
      <c r="G994" t="str">
        <f t="shared" si="153"/>
        <v/>
      </c>
      <c r="H994" t="str">
        <f t="shared" si="154"/>
        <v/>
      </c>
      <c r="I994" t="str">
        <f>IF(A994="","",IFERROR(VLOOKUP(LEFT(A994,1),Map!$D$2:$E$20,2,FALSE),""))</f>
        <v/>
      </c>
      <c r="J994" t="str">
        <f>IF(OR(H994="",NOT(OR(LEFT(H994,1)="G",LEFT(H994,1)="R"))),"",IFERROR(VLOOKUP(MID(H994,2,1),Map!$J$2:$M$10,2,FALSE),""))</f>
        <v/>
      </c>
      <c r="K994" t="str">
        <f t="shared" si="155"/>
        <v/>
      </c>
      <c r="L994" t="str">
        <f t="shared" si="156"/>
        <v/>
      </c>
      <c r="M994" t="str">
        <f t="shared" si="157"/>
        <v/>
      </c>
      <c r="N994" t="str">
        <f t="shared" si="158"/>
        <v/>
      </c>
      <c r="O994" t="str">
        <f t="shared" si="159"/>
        <v/>
      </c>
      <c r="P994" t="str">
        <f>IF(OR(H994="",NOT(OR(LEFT(H994,1)="G",LEFT(H994,1)="R"))),"",IFERROR(VLOOKUP(MID(H994,3,1),Map!$G$2:$H$10,2,FALSE),""))</f>
        <v/>
      </c>
      <c r="Q994" t="str">
        <f>IF(A994="","",IFERROR(VLOOKUP(MID(A994,4,1),Map!$O$2:$P$10,2,FALSE),""))</f>
        <v/>
      </c>
    </row>
    <row r="995" spans="2:17" x14ac:dyDescent="0.25">
      <c r="B995" t="str">
        <f t="shared" si="150"/>
        <v/>
      </c>
      <c r="C995" t="str">
        <f t="shared" si="151"/>
        <v>**</v>
      </c>
      <c r="D995" t="str">
        <f t="shared" si="152"/>
        <v/>
      </c>
      <c r="E995" t="str">
        <f>IFERROR(VLOOKUP(MID(A995,7,2),Map!$A$2:$B$20,2,FALSE),"")</f>
        <v/>
      </c>
      <c r="F995" t="str">
        <f>IF(A995="","",IFERROR(VLOOKUP(MID(A995,9,2),Map!$R$2:$S$14,2,FALSE),""))</f>
        <v/>
      </c>
      <c r="G995" t="str">
        <f t="shared" si="153"/>
        <v/>
      </c>
      <c r="H995" t="str">
        <f t="shared" si="154"/>
        <v/>
      </c>
      <c r="I995" t="str">
        <f>IF(A995="","",IFERROR(VLOOKUP(LEFT(A995,1),Map!$D$2:$E$20,2,FALSE),""))</f>
        <v/>
      </c>
      <c r="J995" t="str">
        <f>IF(OR(H995="",NOT(OR(LEFT(H995,1)="G",LEFT(H995,1)="R"))),"",IFERROR(VLOOKUP(MID(H995,2,1),Map!$J$2:$M$10,2,FALSE),""))</f>
        <v/>
      </c>
      <c r="K995" t="str">
        <f t="shared" si="155"/>
        <v/>
      </c>
      <c r="L995" t="str">
        <f t="shared" si="156"/>
        <v/>
      </c>
      <c r="M995" t="str">
        <f t="shared" si="157"/>
        <v/>
      </c>
      <c r="N995" t="str">
        <f t="shared" si="158"/>
        <v/>
      </c>
      <c r="O995" t="str">
        <f t="shared" si="159"/>
        <v/>
      </c>
      <c r="P995" t="str">
        <f>IF(OR(H995="",NOT(OR(LEFT(H995,1)="G",LEFT(H995,1)="R"))),"",IFERROR(VLOOKUP(MID(H995,3,1),Map!$G$2:$H$10,2,FALSE),""))</f>
        <v/>
      </c>
      <c r="Q995" t="str">
        <f>IF(A995="","",IFERROR(VLOOKUP(MID(A995,4,1),Map!$O$2:$P$10,2,FALSE),""))</f>
        <v/>
      </c>
    </row>
    <row r="996" spans="2:17" x14ac:dyDescent="0.25">
      <c r="B996" t="str">
        <f t="shared" si="150"/>
        <v/>
      </c>
      <c r="C996" t="str">
        <f t="shared" si="151"/>
        <v>**</v>
      </c>
      <c r="D996" t="str">
        <f t="shared" si="152"/>
        <v/>
      </c>
      <c r="E996" t="str">
        <f>IFERROR(VLOOKUP(MID(A996,7,2),Map!$A$2:$B$20,2,FALSE),"")</f>
        <v/>
      </c>
      <c r="F996" t="str">
        <f>IF(A996="","",IFERROR(VLOOKUP(MID(A996,9,2),Map!$R$2:$S$14,2,FALSE),""))</f>
        <v/>
      </c>
      <c r="G996" t="str">
        <f t="shared" si="153"/>
        <v/>
      </c>
      <c r="H996" t="str">
        <f t="shared" si="154"/>
        <v/>
      </c>
      <c r="I996" t="str">
        <f>IF(A996="","",IFERROR(VLOOKUP(LEFT(A996,1),Map!$D$2:$E$20,2,FALSE),""))</f>
        <v/>
      </c>
      <c r="J996" t="str">
        <f>IF(OR(H996="",NOT(OR(LEFT(H996,1)="G",LEFT(H996,1)="R"))),"",IFERROR(VLOOKUP(MID(H996,2,1),Map!$J$2:$M$10,2,FALSE),""))</f>
        <v/>
      </c>
      <c r="K996" t="str">
        <f t="shared" si="155"/>
        <v/>
      </c>
      <c r="L996" t="str">
        <f t="shared" si="156"/>
        <v/>
      </c>
      <c r="M996" t="str">
        <f t="shared" si="157"/>
        <v/>
      </c>
      <c r="N996" t="str">
        <f t="shared" si="158"/>
        <v/>
      </c>
      <c r="O996" t="str">
        <f t="shared" si="159"/>
        <v/>
      </c>
      <c r="P996" t="str">
        <f>IF(OR(H996="",NOT(OR(LEFT(H996,1)="G",LEFT(H996,1)="R"))),"",IFERROR(VLOOKUP(MID(H996,3,1),Map!$G$2:$H$10,2,FALSE),""))</f>
        <v/>
      </c>
      <c r="Q996" t="str">
        <f>IF(A996="","",IFERROR(VLOOKUP(MID(A996,4,1),Map!$O$2:$P$10,2,FALSE),""))</f>
        <v/>
      </c>
    </row>
    <row r="997" spans="2:17" x14ac:dyDescent="0.25">
      <c r="B997" t="str">
        <f t="shared" si="150"/>
        <v/>
      </c>
      <c r="C997" t="str">
        <f t="shared" si="151"/>
        <v>**</v>
      </c>
      <c r="D997" t="str">
        <f t="shared" si="152"/>
        <v/>
      </c>
      <c r="E997" t="str">
        <f>IFERROR(VLOOKUP(MID(A997,7,2),Map!$A$2:$B$20,2,FALSE),"")</f>
        <v/>
      </c>
      <c r="F997" t="str">
        <f>IF(A997="","",IFERROR(VLOOKUP(MID(A997,9,2),Map!$R$2:$S$14,2,FALSE),""))</f>
        <v/>
      </c>
      <c r="G997" t="str">
        <f t="shared" si="153"/>
        <v/>
      </c>
      <c r="H997" t="str">
        <f t="shared" si="154"/>
        <v/>
      </c>
      <c r="I997" t="str">
        <f>IF(A997="","",IFERROR(VLOOKUP(LEFT(A997,1),Map!$D$2:$E$20,2,FALSE),""))</f>
        <v/>
      </c>
      <c r="J997" t="str">
        <f>IF(OR(H997="",NOT(OR(LEFT(H997,1)="G",LEFT(H997,1)="R"))),"",IFERROR(VLOOKUP(MID(H997,2,1),Map!$J$2:$M$10,2,FALSE),""))</f>
        <v/>
      </c>
      <c r="K997" t="str">
        <f t="shared" si="155"/>
        <v/>
      </c>
      <c r="L997" t="str">
        <f t="shared" si="156"/>
        <v/>
      </c>
      <c r="M997" t="str">
        <f t="shared" si="157"/>
        <v/>
      </c>
      <c r="N997" t="str">
        <f t="shared" si="158"/>
        <v/>
      </c>
      <c r="O997" t="str">
        <f t="shared" si="159"/>
        <v/>
      </c>
      <c r="P997" t="str">
        <f>IF(OR(H997="",NOT(OR(LEFT(H997,1)="G",LEFT(H997,1)="R"))),"",IFERROR(VLOOKUP(MID(H997,3,1),Map!$G$2:$H$10,2,FALSE),""))</f>
        <v/>
      </c>
      <c r="Q997" t="str">
        <f>IF(A997="","",IFERROR(VLOOKUP(MID(A997,4,1),Map!$O$2:$P$10,2,FALSE),""))</f>
        <v/>
      </c>
    </row>
    <row r="998" spans="2:17" x14ac:dyDescent="0.25">
      <c r="B998" t="str">
        <f t="shared" si="150"/>
        <v/>
      </c>
      <c r="C998" t="str">
        <f t="shared" si="151"/>
        <v>**</v>
      </c>
      <c r="D998" t="str">
        <f t="shared" si="152"/>
        <v/>
      </c>
      <c r="E998" t="str">
        <f>IFERROR(VLOOKUP(MID(A998,7,2),Map!$A$2:$B$20,2,FALSE),"")</f>
        <v/>
      </c>
      <c r="F998" t="str">
        <f>IF(A998="","",IFERROR(VLOOKUP(MID(A998,9,2),Map!$R$2:$S$14,2,FALSE),""))</f>
        <v/>
      </c>
      <c r="G998" t="str">
        <f t="shared" si="153"/>
        <v/>
      </c>
      <c r="H998" t="str">
        <f t="shared" si="154"/>
        <v/>
      </c>
      <c r="I998" t="str">
        <f>IF(A998="","",IFERROR(VLOOKUP(LEFT(A998,1),Map!$D$2:$E$20,2,FALSE),""))</f>
        <v/>
      </c>
      <c r="J998" t="str">
        <f>IF(OR(H998="",NOT(OR(LEFT(H998,1)="G",LEFT(H998,1)="R"))),"",IFERROR(VLOOKUP(MID(H998,2,1),Map!$J$2:$M$10,2,FALSE),""))</f>
        <v/>
      </c>
      <c r="K998" t="str">
        <f t="shared" si="155"/>
        <v/>
      </c>
      <c r="L998" t="str">
        <f t="shared" si="156"/>
        <v/>
      </c>
      <c r="M998" t="str">
        <f t="shared" si="157"/>
        <v/>
      </c>
      <c r="N998" t="str">
        <f t="shared" si="158"/>
        <v/>
      </c>
      <c r="O998" t="str">
        <f t="shared" si="159"/>
        <v/>
      </c>
      <c r="P998" t="str">
        <f>IF(OR(H998="",NOT(OR(LEFT(H998,1)="G",LEFT(H998,1)="R"))),"",IFERROR(VLOOKUP(MID(H998,3,1),Map!$G$2:$H$10,2,FALSE),""))</f>
        <v/>
      </c>
      <c r="Q998" t="str">
        <f>IF(A998="","",IFERROR(VLOOKUP(MID(A998,4,1),Map!$O$2:$P$10,2,FALSE),""))</f>
        <v/>
      </c>
    </row>
    <row r="999" spans="2:17" x14ac:dyDescent="0.25">
      <c r="B999" t="str">
        <f t="shared" si="150"/>
        <v/>
      </c>
      <c r="C999" t="str">
        <f t="shared" si="151"/>
        <v>**</v>
      </c>
      <c r="D999" t="str">
        <f t="shared" si="152"/>
        <v/>
      </c>
      <c r="E999" t="str">
        <f>IFERROR(VLOOKUP(MID(A999,7,2),Map!$A$2:$B$20,2,FALSE),"")</f>
        <v/>
      </c>
      <c r="F999" t="str">
        <f>IF(A999="","",IFERROR(VLOOKUP(MID(A999,9,2),Map!$R$2:$S$14,2,FALSE),""))</f>
        <v/>
      </c>
      <c r="G999" t="str">
        <f t="shared" si="153"/>
        <v/>
      </c>
      <c r="H999" t="str">
        <f t="shared" si="154"/>
        <v/>
      </c>
      <c r="I999" t="str">
        <f>IF(A999="","",IFERROR(VLOOKUP(LEFT(A999,1),Map!$D$2:$E$20,2,FALSE),""))</f>
        <v/>
      </c>
      <c r="J999" t="str">
        <f>IF(OR(H999="",NOT(OR(LEFT(H999,1)="G",LEFT(H999,1)="R"))),"",IFERROR(VLOOKUP(MID(H999,2,1),Map!$J$2:$M$10,2,FALSE),""))</f>
        <v/>
      </c>
      <c r="K999" t="str">
        <f t="shared" si="155"/>
        <v/>
      </c>
      <c r="L999" t="str">
        <f t="shared" si="156"/>
        <v/>
      </c>
      <c r="M999" t="str">
        <f t="shared" si="157"/>
        <v/>
      </c>
      <c r="N999" t="str">
        <f t="shared" si="158"/>
        <v/>
      </c>
      <c r="O999" t="str">
        <f t="shared" si="159"/>
        <v/>
      </c>
      <c r="P999" t="str">
        <f>IF(OR(H999="",NOT(OR(LEFT(H999,1)="G",LEFT(H999,1)="R"))),"",IFERROR(VLOOKUP(MID(H999,3,1),Map!$G$2:$H$10,2,FALSE),""))</f>
        <v/>
      </c>
      <c r="Q999" t="str">
        <f>IF(A999="","",IFERROR(VLOOKUP(MID(A999,4,1),Map!$O$2:$P$10,2,FALSE),""))</f>
        <v/>
      </c>
    </row>
    <row r="1000" spans="2:17" x14ac:dyDescent="0.25">
      <c r="B1000" t="str">
        <f t="shared" si="150"/>
        <v/>
      </c>
      <c r="C1000" t="str">
        <f t="shared" si="151"/>
        <v>**</v>
      </c>
      <c r="D1000" t="str">
        <f t="shared" si="152"/>
        <v/>
      </c>
      <c r="E1000" t="str">
        <f>IFERROR(VLOOKUP(MID(A1000,7,2),Map!$A$2:$B$20,2,FALSE),"")</f>
        <v/>
      </c>
      <c r="F1000" t="str">
        <f>IF(A1000="","",IFERROR(VLOOKUP(MID(A1000,9,2),Map!$R$2:$S$14,2,FALSE),""))</f>
        <v/>
      </c>
      <c r="G1000" t="str">
        <f t="shared" si="153"/>
        <v/>
      </c>
      <c r="H1000" t="str">
        <f t="shared" si="154"/>
        <v/>
      </c>
      <c r="I1000" t="str">
        <f>IF(A1000="","",IFERROR(VLOOKUP(LEFT(A1000,1),Map!$D$2:$E$20,2,FALSE),""))</f>
        <v/>
      </c>
      <c r="J1000" t="str">
        <f>IF(OR(H1000="",NOT(OR(LEFT(H1000,1)="G",LEFT(H1000,1)="R"))),"",IFERROR(VLOOKUP(MID(H1000,2,1),Map!$J$2:$M$10,2,FALSE),""))</f>
        <v/>
      </c>
      <c r="K1000" t="str">
        <f t="shared" si="155"/>
        <v/>
      </c>
      <c r="L1000" t="str">
        <f t="shared" si="156"/>
        <v/>
      </c>
      <c r="M1000" t="str">
        <f t="shared" si="157"/>
        <v/>
      </c>
      <c r="N1000" t="str">
        <f t="shared" si="158"/>
        <v/>
      </c>
      <c r="O1000" t="str">
        <f t="shared" si="159"/>
        <v/>
      </c>
      <c r="P1000" t="str">
        <f>IF(OR(H1000="",NOT(OR(LEFT(H1000,1)="G",LEFT(H1000,1)="R"))),"",IFERROR(VLOOKUP(MID(H1000,3,1),Map!$G$2:$H$10,2,FALSE),""))</f>
        <v/>
      </c>
      <c r="Q1000" t="str">
        <f>IF(A1000="","",IFERROR(VLOOKUP(MID(A1000,4,1),Map!$O$2:$P$10,2,FALSE),""))</f>
        <v/>
      </c>
    </row>
    <row r="1001" spans="2:17" x14ac:dyDescent="0.25">
      <c r="B1001" t="str">
        <f t="shared" si="150"/>
        <v/>
      </c>
      <c r="C1001" t="str">
        <f t="shared" si="151"/>
        <v>**</v>
      </c>
      <c r="D1001" t="str">
        <f t="shared" si="152"/>
        <v/>
      </c>
      <c r="E1001" t="str">
        <f>IFERROR(VLOOKUP(MID(A1001,7,2),Map!$A$2:$B$20,2,FALSE),"")</f>
        <v/>
      </c>
      <c r="F1001" t="str">
        <f>IF(A1001="","",IFERROR(VLOOKUP(MID(A1001,9,2),Map!$R$2:$S$14,2,FALSE),""))</f>
        <v/>
      </c>
      <c r="G1001" t="str">
        <f t="shared" si="153"/>
        <v/>
      </c>
      <c r="H1001" t="str">
        <f t="shared" si="154"/>
        <v/>
      </c>
      <c r="I1001" t="str">
        <f>IF(A1001="","",IFERROR(VLOOKUP(LEFT(A1001,1),Map!$D$2:$E$20,2,FALSE),""))</f>
        <v/>
      </c>
      <c r="J1001" t="str">
        <f>IF(OR(H1001="",NOT(OR(LEFT(H1001,1)="G",LEFT(H1001,1)="R"))),"",IFERROR(VLOOKUP(MID(H1001,2,1),Map!$J$2:$M$10,2,FALSE),""))</f>
        <v/>
      </c>
      <c r="K1001" t="str">
        <f t="shared" si="155"/>
        <v/>
      </c>
      <c r="L1001" t="str">
        <f t="shared" si="156"/>
        <v/>
      </c>
      <c r="M1001" t="str">
        <f t="shared" si="157"/>
        <v/>
      </c>
      <c r="N1001" t="str">
        <f t="shared" si="158"/>
        <v/>
      </c>
      <c r="O1001" t="str">
        <f t="shared" si="159"/>
        <v/>
      </c>
      <c r="P1001" t="str">
        <f>IF(OR(H1001="",NOT(OR(LEFT(H1001,1)="G",LEFT(H1001,1)="R"))),"",IFERROR(VLOOKUP(MID(H1001,3,1),Map!$G$2:$H$10,2,FALSE),""))</f>
        <v/>
      </c>
      <c r="Q1001" t="str">
        <f>IF(A1001="","",IFERROR(VLOOKUP(MID(A1001,4,1),Map!$O$2:$P$10,2,FALSE),""))</f>
        <v/>
      </c>
    </row>
  </sheetData>
  <hyperlinks>
    <hyperlink ref="A5" r:id="rId1" display="https://stratec.ru/gesac/turning-insert/vcmt160404-gp-gm3225" xr:uid="{02880009-A25C-4ADF-B60C-1D40AE35C5C5}"/>
  </hyperlinks>
  <pageMargins left="0.75" right="0.75" top="1" bottom="1" header="0.5" footer="0.5"/>
  <pageSetup paperSize="9" orientation="portrait" horizontalDpi="300" verticalDpi="0" copies="0" r:id="rId2"/>
  <ignoredErrors>
    <ignoredError sqref="A1:Q1 A7:E1001 B5:E5 B6:E6 A3:E4 B2:E2 G2:Q2 G7:Q1001 G5:Q5 G6:Q6 G3:Q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tabSelected="1" workbookViewId="0">
      <selection activeCell="J13" sqref="J13"/>
    </sheetView>
  </sheetViews>
  <sheetFormatPr defaultRowHeight="15.75" x14ac:dyDescent="0.25"/>
  <cols>
    <col min="1" max="1" width="9.125" customWidth="1"/>
    <col min="2" max="2" width="9" style="5"/>
    <col min="3" max="3" width="3.625" style="4" customWidth="1"/>
    <col min="5" max="5" width="40" customWidth="1"/>
    <col min="6" max="6" width="3.625" style="4" customWidth="1"/>
    <col min="8" max="8" width="16.625" customWidth="1"/>
    <col min="9" max="9" width="3.625" style="4" customWidth="1"/>
    <col min="14" max="14" width="3.625" style="4" customWidth="1"/>
    <col min="16" max="16" width="50.75" customWidth="1"/>
    <col min="18" max="18" width="9" style="1"/>
  </cols>
  <sheetData>
    <row r="1" spans="1:19" x14ac:dyDescent="0.25">
      <c r="A1" s="1" t="s">
        <v>19</v>
      </c>
      <c r="B1" s="5" t="s">
        <v>4</v>
      </c>
      <c r="D1" t="s">
        <v>19</v>
      </c>
      <c r="E1" t="s">
        <v>8</v>
      </c>
      <c r="G1" t="s">
        <v>19</v>
      </c>
      <c r="H1" t="s">
        <v>15</v>
      </c>
      <c r="J1" t="s">
        <v>19</v>
      </c>
      <c r="K1" t="s">
        <v>9</v>
      </c>
      <c r="L1" t="s">
        <v>10</v>
      </c>
      <c r="M1" t="s">
        <v>11</v>
      </c>
      <c r="O1" t="s">
        <v>19</v>
      </c>
      <c r="P1" t="s">
        <v>16</v>
      </c>
      <c r="R1" s="1" t="s">
        <v>19</v>
      </c>
      <c r="S1" t="s">
        <v>5</v>
      </c>
    </row>
    <row r="2" spans="1:19" x14ac:dyDescent="0.25">
      <c r="A2" s="1" t="s">
        <v>20</v>
      </c>
      <c r="B2" s="5" t="s">
        <v>21</v>
      </c>
      <c r="D2" t="s">
        <v>22</v>
      </c>
      <c r="E2" t="s">
        <v>23</v>
      </c>
      <c r="G2" t="s">
        <v>24</v>
      </c>
      <c r="H2" t="s">
        <v>25</v>
      </c>
      <c r="J2" t="s">
        <v>26</v>
      </c>
      <c r="K2" t="s">
        <v>27</v>
      </c>
      <c r="L2" t="s">
        <v>28</v>
      </c>
      <c r="M2" t="s">
        <v>29</v>
      </c>
      <c r="O2" t="s">
        <v>28</v>
      </c>
      <c r="P2" t="s">
        <v>30</v>
      </c>
      <c r="R2" s="1" t="s">
        <v>95</v>
      </c>
      <c r="S2">
        <v>0.04</v>
      </c>
    </row>
    <row r="3" spans="1:19" x14ac:dyDescent="0.25">
      <c r="A3" s="1" t="s">
        <v>31</v>
      </c>
      <c r="B3" s="5" t="s">
        <v>32</v>
      </c>
      <c r="D3" t="s">
        <v>33</v>
      </c>
      <c r="E3" t="s">
        <v>34</v>
      </c>
      <c r="G3" t="s">
        <v>35</v>
      </c>
      <c r="H3" t="s">
        <v>25</v>
      </c>
      <c r="J3" t="s">
        <v>27</v>
      </c>
      <c r="K3" t="s">
        <v>27</v>
      </c>
      <c r="O3" t="s">
        <v>36</v>
      </c>
      <c r="P3" t="s">
        <v>37</v>
      </c>
      <c r="R3" s="1" t="s">
        <v>20</v>
      </c>
      <c r="S3">
        <v>0.1</v>
      </c>
    </row>
    <row r="4" spans="1:19" x14ac:dyDescent="0.25">
      <c r="A4" s="1" t="s">
        <v>38</v>
      </c>
      <c r="B4" s="5" t="s">
        <v>39</v>
      </c>
      <c r="D4" t="s">
        <v>40</v>
      </c>
      <c r="E4" t="s">
        <v>41</v>
      </c>
      <c r="G4" t="s">
        <v>42</v>
      </c>
      <c r="H4" t="s">
        <v>43</v>
      </c>
      <c r="J4" t="s">
        <v>28</v>
      </c>
      <c r="K4" t="s">
        <v>28</v>
      </c>
      <c r="O4" t="s">
        <v>26</v>
      </c>
      <c r="P4" t="s">
        <v>44</v>
      </c>
      <c r="R4" s="1" t="s">
        <v>31</v>
      </c>
      <c r="S4">
        <v>0.2</v>
      </c>
    </row>
    <row r="5" spans="1:19" x14ac:dyDescent="0.25">
      <c r="A5" s="1" t="s">
        <v>45</v>
      </c>
      <c r="B5" s="5" t="s">
        <v>46</v>
      </c>
      <c r="D5" t="s">
        <v>47</v>
      </c>
      <c r="E5" t="s">
        <v>48</v>
      </c>
      <c r="G5" t="s">
        <v>49</v>
      </c>
      <c r="H5" t="s">
        <v>43</v>
      </c>
      <c r="J5" t="s">
        <v>4</v>
      </c>
      <c r="K5" t="s">
        <v>4</v>
      </c>
      <c r="O5" t="s">
        <v>50</v>
      </c>
      <c r="P5" t="s">
        <v>51</v>
      </c>
      <c r="R5" s="1" t="s">
        <v>45</v>
      </c>
      <c r="S5">
        <v>0.4</v>
      </c>
    </row>
    <row r="6" spans="1:19" x14ac:dyDescent="0.25">
      <c r="A6" s="1" t="s">
        <v>52</v>
      </c>
      <c r="B6" s="5" t="s">
        <v>53</v>
      </c>
      <c r="D6" t="s">
        <v>54</v>
      </c>
      <c r="E6" t="s">
        <v>55</v>
      </c>
      <c r="G6" t="s">
        <v>56</v>
      </c>
      <c r="H6" t="s">
        <v>25</v>
      </c>
      <c r="J6" t="s">
        <v>29</v>
      </c>
      <c r="K6" t="s">
        <v>29</v>
      </c>
      <c r="O6" t="s">
        <v>57</v>
      </c>
      <c r="P6" t="s">
        <v>58</v>
      </c>
      <c r="R6" s="1" t="s">
        <v>98</v>
      </c>
      <c r="S6">
        <v>0.8</v>
      </c>
    </row>
    <row r="7" spans="1:19" x14ac:dyDescent="0.25">
      <c r="A7" s="1" t="s">
        <v>59</v>
      </c>
      <c r="B7" s="5" t="s">
        <v>60</v>
      </c>
      <c r="D7" t="s">
        <v>28</v>
      </c>
      <c r="E7" t="s">
        <v>61</v>
      </c>
      <c r="G7" t="s">
        <v>62</v>
      </c>
      <c r="H7" t="s">
        <v>25</v>
      </c>
      <c r="J7" t="s">
        <v>63</v>
      </c>
      <c r="K7" t="s">
        <v>63</v>
      </c>
      <c r="O7" t="s">
        <v>64</v>
      </c>
      <c r="P7" t="s">
        <v>65</v>
      </c>
      <c r="R7" s="1" t="s">
        <v>78</v>
      </c>
      <c r="S7">
        <v>1.2</v>
      </c>
    </row>
    <row r="8" spans="1:19" x14ac:dyDescent="0.25">
      <c r="A8" s="1" t="s">
        <v>66</v>
      </c>
      <c r="B8" s="5" t="s">
        <v>67</v>
      </c>
      <c r="D8" t="s">
        <v>64</v>
      </c>
      <c r="E8" t="s">
        <v>68</v>
      </c>
      <c r="J8" t="s">
        <v>57</v>
      </c>
      <c r="K8" t="s">
        <v>57</v>
      </c>
      <c r="O8" t="s">
        <v>63</v>
      </c>
      <c r="P8" t="s">
        <v>69</v>
      </c>
      <c r="R8" s="1" t="s">
        <v>99</v>
      </c>
      <c r="S8">
        <v>1.6</v>
      </c>
    </row>
    <row r="9" spans="1:19" x14ac:dyDescent="0.25">
      <c r="A9" s="1" t="s">
        <v>70</v>
      </c>
      <c r="B9" s="5" t="s">
        <v>71</v>
      </c>
      <c r="D9" t="s">
        <v>50</v>
      </c>
      <c r="E9" t="s">
        <v>72</v>
      </c>
      <c r="O9" t="s">
        <v>73</v>
      </c>
      <c r="P9" t="s">
        <v>74</v>
      </c>
      <c r="R9" s="1" t="s">
        <v>100</v>
      </c>
      <c r="S9">
        <v>2</v>
      </c>
    </row>
    <row r="10" spans="1:19" x14ac:dyDescent="0.25">
      <c r="A10" s="1" t="s">
        <v>75</v>
      </c>
      <c r="B10" s="5">
        <v>11.11</v>
      </c>
      <c r="D10" t="s">
        <v>76</v>
      </c>
      <c r="E10" t="s">
        <v>77</v>
      </c>
      <c r="R10" s="1" t="s">
        <v>101</v>
      </c>
      <c r="S10">
        <v>2.4</v>
      </c>
    </row>
    <row r="11" spans="1:19" x14ac:dyDescent="0.25">
      <c r="A11" s="1" t="s">
        <v>78</v>
      </c>
      <c r="B11" s="5">
        <v>12.7</v>
      </c>
      <c r="D11" t="s">
        <v>4</v>
      </c>
      <c r="E11" t="s">
        <v>79</v>
      </c>
      <c r="R11" s="1" t="s">
        <v>102</v>
      </c>
      <c r="S11">
        <v>2.8</v>
      </c>
    </row>
    <row r="12" spans="1:19" x14ac:dyDescent="0.25">
      <c r="A12" t="s">
        <v>91</v>
      </c>
      <c r="B12" s="5">
        <v>1.98</v>
      </c>
      <c r="D12" t="s">
        <v>63</v>
      </c>
      <c r="E12" t="s">
        <v>80</v>
      </c>
      <c r="R12" s="1" t="s">
        <v>103</v>
      </c>
      <c r="S12">
        <v>3.2</v>
      </c>
    </row>
    <row r="13" spans="1:19" x14ac:dyDescent="0.25">
      <c r="A13" s="3" t="s">
        <v>92</v>
      </c>
      <c r="B13" s="5">
        <v>2.78</v>
      </c>
      <c r="D13" t="s">
        <v>29</v>
      </c>
      <c r="E13" t="s">
        <v>81</v>
      </c>
      <c r="R13" s="1" t="s">
        <v>104</v>
      </c>
      <c r="S13" t="s">
        <v>96</v>
      </c>
    </row>
    <row r="14" spans="1:19" x14ac:dyDescent="0.25">
      <c r="A14" s="3" t="s">
        <v>93</v>
      </c>
      <c r="B14" s="5">
        <v>3.97</v>
      </c>
      <c r="D14" t="s">
        <v>82</v>
      </c>
      <c r="E14" t="s">
        <v>83</v>
      </c>
      <c r="R14" s="1" t="s">
        <v>97</v>
      </c>
      <c r="S14" t="s">
        <v>96</v>
      </c>
    </row>
    <row r="15" spans="1:19" x14ac:dyDescent="0.25">
      <c r="A15" s="3"/>
      <c r="D15" t="s">
        <v>26</v>
      </c>
      <c r="E15" t="s">
        <v>84</v>
      </c>
    </row>
    <row r="16" spans="1:19" x14ac:dyDescent="0.25">
      <c r="D16" t="s">
        <v>85</v>
      </c>
      <c r="E16" t="s">
        <v>86</v>
      </c>
    </row>
    <row r="17" spans="4:5" x14ac:dyDescent="0.25">
      <c r="D17" t="s">
        <v>87</v>
      </c>
      <c r="E17" t="s">
        <v>88</v>
      </c>
    </row>
    <row r="18" spans="4:5" x14ac:dyDescent="0.25">
      <c r="D18" t="s">
        <v>27</v>
      </c>
      <c r="E18" t="s">
        <v>89</v>
      </c>
    </row>
  </sheetData>
  <pageMargins left="0.75" right="0.75" top="1" bottom="1" header="0.5" footer="0.5"/>
  <ignoredErrors>
    <ignoredError sqref="A1:P11 A16:P20 C13:P13 C12:P12 C14:P14 C15:P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Parser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2026-06-22T11:22:59Z</dcterms:created>
  <dcterms:modified xsi:type="dcterms:W3CDTF">2026-06-22T14:16:45Z</dcterms:modified>
</cp:coreProperties>
</file>